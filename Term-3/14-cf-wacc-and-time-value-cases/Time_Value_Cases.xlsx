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
    </mc:Choice>
  </mc:AlternateContent>
  <xr:revisionPtr revIDLastSave="0" documentId="13_ncr:1_{E7B44ACC-476B-43C0-A2C7-FCCC467FF231}" xr6:coauthVersionLast="47" xr6:coauthVersionMax="47" xr10:uidLastSave="{00000000-0000-0000-0000-000000000000}"/>
  <bookViews>
    <workbookView xWindow="-110" yWindow="-110" windowWidth="25820" windowHeight="15500" tabRatio="500" xr2:uid="{00000000-000D-0000-FFFF-FFFF00000000}"/>
  </bookViews>
  <sheets>
    <sheet name="Group Member Details" sheetId="8" r:id="rId1"/>
    <sheet name="Case 1 - ESOP" sheetId="2" r:id="rId2"/>
    <sheet name="Case 2 - Education Fund" sheetId="3" r:id="rId3"/>
    <sheet name="Case 3 - Home Loan" sheetId="4" r:id="rId4"/>
    <sheet name="Amortization Schedule" sheetId="5" r:id="rId5"/>
    <sheet name="Scenario - LumpSum vs SIP" sheetId="7"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0" i="7" l="1"/>
  <c r="C46" i="7" s="1"/>
  <c r="B39" i="7"/>
  <c r="B38" i="7"/>
  <c r="B33" i="7"/>
  <c r="B32" i="7"/>
  <c r="B31" i="7"/>
  <c r="B26" i="7"/>
  <c r="B46" i="7" s="1"/>
  <c r="B25" i="7"/>
  <c r="B45" i="7" s="1"/>
  <c r="B24" i="7"/>
  <c r="B44" i="7" s="1"/>
  <c r="C45" i="7"/>
  <c r="C19" i="7"/>
  <c r="C18" i="7"/>
  <c r="C17" i="7"/>
  <c r="B12" i="3"/>
  <c r="B4" i="5"/>
  <c r="B48" i="4"/>
  <c r="B18" i="4"/>
  <c r="B6" i="4"/>
  <c r="B28" i="3"/>
  <c r="B32" i="3" s="1"/>
  <c r="B22" i="3"/>
  <c r="B18" i="3"/>
  <c r="B23" i="3" s="1"/>
  <c r="B13" i="3"/>
  <c r="C22" i="2"/>
  <c r="B22" i="2"/>
  <c r="C21" i="2"/>
  <c r="B16" i="2"/>
  <c r="B11" i="2"/>
  <c r="B21" i="2" s="1"/>
  <c r="D21" i="2" s="1"/>
  <c r="B17" i="3"/>
  <c r="C44" i="7" l="1"/>
  <c r="D44" i="7" s="1"/>
  <c r="E44" i="7" s="1"/>
  <c r="B52" i="7"/>
  <c r="D45" i="7"/>
  <c r="E45" i="7" s="1"/>
  <c r="B53" i="7"/>
  <c r="D46" i="7"/>
  <c r="E46" i="7" s="1"/>
  <c r="B36" i="4"/>
  <c r="B12" i="4"/>
  <c r="D4" i="5"/>
  <c r="D22" i="2"/>
  <c r="B24" i="2" s="1"/>
  <c r="B30" i="3"/>
  <c r="B51" i="7" l="1"/>
  <c r="B38" i="4"/>
  <c r="B37" i="4"/>
  <c r="C138" i="5"/>
  <c r="C114" i="5"/>
  <c r="C90" i="5"/>
  <c r="C66" i="5"/>
  <c r="C42" i="5"/>
  <c r="C18" i="5"/>
  <c r="C99" i="5"/>
  <c r="C133" i="5"/>
  <c r="C109" i="5"/>
  <c r="C85" i="5"/>
  <c r="C61" i="5"/>
  <c r="C37" i="5"/>
  <c r="C13" i="5"/>
  <c r="C128" i="5"/>
  <c r="C104" i="5"/>
  <c r="C80" i="5"/>
  <c r="C56" i="5"/>
  <c r="C32" i="5"/>
  <c r="C8" i="5"/>
  <c r="C123" i="5"/>
  <c r="C75" i="5"/>
  <c r="C51" i="5"/>
  <c r="C27" i="5"/>
  <c r="C147" i="5"/>
  <c r="C142" i="5"/>
  <c r="C118" i="5"/>
  <c r="C94" i="5"/>
  <c r="C70" i="5"/>
  <c r="C46" i="5"/>
  <c r="C22" i="5"/>
  <c r="C137" i="5"/>
  <c r="C113" i="5"/>
  <c r="C89" i="5"/>
  <c r="C65" i="5"/>
  <c r="C41" i="5"/>
  <c r="C17" i="5"/>
  <c r="C132" i="5"/>
  <c r="C108" i="5"/>
  <c r="C84" i="5"/>
  <c r="C60" i="5"/>
  <c r="C36" i="5"/>
  <c r="C12" i="5"/>
  <c r="C127" i="5"/>
  <c r="C103" i="5"/>
  <c r="C79" i="5"/>
  <c r="C55" i="5"/>
  <c r="C31" i="5"/>
  <c r="C7" i="5"/>
  <c r="C146" i="5"/>
  <c r="C122" i="5"/>
  <c r="C98" i="5"/>
  <c r="C74" i="5"/>
  <c r="C50" i="5"/>
  <c r="C26" i="5"/>
  <c r="C141" i="5"/>
  <c r="C117" i="5"/>
  <c r="C93" i="5"/>
  <c r="C69" i="5"/>
  <c r="C45" i="5"/>
  <c r="C21" i="5"/>
  <c r="B33" i="4"/>
  <c r="B39" i="4" s="1"/>
  <c r="C130" i="5"/>
  <c r="C88" i="5"/>
  <c r="C48" i="5"/>
  <c r="C15" i="5"/>
  <c r="C81" i="5"/>
  <c r="C39" i="5"/>
  <c r="C87" i="5"/>
  <c r="C6" i="5"/>
  <c r="C120" i="5"/>
  <c r="C78" i="5"/>
  <c r="C38" i="5"/>
  <c r="C111" i="5"/>
  <c r="C71" i="5"/>
  <c r="C29" i="5"/>
  <c r="C144" i="5"/>
  <c r="C102" i="5"/>
  <c r="C121" i="5"/>
  <c r="C129" i="5"/>
  <c r="C112" i="5"/>
  <c r="C72" i="5"/>
  <c r="C30" i="5"/>
  <c r="C145" i="5"/>
  <c r="C105" i="5"/>
  <c r="C63" i="5"/>
  <c r="C23" i="5"/>
  <c r="C136" i="5"/>
  <c r="C96" i="5"/>
  <c r="C54" i="5"/>
  <c r="C47" i="5"/>
  <c r="C14" i="5"/>
  <c r="C62" i="5"/>
  <c r="C119" i="5"/>
  <c r="C77" i="5"/>
  <c r="C35" i="5"/>
  <c r="C110" i="5"/>
  <c r="C68" i="5"/>
  <c r="C28" i="5"/>
  <c r="C11" i="5"/>
  <c r="C143" i="5"/>
  <c r="C101" i="5"/>
  <c r="C59" i="5"/>
  <c r="C134" i="5"/>
  <c r="C92" i="5"/>
  <c r="C52" i="5"/>
  <c r="C19" i="5"/>
  <c r="C125" i="5"/>
  <c r="C106" i="5"/>
  <c r="C34" i="5"/>
  <c r="C86" i="5"/>
  <c r="C67" i="5"/>
  <c r="C49" i="5"/>
  <c r="C33" i="5"/>
  <c r="C116" i="5"/>
  <c r="C124" i="5"/>
  <c r="C83" i="5"/>
  <c r="C16" i="5"/>
  <c r="C140" i="5"/>
  <c r="C100" i="5"/>
  <c r="C82" i="5"/>
  <c r="C64" i="5"/>
  <c r="C139" i="5"/>
  <c r="C135" i="5"/>
  <c r="C44" i="5"/>
  <c r="C43" i="5"/>
  <c r="C97" i="5"/>
  <c r="C95" i="5"/>
  <c r="C25" i="5"/>
  <c r="C10" i="5"/>
  <c r="C58" i="5"/>
  <c r="C24" i="5"/>
  <c r="C73" i="5"/>
  <c r="C53" i="5"/>
  <c r="C5" i="5"/>
  <c r="C115" i="5"/>
  <c r="C76" i="5"/>
  <c r="C131" i="5"/>
  <c r="C40" i="5"/>
  <c r="C9" i="5"/>
  <c r="C107" i="5"/>
  <c r="C91" i="5"/>
  <c r="C57" i="5"/>
  <c r="C126" i="5"/>
  <c r="C20" i="5"/>
  <c r="C4" i="5"/>
  <c r="C19" i="4" l="1"/>
  <c r="C28" i="4"/>
  <c r="C29" i="4"/>
  <c r="C21" i="4"/>
  <c r="C24" i="4"/>
  <c r="C27" i="4"/>
  <c r="C20" i="4"/>
  <c r="C25" i="4"/>
  <c r="C22" i="4"/>
  <c r="E4" i="5"/>
  <c r="C18" i="4"/>
  <c r="C23" i="4"/>
  <c r="C26" i="4"/>
  <c r="G4" i="5" l="1"/>
  <c r="B5" i="5" s="1"/>
  <c r="D5" i="5" l="1"/>
  <c r="E5" i="5" l="1"/>
  <c r="G5" i="5" l="1"/>
  <c r="B6" i="5" s="1"/>
  <c r="D6" i="5" l="1"/>
  <c r="E6" i="5" l="1"/>
  <c r="G6" i="5" l="1"/>
  <c r="B7" i="5" s="1"/>
  <c r="D7" i="5" l="1"/>
  <c r="E7" i="5" l="1"/>
  <c r="G7" i="5" l="1"/>
  <c r="B8" i="5" s="1"/>
  <c r="D8" i="5" l="1"/>
  <c r="E8" i="5" s="1"/>
  <c r="G8" i="5"/>
  <c r="B9" i="5" s="1"/>
  <c r="D9" i="5" l="1"/>
  <c r="E9" i="5" s="1"/>
  <c r="G9" i="5" s="1"/>
  <c r="B10" i="5" s="1"/>
  <c r="D10" i="5" l="1"/>
  <c r="E10" i="5" s="1"/>
  <c r="G10" i="5" s="1"/>
  <c r="B11" i="5" s="1"/>
  <c r="D11" i="5" l="1"/>
  <c r="E11" i="5" s="1"/>
  <c r="G11" i="5" s="1"/>
  <c r="B12" i="5" s="1"/>
  <c r="D12" i="5" l="1"/>
  <c r="E12" i="5" s="1"/>
  <c r="G12" i="5"/>
  <c r="B13" i="5" s="1"/>
  <c r="D13" i="5" l="1"/>
  <c r="E13" i="5" s="1"/>
  <c r="G13" i="5"/>
  <c r="B14" i="5" s="1"/>
  <c r="G14" i="5" l="1"/>
  <c r="B15" i="5" s="1"/>
  <c r="D14" i="5"/>
  <c r="E14" i="5" s="1"/>
  <c r="D15" i="5" l="1"/>
  <c r="E15" i="5" l="1"/>
  <c r="D18" i="4"/>
  <c r="E18" i="4" l="1"/>
  <c r="G15" i="5"/>
  <c r="F18" i="4" l="1"/>
  <c r="B16" i="5"/>
  <c r="B19" i="4"/>
  <c r="D16" i="5" l="1"/>
  <c r="E16" i="5" l="1"/>
  <c r="G16" i="5" l="1"/>
  <c r="B17" i="5" s="1"/>
  <c r="D17" i="5" l="1"/>
  <c r="E17" i="5" l="1"/>
  <c r="G17" i="5" l="1"/>
  <c r="B18" i="5" s="1"/>
  <c r="D18" i="5" l="1"/>
  <c r="E18" i="5" l="1"/>
  <c r="G18" i="5" l="1"/>
  <c r="B19" i="5" s="1"/>
  <c r="D19" i="5" l="1"/>
  <c r="E19" i="5" l="1"/>
  <c r="G19" i="5" l="1"/>
  <c r="B20" i="5" s="1"/>
  <c r="D20" i="5" l="1"/>
  <c r="E20" i="5" l="1"/>
  <c r="G20" i="5" l="1"/>
  <c r="B21" i="5" s="1"/>
  <c r="D21" i="5" l="1"/>
  <c r="E21" i="5" s="1"/>
  <c r="G21" i="5" s="1"/>
  <c r="B22" i="5" s="1"/>
  <c r="D22" i="5" l="1"/>
  <c r="E22" i="5" s="1"/>
  <c r="G22" i="5" s="1"/>
  <c r="B23" i="5" s="1"/>
  <c r="D23" i="5" l="1"/>
  <c r="E23" i="5" s="1"/>
  <c r="G23" i="5" s="1"/>
  <c r="B24" i="5" s="1"/>
  <c r="D24" i="5" l="1"/>
  <c r="E24" i="5" s="1"/>
  <c r="G24" i="5" s="1"/>
  <c r="B25" i="5" s="1"/>
  <c r="D25" i="5" l="1"/>
  <c r="E25" i="5" s="1"/>
  <c r="G25" i="5" s="1"/>
  <c r="B26" i="5" s="1"/>
  <c r="G26" i="5" l="1"/>
  <c r="B27" i="5" s="1"/>
  <c r="D26" i="5"/>
  <c r="E26" i="5" s="1"/>
  <c r="D27" i="5" l="1"/>
  <c r="E27" i="5" l="1"/>
  <c r="D19" i="4"/>
  <c r="E19" i="4" l="1"/>
  <c r="G27" i="5"/>
  <c r="B20" i="4" l="1"/>
  <c r="F19" i="4"/>
  <c r="B28" i="5"/>
  <c r="D28" i="5" l="1"/>
  <c r="E28" i="5" l="1"/>
  <c r="G28" i="5" l="1"/>
  <c r="B29" i="5" s="1"/>
  <c r="D29" i="5" l="1"/>
  <c r="E29" i="5" l="1"/>
  <c r="G29" i="5" l="1"/>
  <c r="B30" i="5" s="1"/>
  <c r="D30" i="5" l="1"/>
  <c r="E30" i="5" l="1"/>
  <c r="G30" i="5" l="1"/>
  <c r="B31" i="5" s="1"/>
  <c r="D31" i="5" l="1"/>
  <c r="E31" i="5" l="1"/>
  <c r="G31" i="5" l="1"/>
  <c r="B32" i="5" s="1"/>
  <c r="D32" i="5" l="1"/>
  <c r="E32" i="5" l="1"/>
  <c r="G32" i="5" l="1"/>
  <c r="B33" i="5" s="1"/>
  <c r="D33" i="5" l="1"/>
  <c r="E33" i="5" s="1"/>
  <c r="G33" i="5" s="1"/>
  <c r="B34" i="5" s="1"/>
  <c r="D34" i="5" l="1"/>
  <c r="E34" i="5" s="1"/>
  <c r="G34" i="5" s="1"/>
  <c r="B35" i="5" s="1"/>
  <c r="D35" i="5" l="1"/>
  <c r="E35" i="5" s="1"/>
  <c r="G35" i="5" s="1"/>
  <c r="B36" i="5" s="1"/>
  <c r="D36" i="5" l="1"/>
  <c r="E36" i="5" s="1"/>
  <c r="G36" i="5" s="1"/>
  <c r="B37" i="5" s="1"/>
  <c r="D37" i="5" l="1"/>
  <c r="E37" i="5" s="1"/>
  <c r="G37" i="5"/>
  <c r="B38" i="5" s="1"/>
  <c r="D38" i="5" l="1"/>
  <c r="E38" i="5" s="1"/>
  <c r="G38" i="5"/>
  <c r="B39" i="5" s="1"/>
  <c r="D39" i="5" l="1"/>
  <c r="E39" i="5" l="1"/>
  <c r="D20" i="4"/>
  <c r="E20" i="4" l="1"/>
  <c r="G39" i="5"/>
  <c r="B21" i="4" l="1"/>
  <c r="F20" i="4"/>
  <c r="B40" i="5"/>
  <c r="D40" i="5" l="1"/>
  <c r="E40" i="5" l="1"/>
  <c r="G40" i="5" l="1"/>
  <c r="B41" i="5" s="1"/>
  <c r="D41" i="5" l="1"/>
  <c r="E41" i="5" l="1"/>
  <c r="G41" i="5" l="1"/>
  <c r="B42" i="5" s="1"/>
  <c r="D42" i="5" l="1"/>
  <c r="E42" i="5" l="1"/>
  <c r="G42" i="5" l="1"/>
  <c r="B43" i="5" s="1"/>
  <c r="D43" i="5" l="1"/>
  <c r="E43" i="5" l="1"/>
  <c r="G43" i="5" l="1"/>
  <c r="B44" i="5" s="1"/>
  <c r="D44" i="5" l="1"/>
  <c r="E44" i="5" l="1"/>
  <c r="G44" i="5" l="1"/>
  <c r="B45" i="5" s="1"/>
  <c r="D45" i="5" l="1"/>
  <c r="E45" i="5" s="1"/>
  <c r="G45" i="5" s="1"/>
  <c r="B46" i="5" s="1"/>
  <c r="D46" i="5" l="1"/>
  <c r="E46" i="5" s="1"/>
  <c r="G46" i="5" s="1"/>
  <c r="B47" i="5" s="1"/>
  <c r="G47" i="5" l="1"/>
  <c r="B48" i="5" s="1"/>
  <c r="D47" i="5"/>
  <c r="E47" i="5" s="1"/>
  <c r="G48" i="5" l="1"/>
  <c r="B49" i="5" s="1"/>
  <c r="D48" i="5"/>
  <c r="E48" i="5" s="1"/>
  <c r="D49" i="5" l="1"/>
  <c r="E49" i="5" s="1"/>
  <c r="G49" i="5" s="1"/>
  <c r="B50" i="5" s="1"/>
  <c r="G50" i="5" l="1"/>
  <c r="B51" i="5" s="1"/>
  <c r="D50" i="5"/>
  <c r="E50" i="5" s="1"/>
  <c r="D51" i="5" l="1"/>
  <c r="E51" i="5" l="1"/>
  <c r="D21" i="4"/>
  <c r="E21" i="4" l="1"/>
  <c r="G51" i="5"/>
  <c r="B22" i="4" l="1"/>
  <c r="F21" i="4"/>
  <c r="B43" i="4"/>
  <c r="B47" i="4" s="1"/>
  <c r="B52" i="5"/>
  <c r="D52" i="5" l="1"/>
  <c r="B54" i="4"/>
  <c r="B51" i="4"/>
  <c r="E52" i="5" l="1"/>
  <c r="G52" i="5" l="1"/>
  <c r="B53" i="5" s="1"/>
  <c r="D53" i="5" l="1"/>
  <c r="E53" i="5" l="1"/>
  <c r="G53" i="5" l="1"/>
  <c r="B54" i="5" s="1"/>
  <c r="D54" i="5" l="1"/>
  <c r="E54" i="5" l="1"/>
  <c r="G54" i="5" l="1"/>
  <c r="B55" i="5" s="1"/>
  <c r="D55" i="5" l="1"/>
  <c r="E55" i="5" l="1"/>
  <c r="G55" i="5" l="1"/>
  <c r="B56" i="5" s="1"/>
  <c r="D56" i="5" l="1"/>
  <c r="E56" i="5" l="1"/>
  <c r="G56" i="5" l="1"/>
  <c r="B57" i="5" s="1"/>
  <c r="D57" i="5" l="1"/>
  <c r="E57" i="5" s="1"/>
  <c r="G57" i="5" s="1"/>
  <c r="B58" i="5" s="1"/>
  <c r="G58" i="5" l="1"/>
  <c r="B59" i="5" s="1"/>
  <c r="D58" i="5"/>
  <c r="E58" i="5" s="1"/>
  <c r="G59" i="5" l="1"/>
  <c r="B60" i="5" s="1"/>
  <c r="D59" i="5"/>
  <c r="E59" i="5" s="1"/>
  <c r="D60" i="5" l="1"/>
  <c r="E60" i="5" s="1"/>
  <c r="G60" i="5" s="1"/>
  <c r="B61" i="5" s="1"/>
  <c r="D61" i="5" l="1"/>
  <c r="E61" i="5" s="1"/>
  <c r="G61" i="5"/>
  <c r="B62" i="5" s="1"/>
  <c r="D62" i="5" l="1"/>
  <c r="E62" i="5" s="1"/>
  <c r="G62" i="5" s="1"/>
  <c r="B63" i="5" s="1"/>
  <c r="D63" i="5" l="1"/>
  <c r="E63" i="5" l="1"/>
  <c r="D22" i="4"/>
  <c r="E22" i="4" l="1"/>
  <c r="G63" i="5"/>
  <c r="B64" i="5" l="1"/>
  <c r="B23" i="4"/>
  <c r="F22" i="4"/>
  <c r="D64" i="5" l="1"/>
  <c r="E64" i="5" l="1"/>
  <c r="G64" i="5" l="1"/>
  <c r="B65" i="5" s="1"/>
  <c r="D65" i="5" l="1"/>
  <c r="E65" i="5" l="1"/>
  <c r="G65" i="5" l="1"/>
  <c r="B66" i="5" s="1"/>
  <c r="D66" i="5" l="1"/>
  <c r="E66" i="5" l="1"/>
  <c r="G66" i="5" l="1"/>
  <c r="B67" i="5" s="1"/>
  <c r="D67" i="5" l="1"/>
  <c r="E67" i="5" l="1"/>
  <c r="G67" i="5" l="1"/>
  <c r="B68" i="5" s="1"/>
  <c r="D68" i="5" l="1"/>
  <c r="E68" i="5" l="1"/>
  <c r="G68" i="5" l="1"/>
  <c r="B69" i="5" s="1"/>
  <c r="D69" i="5" l="1"/>
  <c r="E69" i="5" s="1"/>
  <c r="G69" i="5" s="1"/>
  <c r="B70" i="5" s="1"/>
  <c r="D70" i="5" l="1"/>
  <c r="E70" i="5" s="1"/>
  <c r="G70" i="5" s="1"/>
  <c r="B71" i="5" s="1"/>
  <c r="D71" i="5" l="1"/>
  <c r="E71" i="5" s="1"/>
  <c r="G71" i="5" s="1"/>
  <c r="B72" i="5" s="1"/>
  <c r="D72" i="5" l="1"/>
  <c r="E72" i="5" s="1"/>
  <c r="G72" i="5"/>
  <c r="B73" i="5" s="1"/>
  <c r="D73" i="5" l="1"/>
  <c r="E73" i="5" s="1"/>
  <c r="G73" i="5" s="1"/>
  <c r="B74" i="5" s="1"/>
  <c r="D74" i="5" l="1"/>
  <c r="E74" i="5" s="1"/>
  <c r="G74" i="5" s="1"/>
  <c r="B75" i="5" s="1"/>
  <c r="D75" i="5" l="1"/>
  <c r="E75" i="5" l="1"/>
  <c r="D23" i="4"/>
  <c r="E23" i="4" l="1"/>
  <c r="G75" i="5"/>
  <c r="F23" i="4" l="1"/>
  <c r="B76" i="5"/>
  <c r="B24" i="4"/>
  <c r="D76" i="5" l="1"/>
  <c r="E76" i="5" l="1"/>
  <c r="G76" i="5" l="1"/>
  <c r="B77" i="5" s="1"/>
  <c r="D77" i="5" l="1"/>
  <c r="E77" i="5" l="1"/>
  <c r="G77" i="5" l="1"/>
  <c r="B78" i="5" s="1"/>
  <c r="D78" i="5" l="1"/>
  <c r="E78" i="5" l="1"/>
  <c r="G78" i="5" l="1"/>
  <c r="B79" i="5" s="1"/>
  <c r="D79" i="5" l="1"/>
  <c r="E79" i="5" l="1"/>
  <c r="G79" i="5" l="1"/>
  <c r="B80" i="5" s="1"/>
  <c r="D80" i="5" l="1"/>
  <c r="E80" i="5" l="1"/>
  <c r="G80" i="5" l="1"/>
  <c r="B81" i="5" s="1"/>
  <c r="D81" i="5" l="1"/>
  <c r="E81" i="5" s="1"/>
  <c r="G81" i="5"/>
  <c r="B82" i="5" s="1"/>
  <c r="D82" i="5" l="1"/>
  <c r="E82" i="5" s="1"/>
  <c r="G82" i="5" s="1"/>
  <c r="B83" i="5" s="1"/>
  <c r="D83" i="5" l="1"/>
  <c r="E83" i="5" s="1"/>
  <c r="G83" i="5" s="1"/>
  <c r="B84" i="5" s="1"/>
  <c r="D84" i="5" l="1"/>
  <c r="E84" i="5" s="1"/>
  <c r="G84" i="5" s="1"/>
  <c r="B85" i="5" s="1"/>
  <c r="D85" i="5" l="1"/>
  <c r="E85" i="5" s="1"/>
  <c r="G85" i="5"/>
  <c r="B86" i="5" s="1"/>
  <c r="D86" i="5" l="1"/>
  <c r="E86" i="5" s="1"/>
  <c r="G86" i="5" s="1"/>
  <c r="B87" i="5" s="1"/>
  <c r="D87" i="5" l="1"/>
  <c r="E87" i="5" l="1"/>
  <c r="D24" i="4"/>
  <c r="E24" i="4" l="1"/>
  <c r="G87" i="5"/>
  <c r="B88" i="5" l="1"/>
  <c r="B25" i="4"/>
  <c r="F24" i="4"/>
  <c r="D88" i="5" l="1"/>
  <c r="E88" i="5" l="1"/>
  <c r="G88" i="5" l="1"/>
  <c r="B89" i="5" s="1"/>
  <c r="D89" i="5" l="1"/>
  <c r="E89" i="5" l="1"/>
  <c r="G89" i="5" l="1"/>
  <c r="B90" i="5" s="1"/>
  <c r="D90" i="5" l="1"/>
  <c r="E90" i="5" l="1"/>
  <c r="G90" i="5" l="1"/>
  <c r="B91" i="5" s="1"/>
  <c r="D91" i="5" l="1"/>
  <c r="E91" i="5" l="1"/>
  <c r="G91" i="5" l="1"/>
  <c r="B92" i="5" s="1"/>
  <c r="D92" i="5" l="1"/>
  <c r="E92" i="5" l="1"/>
  <c r="G92" i="5" l="1"/>
  <c r="B93" i="5" s="1"/>
  <c r="D93" i="5" l="1"/>
  <c r="E93" i="5" s="1"/>
  <c r="G93" i="5" s="1"/>
  <c r="B94" i="5" s="1"/>
  <c r="D94" i="5" l="1"/>
  <c r="E94" i="5" s="1"/>
  <c r="G94" i="5" s="1"/>
  <c r="B95" i="5" s="1"/>
  <c r="D95" i="5" l="1"/>
  <c r="E95" i="5" s="1"/>
  <c r="G95" i="5" s="1"/>
  <c r="B96" i="5" s="1"/>
  <c r="D96" i="5" l="1"/>
  <c r="E96" i="5" s="1"/>
  <c r="G96" i="5" s="1"/>
  <c r="B97" i="5" s="1"/>
  <c r="D97" i="5" l="1"/>
  <c r="E97" i="5" s="1"/>
  <c r="G97" i="5" s="1"/>
  <c r="B98" i="5" s="1"/>
  <c r="D98" i="5" l="1"/>
  <c r="E98" i="5" s="1"/>
  <c r="G98" i="5" s="1"/>
  <c r="B99" i="5" s="1"/>
  <c r="D99" i="5" l="1"/>
  <c r="E99" i="5" l="1"/>
  <c r="D25" i="4"/>
  <c r="E25" i="4" l="1"/>
  <c r="G99" i="5"/>
  <c r="B26" i="4" l="1"/>
  <c r="F25" i="4"/>
  <c r="B100" i="5"/>
  <c r="D100" i="5" l="1"/>
  <c r="E100" i="5" l="1"/>
  <c r="G100" i="5" l="1"/>
  <c r="B101" i="5" s="1"/>
  <c r="D101" i="5" l="1"/>
  <c r="E101" i="5" l="1"/>
  <c r="G101" i="5" l="1"/>
  <c r="B102" i="5" s="1"/>
  <c r="D102" i="5" l="1"/>
  <c r="E102" i="5" l="1"/>
  <c r="G102" i="5" l="1"/>
  <c r="B103" i="5" s="1"/>
  <c r="D103" i="5" l="1"/>
  <c r="E103" i="5" l="1"/>
  <c r="G103" i="5" l="1"/>
  <c r="B104" i="5" s="1"/>
  <c r="D104" i="5" l="1"/>
  <c r="E104" i="5" l="1"/>
  <c r="G104" i="5" l="1"/>
  <c r="B105" i="5" s="1"/>
  <c r="D105" i="5" l="1"/>
  <c r="E105" i="5" s="1"/>
  <c r="G105" i="5" s="1"/>
  <c r="B106" i="5" s="1"/>
  <c r="D106" i="5" l="1"/>
  <c r="E106" i="5" s="1"/>
  <c r="G106" i="5"/>
  <c r="B107" i="5" s="1"/>
  <c r="D107" i="5" l="1"/>
  <c r="E107" i="5" s="1"/>
  <c r="G107" i="5" s="1"/>
  <c r="B108" i="5" s="1"/>
  <c r="D108" i="5" l="1"/>
  <c r="E108" i="5" s="1"/>
  <c r="G108" i="5" s="1"/>
  <c r="B109" i="5" s="1"/>
  <c r="D109" i="5" l="1"/>
  <c r="E109" i="5" s="1"/>
  <c r="G109" i="5"/>
  <c r="B110" i="5" s="1"/>
  <c r="D110" i="5" l="1"/>
  <c r="E110" i="5" s="1"/>
  <c r="G110" i="5"/>
  <c r="B111" i="5" s="1"/>
  <c r="D111" i="5" l="1"/>
  <c r="E111" i="5" l="1"/>
  <c r="D26" i="4"/>
  <c r="E26" i="4" l="1"/>
  <c r="G111" i="5"/>
  <c r="B27" i="4" l="1"/>
  <c r="F26" i="4"/>
  <c r="B112" i="5"/>
  <c r="D112" i="5" l="1"/>
  <c r="E112" i="5" l="1"/>
  <c r="G112" i="5" l="1"/>
  <c r="B113" i="5" s="1"/>
  <c r="D113" i="5" l="1"/>
  <c r="E113" i="5" l="1"/>
  <c r="G113" i="5" l="1"/>
  <c r="B114" i="5" s="1"/>
  <c r="D114" i="5" l="1"/>
  <c r="E114" i="5" l="1"/>
  <c r="G114" i="5" l="1"/>
  <c r="B115" i="5" s="1"/>
  <c r="D115" i="5" l="1"/>
  <c r="E115" i="5" l="1"/>
  <c r="G115" i="5" l="1"/>
  <c r="B116" i="5" s="1"/>
  <c r="D116" i="5" l="1"/>
  <c r="E116" i="5" l="1"/>
  <c r="G116" i="5" l="1"/>
  <c r="B117" i="5" s="1"/>
  <c r="D117" i="5" l="1"/>
  <c r="E117" i="5" s="1"/>
  <c r="G117" i="5" s="1"/>
  <c r="B118" i="5" s="1"/>
  <c r="G118" i="5" l="1"/>
  <c r="B119" i="5" s="1"/>
  <c r="D118" i="5"/>
  <c r="E118" i="5" s="1"/>
  <c r="D119" i="5" l="1"/>
  <c r="E119" i="5" s="1"/>
  <c r="G119" i="5" s="1"/>
  <c r="B120" i="5" s="1"/>
  <c r="D120" i="5" l="1"/>
  <c r="E120" i="5" s="1"/>
  <c r="G120" i="5" s="1"/>
  <c r="B121" i="5" s="1"/>
  <c r="D121" i="5" l="1"/>
  <c r="E121" i="5" s="1"/>
  <c r="G121" i="5"/>
  <c r="B122" i="5" s="1"/>
  <c r="D122" i="5" l="1"/>
  <c r="E122" i="5" s="1"/>
  <c r="G122" i="5" s="1"/>
  <c r="B123" i="5" s="1"/>
  <c r="D123" i="5" l="1"/>
  <c r="E123" i="5" l="1"/>
  <c r="D27" i="4"/>
  <c r="E27" i="4" l="1"/>
  <c r="G123" i="5"/>
  <c r="F27" i="4" l="1"/>
  <c r="B28" i="4"/>
  <c r="B124" i="5"/>
  <c r="D124" i="5" l="1"/>
  <c r="E124" i="5" l="1"/>
  <c r="G124" i="5" l="1"/>
  <c r="B125" i="5" s="1"/>
  <c r="D125" i="5" l="1"/>
  <c r="E125" i="5" l="1"/>
  <c r="G125" i="5" l="1"/>
  <c r="B126" i="5" s="1"/>
  <c r="D126" i="5" l="1"/>
  <c r="E126" i="5" l="1"/>
  <c r="G126" i="5" l="1"/>
  <c r="B127" i="5" s="1"/>
  <c r="D127" i="5" l="1"/>
  <c r="E127" i="5" l="1"/>
  <c r="G127" i="5" l="1"/>
  <c r="B128" i="5" s="1"/>
  <c r="D128" i="5" l="1"/>
  <c r="E128" i="5" l="1"/>
  <c r="G128" i="5" l="1"/>
  <c r="B129" i="5" s="1"/>
  <c r="D129" i="5" l="1"/>
  <c r="E129" i="5" s="1"/>
  <c r="G129" i="5" s="1"/>
  <c r="B130" i="5" s="1"/>
  <c r="D130" i="5" l="1"/>
  <c r="E130" i="5" s="1"/>
  <c r="G130" i="5" s="1"/>
  <c r="B131" i="5" s="1"/>
  <c r="D131" i="5" l="1"/>
  <c r="E131" i="5" s="1"/>
  <c r="G131" i="5" s="1"/>
  <c r="B132" i="5" s="1"/>
  <c r="D132" i="5" l="1"/>
  <c r="E132" i="5" s="1"/>
  <c r="G132" i="5" s="1"/>
  <c r="B133" i="5" s="1"/>
  <c r="D133" i="5" l="1"/>
  <c r="E133" i="5" s="1"/>
  <c r="G133" i="5" s="1"/>
  <c r="B134" i="5" s="1"/>
  <c r="D134" i="5" l="1"/>
  <c r="E134" i="5" s="1"/>
  <c r="G134" i="5" s="1"/>
  <c r="B135" i="5" s="1"/>
  <c r="D135" i="5" l="1"/>
  <c r="E135" i="5" l="1"/>
  <c r="D28" i="4"/>
  <c r="E28" i="4" l="1"/>
  <c r="G135" i="5"/>
  <c r="B29" i="4" l="1"/>
  <c r="F28" i="4"/>
  <c r="B136" i="5"/>
  <c r="D136" i="5" l="1"/>
  <c r="E136" i="5" l="1"/>
  <c r="G136" i="5" l="1"/>
  <c r="B137" i="5" s="1"/>
  <c r="D137" i="5" l="1"/>
  <c r="E137" i="5" l="1"/>
  <c r="G137" i="5" l="1"/>
  <c r="B138" i="5" s="1"/>
  <c r="D138" i="5" l="1"/>
  <c r="E138" i="5" l="1"/>
  <c r="G138" i="5" l="1"/>
  <c r="B139" i="5" s="1"/>
  <c r="D139" i="5" l="1"/>
  <c r="E139" i="5" l="1"/>
  <c r="G139" i="5" l="1"/>
  <c r="B140" i="5" s="1"/>
  <c r="D140" i="5" l="1"/>
  <c r="E140" i="5" l="1"/>
  <c r="G140" i="5" l="1"/>
  <c r="B141" i="5" s="1"/>
  <c r="D141" i="5" l="1"/>
  <c r="E141" i="5" s="1"/>
  <c r="G141" i="5" s="1"/>
  <c r="B142" i="5" s="1"/>
  <c r="D142" i="5" l="1"/>
  <c r="E142" i="5" s="1"/>
  <c r="G142" i="5" s="1"/>
  <c r="B143" i="5" s="1"/>
  <c r="D143" i="5" l="1"/>
  <c r="E143" i="5" s="1"/>
  <c r="G143" i="5"/>
  <c r="B144" i="5" s="1"/>
  <c r="D144" i="5" l="1"/>
  <c r="E144" i="5" s="1"/>
  <c r="G144" i="5" s="1"/>
  <c r="B145" i="5" s="1"/>
  <c r="D145" i="5" l="1"/>
  <c r="E145" i="5" s="1"/>
  <c r="G145" i="5" s="1"/>
  <c r="B146" i="5" s="1"/>
  <c r="D146" i="5" l="1"/>
  <c r="E146" i="5" s="1"/>
  <c r="G146" i="5" s="1"/>
  <c r="B147" i="5" s="1"/>
  <c r="D147" i="5" l="1"/>
  <c r="E147" i="5" l="1"/>
  <c r="D29" i="4"/>
  <c r="E29" i="4" l="1"/>
  <c r="G147" i="5"/>
  <c r="F29" i="4" s="1"/>
</calcChain>
</file>

<file path=xl/sharedStrings.xml><?xml version="1.0" encoding="utf-8"?>
<sst xmlns="http://schemas.openxmlformats.org/spreadsheetml/2006/main" count="160" uniqueCount="138">
  <si>
    <t>Case 1: The Startup ESOP Buyback Decision</t>
  </si>
  <si>
    <t>Given Data</t>
  </si>
  <si>
    <t>Option A - cash today</t>
  </si>
  <si>
    <t>Option B - expected in 4 years</t>
  </si>
  <si>
    <t>Time horizon, n (years)</t>
  </si>
  <si>
    <t>Q1. Future Value of Option A at Year 4</t>
  </si>
  <si>
    <t>Formula: FV = PV x (1+r)^n</t>
  </si>
  <si>
    <t>FV of Option A</t>
  </si>
  <si>
    <t>Q2. Present Value of Option B</t>
  </si>
  <si>
    <t>Formula: PV = FV / (1+r)^n</t>
  </si>
  <si>
    <t>PV of Option B</t>
  </si>
  <si>
    <t>Q3. Which Option Should Meera Choose?</t>
  </si>
  <si>
    <t>Comparison Point</t>
  </si>
  <si>
    <t>Option A</t>
  </si>
  <si>
    <t>Option B</t>
  </si>
  <si>
    <t>Better Choice</t>
  </si>
  <si>
    <t>At Year 4 (future value)</t>
  </si>
  <si>
    <t>At Year 0 (present value)</t>
  </si>
  <si>
    <t>Meera should choose:</t>
  </si>
  <si>
    <t>Case 2: Karan's Child Education Fund</t>
  </si>
  <si>
    <t>Target corpus, FV</t>
  </si>
  <si>
    <t>Assumed annual return, r</t>
  </si>
  <si>
    <t>Proposed annual investment (Q1)</t>
  </si>
  <si>
    <t>Q1. Corpus from Rs 3,00,000/Year Ordinary Annuity</t>
  </si>
  <si>
    <t>Accumulated corpus</t>
  </si>
  <si>
    <t>Q3. Fixed Annual Contribution - Annuity Due</t>
  </si>
  <si>
    <t>Required annual investment (year-start)</t>
  </si>
  <si>
    <t>Annual saving vs. ordinary annuity</t>
  </si>
  <si>
    <t>Q4. Monthly SIP (12% p.a. Compounded Monthly, 144 Months)</t>
  </si>
  <si>
    <t>Nominal annual rate</t>
  </si>
  <si>
    <t>Required monthly SIP</t>
  </si>
  <si>
    <t>Effective Annual Rate (EAR) implied by 12% compounded monthly</t>
  </si>
  <si>
    <t>Case 3: The Home Loan Prepayment Decision</t>
  </si>
  <si>
    <t>Loan principal, P</t>
  </si>
  <si>
    <t>Annual interest rate</t>
  </si>
  <si>
    <t>Tenure Option 1 (months)</t>
  </si>
  <si>
    <t>Tenure Option 2 (months)</t>
  </si>
  <si>
    <t>Q1. Monthly EMI - 12-Year (144-Month) Loan</t>
  </si>
  <si>
    <t>EMI (144 months)</t>
  </si>
  <si>
    <t>Q2. Amortization Schedule - 12-Year Loan</t>
  </si>
  <si>
    <t>Year</t>
  </si>
  <si>
    <t>Opening Balance</t>
  </si>
  <si>
    <t>Total EMI Paid</t>
  </si>
  <si>
    <t>Interest Portion</t>
  </si>
  <si>
    <t>Principal Portion</t>
  </si>
  <si>
    <t>Closing Balance</t>
  </si>
  <si>
    <t>Formula: Total Interest = (EMI x n) - P</t>
  </si>
  <si>
    <t>Total interest over 12 years</t>
  </si>
  <si>
    <t>EMI (96 months)</t>
  </si>
  <si>
    <t>Total interest (96 months)</t>
  </si>
  <si>
    <t>EMI increase vs. 12-yr loan</t>
  </si>
  <si>
    <t>Interest saved vs. 12-yr loan</t>
  </si>
  <si>
    <t>Q5. Outstanding Balance After 48 EMIs (End of Year 4, 12-Year Loan)</t>
  </si>
  <si>
    <t>Outstanding balance before prepayment</t>
  </si>
  <si>
    <t>Q6. Applying the Rs 4,00,000 Prepayment</t>
  </si>
  <si>
    <t>Prepayment amount</t>
  </si>
  <si>
    <t>New outstanding balance after prepayment</t>
  </si>
  <si>
    <t>Remaining original tenure at this point (months)</t>
  </si>
  <si>
    <t>Option A: keep EMI unchanged, reduce tenure</t>
  </si>
  <si>
    <t>New remaining tenure (months)</t>
  </si>
  <si>
    <t>Option B: keep tenure unchanged, reduce EMI</t>
  </si>
  <si>
    <t>New EMI</t>
  </si>
  <si>
    <t>Case 3 - Full Amortization Schedule (144 Months)</t>
  </si>
  <si>
    <t>Month</t>
  </si>
  <si>
    <t>EMI</t>
  </si>
  <si>
    <t>Interest</t>
  </si>
  <si>
    <t>Principal</t>
  </si>
  <si>
    <t>Formula: FV = PV x [((1+r)^n - 1) / r]</t>
  </si>
  <si>
    <t>Shortfall of -</t>
  </si>
  <si>
    <t>Interpretation: The shortfall above tells Karan will not be able to meet his corpus target with Rs. 3 Lakh/year</t>
  </si>
  <si>
    <t>Required annual investment</t>
  </si>
  <si>
    <t>Q2. Fixed Annual Contribution Needed</t>
  </si>
  <si>
    <t>Formula: PMT = FV / {[((1+r)^n - 1)/r] x (1+r)}</t>
  </si>
  <si>
    <t xml:space="preserve">Formula: </t>
  </si>
  <si>
    <t>Interpretation: Paying at the start of the year gives each contribution 1 extra period of compounding, so a smaller annual amount reaches the same target.</t>
  </si>
  <si>
    <t>Monthly rate, m = nominal/12</t>
  </si>
  <si>
    <t>Number of months, n</t>
  </si>
  <si>
    <t>Interpretation: The EAR is higher than the quoted nominal 12% because monthly compounding lets interest earned early in the year start earning interest itself. This is why SIP returns actually earned can exceed the quoted nominal rate.</t>
  </si>
  <si>
    <t>Discount rate (r)</t>
  </si>
  <si>
    <t>Interpretation: Option A's future value is less than Option B's stated year value, showing that cash flows at different points in time cannot be compared directly, they must be moved to a common time point first before comparison.</t>
  </si>
  <si>
    <t>Interpretation: Rs 9,50,000, 4 years from now is worth less than Rs 9,50,000 today because money in hand today can be invested at 9% p.a. and grow into more by year 4</t>
  </si>
  <si>
    <t>Interpretation: As long as the same discount rate is used, comparing at any common time point gives a consistent ranking. However, Option B carries business risk, unlike a risk-free bank FD. Hence, Meera should really apply a higher, risk-adjusted discount rate to Option B rather than the same 9%.</t>
  </si>
  <si>
    <t>Monthly rate, m = annual/12</t>
  </si>
  <si>
    <t>Formula: EMI = P x m x (1+m)^n / [(1+m)^n - 1]</t>
  </si>
  <si>
    <t xml:space="preserve">Full 144-month schedule is in the - Amortization Schedule tab. Glimpse for the same is given below - </t>
  </si>
  <si>
    <t>Q4. EMI and Total Interest - 8 -Year (96-Month) Tenure</t>
  </si>
  <si>
    <t>Q3. Total Interest Paid - 12 -Year Tenure</t>
  </si>
  <si>
    <t>Interpretation: The 8 year tenure raises the EMI but cuts total interest paid, the trade-off between monthly affordability and total cost of borrowing.</t>
  </si>
  <si>
    <t>Interpretation: Option A minimizes total interest paid since the balance is repaid faster. Option B improves monthly cash flow but costs more interest over time.</t>
  </si>
  <si>
    <t>Priya's Diwali Bonus - Lump Sum vs. SIP (Base / Optimistic / Pessimistic)</t>
  </si>
  <si>
    <t>Given Data (common to all scenarios)</t>
  </si>
  <si>
    <t>Bonus amount</t>
  </si>
  <si>
    <t>Total investment horizon (years)</t>
  </si>
  <si>
    <t>Option B: monthly SIP amount</t>
  </si>
  <si>
    <t>Option B: SIP duration (months)</t>
  </si>
  <si>
    <t>Return Scenarios</t>
  </si>
  <si>
    <t>Scenario</t>
  </si>
  <si>
    <t>Annual Return, r</t>
  </si>
  <si>
    <t>Base</t>
  </si>
  <si>
    <t>Optimistic</t>
  </si>
  <si>
    <t>Pessimistic</t>
  </si>
  <si>
    <t>Q1. Future Value of Option A (Lump Sum) - Each Scenario</t>
  </si>
  <si>
    <t>FV of Option A (Year 10)</t>
  </si>
  <si>
    <t>Q2. Corpus at End of Year 1 (Option B, SIP) - Each Scenario</t>
  </si>
  <si>
    <t>Corpus at End of Year 1</t>
  </si>
  <si>
    <t>Q3. Future Value of Option B at Year 10 - Each Scenario</t>
  </si>
  <si>
    <t>Formula: grow the Year-1 corpus at r for the remaining (n-1) years</t>
  </si>
  <si>
    <t>FV of Option B (Year 10)</t>
  </si>
  <si>
    <t>Q4. Cost of Delay - Each Scenario</t>
  </si>
  <si>
    <t>FV Option A</t>
  </si>
  <si>
    <t>FV Option B</t>
  </si>
  <si>
    <t>Cost of Delay (Rs)</t>
  </si>
  <si>
    <t>Cost of Delay (%)</t>
  </si>
  <si>
    <t>Interpretation: The absolute rupee cost of delay rises as the assumed return rises (highest in the Optimistic scenario, lowest in the Pessimistic scenario) - because a higher return rate makes every year of "lost" compounding more valuable. Timing therefore matters more in strong markets and less in weak ones, even though the percentage cost stays in a fairly narrow band across scenarios.</t>
  </si>
  <si>
    <t>Q5. Does Option A Ever Stop Being the Better Choice?</t>
  </si>
  <si>
    <t>Better option, Base</t>
  </si>
  <si>
    <t>Better option, Optimistic</t>
  </si>
  <si>
    <t>Better option, Pessimistic</t>
  </si>
  <si>
    <t>Interpretation: Option A (Lump Sum) wins in every scenario tested here - the decision is not sensitive to the return assumption in this case. The real argument for a staggered SIP is not about maximizing expected future value; it is about managing the risk of investing the entire bonus right before a market downturn (rupee-cost averaging). A single annual return figure cannot capture that risk, since it assumes the same smooth rate every year.</t>
  </si>
  <si>
    <t>Monthly Rate, m = r/12</t>
  </si>
  <si>
    <t>Formula: FV = PMT x [((1+m)^n - 1) / m]  (month-end)</t>
  </si>
  <si>
    <r>
      <rPr>
        <b/>
        <sz val="12"/>
        <color theme="1"/>
        <rFont val="Calibri"/>
        <family val="2"/>
      </rPr>
      <t>Case: Priya's Diwali Bonus - Lump Sum vs. SIP Investment</t>
    </r>
    <r>
      <rPr>
        <sz val="11"/>
        <color theme="1"/>
        <rFont val="Calibri"/>
        <family val="2"/>
        <charset val="1"/>
      </rPr>
      <t xml:space="preserve">
Background
Priya receives a Diwali bonus of ₹6,00,000. She wants to invest it for 10 years in an equity mutual fund. She is unsure whether to invest the entire bonus immediately as a lump sum, or to keep it in a savings account and drip-feed it into the fund via a 12-month SIP before letting it grow untouched for the rest of the horizon.
When she first ran the numbers, Priya assumed the fund would earn 14% p.a. But equity returns are never guaranteed. Her financial advisor suggests she also check how the decision holds up if the market does much better than expected (an optimistic scenario) or much worse (a pessimistic scenario), so she isn't caught off guard either way.
Data Given
•   Bonus amount = ₹6,00,000
•   Total investment horizon = 10 years
•   Option A (Lump Sum): invest the full ₹6,00,000 today; let it grow annually for all 10 years
•   Option B (Delayed via SIP): invest ₹50,000 at the end of every month for the first 12 months (an ordinary annuity, monthly compounding), this uses up the full ₹6,00,000 bonus by the end of year 1. The corpus built by the end of year 1 then grows annually for the remaining 9 years
Return Scenarios
The same two investment options (A and B) must be evaluated under each of the three return assumptions below. The monthly compounding rate used for the 12-month SIP build-up is simply the annual rate divided by 12, consistent with each scenario.
Scenario           -            	Assumed Annual Return           -            	Rationale
Base	               -            14% p.a.           -            	Priya's original, "most likely" planning assumption for a diversified equity fund
Optimistic           -            	18% p.a.           -            	Strong bull market / favourable economic growth over the decade
Pessimistic           -            	9% p.a.           -            	Weak market conditions, a couple of recession years, or a more conservative fund mix
Questions
Q1. For each of the three scenarios (Base, Optimistic, Pessimistic), compute the future value of Option A, the lump sum of ₹6,00,000 invested today and grown for the full 10 years at that scenario's rate.
Q2. For each of the three scenarios, compute the corpus Priya accumulates by the end of Year 1 under Option B, from investing ₹50,000 at the end of every month for 12 months at that scenario's monthly rate.
Q3. For each scenario, grow the Year-1 corpus from Q2 at that scenario's annual rate for the remaining 9 years to find Priya's total corpus at the end of year 10 under Option B.
Q4. For each scenario, compute the "cost of delay", the gap between Option A's and Option B's final corpus (FV of Option A minus FV of Option B), both in absolute rupees and as a percentage of Option A's corpus.
Q5. Across all three scenarios, does Option A (Lump Sum) ever stop being the better choice? What does this tell Priya about how much the choice between lump sum and SIP investing actually depends on her return assumption, versus depending on something else entirely?</t>
    </r>
  </si>
  <si>
    <t xml:space="preserve">AI Disclosure - </t>
  </si>
  <si>
    <t>We took help from AI in determining if our created Scenario for Lumpsum vs SIP was correct or not. Otherwise, we have done the calculation on our own.</t>
  </si>
  <si>
    <t>Team Members</t>
  </si>
  <si>
    <t>FT Number</t>
  </si>
  <si>
    <t xml:space="preserve">Harshraj </t>
  </si>
  <si>
    <t>FT272017</t>
  </si>
  <si>
    <t xml:space="preserve">Naman </t>
  </si>
  <si>
    <t>FT272022</t>
  </si>
  <si>
    <t>Ojasvi</t>
  </si>
  <si>
    <t>FT261010R</t>
  </si>
  <si>
    <t>Tanmay</t>
  </si>
  <si>
    <t>FT272069</t>
  </si>
  <si>
    <t>Pushkar</t>
  </si>
  <si>
    <t>FT272056</t>
  </si>
  <si>
    <t>Tanya</t>
  </si>
  <si>
    <t>FT272073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</si>
</sst>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
    <numFmt numFmtId="166" formatCode="0.0000%"/>
  </numFmts>
  <fonts count="16" x14ac:knownFonts="1">
    <font>
      <sz val="11"/>
      <color theme="1"/>
      <name val="Calibri"/>
      <family val="2"/>
      <charset val="1"/>
    </font>
    <font>
      <b/>
      <sz val="14"/>
      <name val="Calibri"/>
      <family val="2"/>
    </font>
    <font>
      <sz val="11"/>
      <name val="Calibri"/>
      <family val="2"/>
    </font>
    <font>
      <b/>
      <sz val="11"/>
      <name val="Calibri"/>
      <family val="2"/>
    </font>
    <font>
      <b/>
      <u/>
      <sz val="11"/>
      <name val="Calibri"/>
      <family val="2"/>
    </font>
    <font>
      <sz val="11"/>
      <color theme="1"/>
      <name val="Calibri"/>
      <family val="2"/>
    </font>
    <font>
      <sz val="11"/>
      <name val="Calibri"/>
      <family val="2"/>
      <scheme val="minor"/>
    </font>
    <font>
      <i/>
      <sz val="11"/>
      <name val="Calibri"/>
      <family val="2"/>
      <scheme val="minor"/>
    </font>
    <font>
      <sz val="11"/>
      <color theme="1"/>
      <name val="Arial"/>
      <family val="2"/>
    </font>
    <font>
      <b/>
      <sz val="14"/>
      <color theme="1"/>
      <name val="Arial"/>
      <family val="2"/>
    </font>
    <font>
      <b/>
      <u/>
      <sz val="11"/>
      <color theme="1"/>
      <name val="Arial"/>
      <family val="2"/>
    </font>
    <font>
      <b/>
      <sz val="11"/>
      <color theme="1"/>
      <name val="Arial"/>
      <family val="2"/>
    </font>
    <font>
      <sz val="10"/>
      <color theme="1"/>
      <name val="Arial"/>
      <family val="2"/>
    </font>
    <font>
      <b/>
      <sz val="12"/>
      <color theme="1"/>
      <name val="Calibri"/>
      <family val="2"/>
    </font>
    <font>
      <sz val="20"/>
      <color theme="1"/>
      <name val="Calibri"/>
      <family val="2"/>
      <charset val="1"/>
    </font>
    <font>
      <sz val="26"/>
      <color theme="1"/>
      <name val="Calibri"/>
      <family val="2"/>
      <charset val="1"/>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65" fontId="2" fillId="0" borderId="0" xfId="0" applyNumberFormat="1" applyFont="1"/>
    <xf numFmtId="0" fontId="3" fillId="0" borderId="1" xfId="0" applyFont="1" applyBorder="1" applyAlignment="1">
      <alignment horizontal="left"/>
    </xf>
    <xf numFmtId="0" fontId="3" fillId="0" borderId="1" xfId="0" applyFont="1" applyBorder="1" applyAlignment="1">
      <alignment horizontal="center"/>
    </xf>
    <xf numFmtId="165" fontId="3" fillId="0" borderId="0" xfId="0" applyNumberFormat="1" applyFont="1"/>
    <xf numFmtId="10" fontId="2" fillId="0" borderId="0" xfId="0" applyNumberFormat="1" applyFont="1"/>
    <xf numFmtId="164" fontId="2" fillId="0" borderId="0" xfId="0" applyNumberFormat="1" applyFont="1"/>
    <xf numFmtId="1" fontId="2" fillId="0" borderId="0" xfId="0" applyNumberFormat="1" applyFont="1"/>
    <xf numFmtId="2" fontId="3" fillId="0" borderId="0" xfId="0" applyNumberFormat="1" applyFont="1"/>
    <xf numFmtId="164" fontId="5" fillId="0" borderId="0" xfId="0" applyNumberFormat="1" applyFont="1"/>
    <xf numFmtId="1" fontId="5" fillId="0" borderId="0" xfId="0" applyNumberFormat="1" applyFont="1"/>
    <xf numFmtId="10" fontId="5" fillId="0" borderId="0" xfId="0" applyNumberFormat="1" applyFont="1"/>
    <xf numFmtId="0" fontId="5" fillId="0" borderId="0" xfId="0" applyFont="1"/>
    <xf numFmtId="166" fontId="5" fillId="0" borderId="0" xfId="0" applyNumberFormat="1" applyFont="1"/>
    <xf numFmtId="0" fontId="2" fillId="0" borderId="0" xfId="0" applyFont="1" applyAlignment="1">
      <alignment wrapText="1"/>
    </xf>
    <xf numFmtId="0" fontId="8" fillId="0" borderId="0" xfId="0" applyFont="1"/>
    <xf numFmtId="0" fontId="10" fillId="0" borderId="0" xfId="0" applyFont="1"/>
    <xf numFmtId="164" fontId="8" fillId="0" borderId="0" xfId="0" applyNumberFormat="1" applyFont="1"/>
    <xf numFmtId="1" fontId="8" fillId="0" borderId="0" xfId="0" applyNumberFormat="1" applyFont="1"/>
    <xf numFmtId="0" fontId="11" fillId="0" borderId="1" xfId="0" applyFont="1" applyBorder="1" applyAlignment="1">
      <alignment horizontal="left"/>
    </xf>
    <xf numFmtId="0" fontId="11" fillId="0" borderId="1" xfId="0" applyFont="1" applyBorder="1" applyAlignment="1">
      <alignment horizontal="center"/>
    </xf>
    <xf numFmtId="10" fontId="8" fillId="0" borderId="0" xfId="0" applyNumberFormat="1" applyFont="1"/>
    <xf numFmtId="166" fontId="8" fillId="0" borderId="0" xfId="0" applyNumberFormat="1" applyFont="1"/>
    <xf numFmtId="165" fontId="11" fillId="0" borderId="0" xfId="0" applyNumberFormat="1" applyFont="1"/>
    <xf numFmtId="165" fontId="8" fillId="0" borderId="0" xfId="0" applyNumberFormat="1" applyFont="1"/>
    <xf numFmtId="0" fontId="11" fillId="0" borderId="0" xfId="0" applyFont="1"/>
    <xf numFmtId="0" fontId="13" fillId="0" borderId="0" xfId="0" applyFont="1"/>
    <xf numFmtId="0" fontId="9" fillId="0" borderId="0" xfId="0" applyFont="1" applyAlignment="1">
      <alignment horizontal="center"/>
    </xf>
    <xf numFmtId="0" fontId="5" fillId="0" borderId="0" xfId="0" applyFont="1" applyAlignment="1">
      <alignment horizontal="left" vertical="center" wrapText="1"/>
    </xf>
    <xf numFmtId="0" fontId="0" fillId="0" borderId="0" xfId="0" applyAlignment="1">
      <alignment horizontal="left" vertical="center" wrapText="1"/>
    </xf>
    <xf numFmtId="0" fontId="12" fillId="0" borderId="0" xfId="0" applyFont="1" applyAlignment="1">
      <alignment vertical="top" wrapText="1"/>
    </xf>
    <xf numFmtId="0" fontId="0" fillId="0" borderId="0" xfId="0" applyAlignment="1">
      <alignment horizontal="center"/>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2" fillId="0" borderId="0" xfId="0" applyFont="1" applyAlignment="1">
      <alignment vertical="top" wrapText="1"/>
    </xf>
    <xf numFmtId="0" fontId="15" fillId="0" borderId="0" xfId="0" applyFont="1" applyAlignment="1">
      <alignment horizontal="center"/>
    </xf>
    <xf numFmtId="0" fontId="15" fillId="0" borderId="0" xfId="0" applyFont="1"/>
    <xf numFmtId="0" fontId="14" fillId="0" borderId="0" xfId="0" applyFont="1" applyAlignment="1">
      <alignment vertical="center" wrapText="1"/>
    </xf>
    <xf numFmtId="0" fontId="1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36E36-534D-4714-899A-EA7E021EF3B5}">
  <dimension ref="A2:H17"/>
  <sheetViews>
    <sheetView tabSelected="1" workbookViewId="0">
      <selection activeCell="H7" sqref="H7"/>
    </sheetView>
  </sheetViews>
  <sheetFormatPr defaultRowHeight="14.5" x14ac:dyDescent="0.35"/>
  <cols>
    <col min="4" max="4" width="24.36328125" customWidth="1"/>
    <col min="5" max="5" width="12.26953125" customWidth="1"/>
    <col min="6" max="6" width="23.1796875" bestFit="1" customWidth="1"/>
    <col min="11" max="11" width="14" bestFit="1" customWidth="1"/>
  </cols>
  <sheetData>
    <row r="2" spans="1:8" ht="14.5" customHeight="1" x14ac:dyDescent="0.35">
      <c r="A2" s="42"/>
      <c r="B2" s="43"/>
      <c r="C2" s="43"/>
      <c r="D2" s="43"/>
      <c r="E2" s="43"/>
      <c r="F2" s="43"/>
      <c r="G2" s="43"/>
      <c r="H2" s="43"/>
    </row>
    <row r="3" spans="1:8" ht="14.5" customHeight="1" x14ac:dyDescent="0.35">
      <c r="A3" s="43"/>
      <c r="B3" s="43"/>
      <c r="C3" s="43"/>
      <c r="D3" s="43"/>
      <c r="E3" s="43"/>
      <c r="F3" s="43"/>
      <c r="G3" s="43"/>
      <c r="H3" s="43"/>
    </row>
    <row r="4" spans="1:8" ht="39.5" customHeight="1" x14ac:dyDescent="0.75">
      <c r="A4" s="43"/>
      <c r="B4" s="43"/>
      <c r="C4" s="40" t="s">
        <v>124</v>
      </c>
      <c r="D4" s="40"/>
      <c r="F4" s="41" t="s">
        <v>125</v>
      </c>
      <c r="H4" s="43"/>
    </row>
    <row r="5" spans="1:8" ht="47.5" customHeight="1" x14ac:dyDescent="0.75">
      <c r="A5" s="43"/>
      <c r="B5" s="43"/>
      <c r="C5" s="41"/>
      <c r="D5" s="41" t="s">
        <v>126</v>
      </c>
      <c r="F5" s="41" t="s">
        <v>127</v>
      </c>
      <c r="H5" s="43"/>
    </row>
    <row r="6" spans="1:8" ht="43.5" customHeight="1" x14ac:dyDescent="0.75">
      <c r="A6" s="43"/>
      <c r="B6" s="43"/>
      <c r="C6" s="41"/>
      <c r="D6" s="41" t="s">
        <v>128</v>
      </c>
      <c r="F6" s="41" t="s">
        <v>129</v>
      </c>
      <c r="H6" s="43"/>
    </row>
    <row r="7" spans="1:8" ht="42" customHeight="1" x14ac:dyDescent="0.75">
      <c r="A7" s="43"/>
      <c r="B7" s="43"/>
      <c r="C7" s="41"/>
      <c r="D7" s="41" t="s">
        <v>130</v>
      </c>
      <c r="F7" s="41" t="s">
        <v>131</v>
      </c>
      <c r="H7" s="43"/>
    </row>
    <row r="8" spans="1:8" ht="48.5" customHeight="1" x14ac:dyDescent="0.75">
      <c r="A8" s="43"/>
      <c r="B8" s="43"/>
      <c r="C8" s="41"/>
      <c r="D8" s="41" t="s">
        <v>132</v>
      </c>
      <c r="F8" s="41" t="s">
        <v>133</v>
      </c>
      <c r="H8" s="43"/>
    </row>
    <row r="9" spans="1:8" ht="40.5" customHeight="1" x14ac:dyDescent="0.75">
      <c r="A9" s="43"/>
      <c r="B9" s="43"/>
      <c r="C9" s="41"/>
      <c r="D9" s="41" t="s">
        <v>134</v>
      </c>
      <c r="F9" s="41" t="s">
        <v>135</v>
      </c>
      <c r="H9" s="43"/>
    </row>
    <row r="10" spans="1:8" ht="47" customHeight="1" x14ac:dyDescent="0.75">
      <c r="A10" s="43"/>
      <c r="B10" s="43"/>
      <c r="C10" s="41"/>
      <c r="D10" s="41" t="s">
        <v>136</v>
      </c>
      <c r="F10" s="41" t="s">
        <v>137</v>
      </c>
      <c r="H10" s="43"/>
    </row>
    <row r="11" spans="1:8" ht="26" x14ac:dyDescent="0.35">
      <c r="A11" s="43"/>
      <c r="B11" s="43"/>
      <c r="C11" s="43"/>
      <c r="D11" s="43"/>
      <c r="E11" s="43"/>
      <c r="F11" s="43"/>
      <c r="G11" s="43"/>
      <c r="H11" s="43"/>
    </row>
    <row r="12" spans="1:8" ht="26" x14ac:dyDescent="0.35">
      <c r="A12" s="43"/>
      <c r="B12" s="43"/>
      <c r="C12" s="43"/>
      <c r="D12" s="43"/>
      <c r="E12" s="43"/>
      <c r="F12" s="43"/>
      <c r="G12" s="43"/>
      <c r="H12" s="43"/>
    </row>
    <row r="13" spans="1:8" ht="14.5" customHeight="1" x14ac:dyDescent="0.35">
      <c r="A13" s="43"/>
      <c r="B13" s="43"/>
      <c r="C13" s="43"/>
      <c r="D13" s="43"/>
      <c r="E13" s="43"/>
      <c r="F13" s="43"/>
      <c r="G13" s="43"/>
      <c r="H13" s="43"/>
    </row>
    <row r="14" spans="1:8" ht="14.5" customHeight="1" x14ac:dyDescent="0.35">
      <c r="A14" s="43"/>
      <c r="B14" s="43"/>
      <c r="C14" s="43"/>
      <c r="D14" s="43"/>
      <c r="E14" s="43"/>
      <c r="F14" s="43"/>
      <c r="G14" s="43"/>
      <c r="H14" s="43"/>
    </row>
    <row r="15" spans="1:8" ht="14.5" customHeight="1" x14ac:dyDescent="0.35">
      <c r="A15" s="43"/>
      <c r="B15" s="43"/>
      <c r="C15" s="43"/>
      <c r="D15" s="43"/>
      <c r="E15" s="43"/>
      <c r="F15" s="43"/>
      <c r="G15" s="43"/>
      <c r="H15" s="43"/>
    </row>
    <row r="16" spans="1:8" ht="14.5" customHeight="1" x14ac:dyDescent="0.35">
      <c r="A16" s="43"/>
      <c r="B16" s="43"/>
      <c r="C16" s="43"/>
      <c r="D16" s="43"/>
      <c r="E16" s="43"/>
      <c r="F16" s="43"/>
      <c r="G16" s="43"/>
      <c r="H16" s="43"/>
    </row>
    <row r="17" spans="1:8" ht="14.5" customHeight="1" x14ac:dyDescent="0.35">
      <c r="A17" s="43"/>
      <c r="B17" s="43"/>
      <c r="C17" s="43"/>
      <c r="D17" s="43"/>
      <c r="E17" s="43"/>
      <c r="F17" s="43"/>
      <c r="G17" s="43"/>
      <c r="H17" s="43"/>
    </row>
  </sheetData>
  <mergeCells count="1">
    <mergeCell ref="C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25"/>
  <sheetViews>
    <sheetView zoomScaleNormal="100" workbookViewId="0">
      <selection activeCell="B14" sqref="B14"/>
    </sheetView>
  </sheetViews>
  <sheetFormatPr defaultColWidth="8.6328125" defaultRowHeight="14.5" x14ac:dyDescent="0.35"/>
  <cols>
    <col min="1" max="1" width="38" style="16" customWidth="1"/>
    <col min="2" max="4" width="16" style="16" customWidth="1"/>
    <col min="5" max="5" width="14" style="16" customWidth="1"/>
    <col min="6" max="16384" width="8.6328125" style="16"/>
  </cols>
  <sheetData>
    <row r="1" spans="1:7" x14ac:dyDescent="0.35">
      <c r="A1" s="3" t="s">
        <v>0</v>
      </c>
    </row>
    <row r="3" spans="1:7" x14ac:dyDescent="0.35">
      <c r="A3" s="4" t="s">
        <v>1</v>
      </c>
    </row>
    <row r="4" spans="1:7" x14ac:dyDescent="0.35">
      <c r="A4" s="2" t="s">
        <v>2</v>
      </c>
      <c r="B4" s="13">
        <v>600000</v>
      </c>
    </row>
    <row r="5" spans="1:7" x14ac:dyDescent="0.35">
      <c r="A5" s="2" t="s">
        <v>3</v>
      </c>
      <c r="B5" s="13">
        <v>950000</v>
      </c>
    </row>
    <row r="6" spans="1:7" x14ac:dyDescent="0.35">
      <c r="A6" s="2" t="s">
        <v>78</v>
      </c>
      <c r="B6" s="15">
        <v>0.09</v>
      </c>
    </row>
    <row r="7" spans="1:7" x14ac:dyDescent="0.35">
      <c r="A7" s="2" t="s">
        <v>4</v>
      </c>
      <c r="B7" s="14">
        <v>4</v>
      </c>
    </row>
    <row r="9" spans="1:7" x14ac:dyDescent="0.35">
      <c r="A9" s="4" t="s">
        <v>5</v>
      </c>
    </row>
    <row r="10" spans="1:7" x14ac:dyDescent="0.35">
      <c r="A10" s="2" t="s">
        <v>6</v>
      </c>
    </row>
    <row r="11" spans="1:7" x14ac:dyDescent="0.35">
      <c r="A11" s="2" t="s">
        <v>7</v>
      </c>
      <c r="B11" s="5">
        <f>FV(B6,B7,0,-B4)</f>
        <v>846948.96600000013</v>
      </c>
    </row>
    <row r="12" spans="1:7" ht="45" customHeight="1" x14ac:dyDescent="0.35">
      <c r="A12" s="36" t="s">
        <v>79</v>
      </c>
      <c r="B12" s="36"/>
      <c r="C12" s="36"/>
      <c r="D12" s="36"/>
      <c r="E12" s="36"/>
      <c r="F12" s="36"/>
      <c r="G12" s="36"/>
    </row>
    <row r="14" spans="1:7" x14ac:dyDescent="0.35">
      <c r="A14" s="4" t="s">
        <v>8</v>
      </c>
    </row>
    <row r="15" spans="1:7" x14ac:dyDescent="0.35">
      <c r="A15" s="2" t="s">
        <v>9</v>
      </c>
    </row>
    <row r="16" spans="1:7" x14ac:dyDescent="0.35">
      <c r="A16" s="2" t="s">
        <v>10</v>
      </c>
      <c r="B16" s="5">
        <f>PV(B6,B7,0,-B5)</f>
        <v>673003.95051193668</v>
      </c>
    </row>
    <row r="17" spans="1:7" ht="45" customHeight="1" x14ac:dyDescent="0.35">
      <c r="A17" s="36" t="s">
        <v>80</v>
      </c>
      <c r="B17" s="36"/>
      <c r="C17" s="36"/>
      <c r="D17" s="36"/>
      <c r="E17" s="36"/>
      <c r="F17" s="36"/>
      <c r="G17" s="36"/>
    </row>
    <row r="19" spans="1:7" x14ac:dyDescent="0.35">
      <c r="A19" s="4" t="s">
        <v>11</v>
      </c>
    </row>
    <row r="20" spans="1:7" x14ac:dyDescent="0.35">
      <c r="A20" s="6" t="s">
        <v>12</v>
      </c>
      <c r="B20" s="7" t="s">
        <v>13</v>
      </c>
      <c r="C20" s="7" t="s">
        <v>14</v>
      </c>
      <c r="D20" s="7" t="s">
        <v>15</v>
      </c>
    </row>
    <row r="21" spans="1:7" x14ac:dyDescent="0.35">
      <c r="A21" s="2" t="s">
        <v>16</v>
      </c>
      <c r="B21" s="5">
        <f>B11</f>
        <v>846948.96600000013</v>
      </c>
      <c r="C21" s="5">
        <f>B5</f>
        <v>950000</v>
      </c>
      <c r="D21" s="2" t="str">
        <f>IF(B21&gt;C21,"Option A","Option B")</f>
        <v>Option B</v>
      </c>
    </row>
    <row r="22" spans="1:7" x14ac:dyDescent="0.35">
      <c r="A22" s="2" t="s">
        <v>17</v>
      </c>
      <c r="B22" s="5">
        <f>B4</f>
        <v>600000</v>
      </c>
      <c r="C22" s="5">
        <f>B16</f>
        <v>673003.95051193668</v>
      </c>
      <c r="D22" s="2" t="str">
        <f>IF(B22&gt;C22,"Option A","Option B")</f>
        <v>Option B</v>
      </c>
    </row>
    <row r="24" spans="1:7" x14ac:dyDescent="0.35">
      <c r="A24" s="3" t="s">
        <v>18</v>
      </c>
      <c r="B24" s="3" t="str">
        <f>D22</f>
        <v>Option B</v>
      </c>
    </row>
    <row r="25" spans="1:7" ht="45" customHeight="1" x14ac:dyDescent="0.35">
      <c r="A25" s="36" t="s">
        <v>81</v>
      </c>
      <c r="B25" s="36"/>
      <c r="C25" s="36"/>
      <c r="D25" s="36"/>
      <c r="E25" s="36"/>
      <c r="F25" s="36"/>
      <c r="G25" s="36"/>
    </row>
  </sheetData>
  <mergeCells count="3">
    <mergeCell ref="A12:G12"/>
    <mergeCell ref="A17:G17"/>
    <mergeCell ref="A25:G25"/>
  </mergeCells>
  <pageMargins left="0.5" right="0.5" top="0.6" bottom="0.6"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33"/>
  <sheetViews>
    <sheetView zoomScale="104" zoomScaleNormal="100" workbookViewId="0">
      <selection activeCell="A36" sqref="A36"/>
    </sheetView>
  </sheetViews>
  <sheetFormatPr defaultColWidth="8.6328125" defaultRowHeight="14.5" x14ac:dyDescent="0.35"/>
  <cols>
    <col min="1" max="1" width="56.36328125" style="16" bestFit="1" customWidth="1"/>
    <col min="2" max="4" width="16" style="16" customWidth="1"/>
    <col min="5" max="5" width="14" style="16" customWidth="1"/>
    <col min="6" max="16384" width="8.6328125" style="16"/>
  </cols>
  <sheetData>
    <row r="1" spans="1:7" x14ac:dyDescent="0.35">
      <c r="A1" s="3" t="s">
        <v>19</v>
      </c>
    </row>
    <row r="3" spans="1:7" x14ac:dyDescent="0.35">
      <c r="A3" s="4" t="s">
        <v>1</v>
      </c>
    </row>
    <row r="4" spans="1:7" x14ac:dyDescent="0.35">
      <c r="A4" s="2" t="s">
        <v>20</v>
      </c>
      <c r="B4" s="13">
        <v>7500000</v>
      </c>
    </row>
    <row r="5" spans="1:7" x14ac:dyDescent="0.35">
      <c r="A5" s="2" t="s">
        <v>4</v>
      </c>
      <c r="B5" s="14">
        <v>12</v>
      </c>
    </row>
    <row r="6" spans="1:7" x14ac:dyDescent="0.35">
      <c r="A6" s="2" t="s">
        <v>21</v>
      </c>
      <c r="B6" s="15">
        <v>0.12</v>
      </c>
    </row>
    <row r="7" spans="1:7" x14ac:dyDescent="0.35">
      <c r="A7" s="2"/>
      <c r="B7" s="13"/>
    </row>
    <row r="9" spans="1:7" x14ac:dyDescent="0.35">
      <c r="A9" s="4" t="s">
        <v>23</v>
      </c>
    </row>
    <row r="10" spans="1:7" x14ac:dyDescent="0.35">
      <c r="A10" s="2" t="s">
        <v>22</v>
      </c>
      <c r="B10" s="13">
        <v>300000</v>
      </c>
    </row>
    <row r="11" spans="1:7" x14ac:dyDescent="0.35">
      <c r="A11" s="2" t="s">
        <v>67</v>
      </c>
    </row>
    <row r="12" spans="1:7" x14ac:dyDescent="0.35">
      <c r="A12" s="2" t="s">
        <v>24</v>
      </c>
      <c r="B12" s="5">
        <f>FV(B6,B5,-B10,0,0)</f>
        <v>7239939.9813674474</v>
      </c>
    </row>
    <row r="13" spans="1:7" x14ac:dyDescent="0.35">
      <c r="A13" s="2" t="s">
        <v>68</v>
      </c>
      <c r="B13" s="5">
        <f>B4-B12</f>
        <v>260060.01863255259</v>
      </c>
    </row>
    <row r="14" spans="1:7" ht="25.5" customHeight="1" x14ac:dyDescent="0.35">
      <c r="A14" s="37" t="s">
        <v>69</v>
      </c>
      <c r="B14" s="38"/>
      <c r="C14" s="38"/>
      <c r="D14" s="38"/>
      <c r="E14" s="38"/>
      <c r="F14" s="38"/>
      <c r="G14" s="38"/>
    </row>
    <row r="16" spans="1:7" x14ac:dyDescent="0.35">
      <c r="A16" s="4" t="s">
        <v>71</v>
      </c>
    </row>
    <row r="17" spans="1:7" x14ac:dyDescent="0.35">
      <c r="A17" s="2" t="s">
        <v>73</v>
      </c>
      <c r="B17" s="16" t="str">
        <f ca="1">_xlfn.FORMULATEXT(B18)</f>
        <v>=-PMT(B6,B5,0,B4,0)</v>
      </c>
    </row>
    <row r="18" spans="1:7" x14ac:dyDescent="0.35">
      <c r="A18" s="2" t="s">
        <v>70</v>
      </c>
      <c r="B18" s="8">
        <f>-PMT(B6,B5,0,B4,0)</f>
        <v>310776.05695496831</v>
      </c>
    </row>
    <row r="20" spans="1:7" x14ac:dyDescent="0.35">
      <c r="A20" s="4" t="s">
        <v>25</v>
      </c>
    </row>
    <row r="21" spans="1:7" x14ac:dyDescent="0.35">
      <c r="A21" s="2" t="s">
        <v>72</v>
      </c>
    </row>
    <row r="22" spans="1:7" x14ac:dyDescent="0.35">
      <c r="A22" s="2" t="s">
        <v>26</v>
      </c>
      <c r="B22" s="8">
        <f>-PMT(B6,B5,0,B4,1)</f>
        <v>277478.62228122173</v>
      </c>
    </row>
    <row r="23" spans="1:7" x14ac:dyDescent="0.35">
      <c r="A23" s="2" t="s">
        <v>27</v>
      </c>
      <c r="B23" s="5">
        <f>B18-B22</f>
        <v>33297.434673746582</v>
      </c>
    </row>
    <row r="24" spans="1:7" ht="45" customHeight="1" x14ac:dyDescent="0.35">
      <c r="A24" s="39" t="s">
        <v>74</v>
      </c>
      <c r="B24" s="39"/>
      <c r="C24" s="39"/>
      <c r="D24" s="39"/>
      <c r="E24" s="39"/>
      <c r="F24" s="39"/>
      <c r="G24" s="39"/>
    </row>
    <row r="26" spans="1:7" x14ac:dyDescent="0.35">
      <c r="A26" s="4" t="s">
        <v>28</v>
      </c>
    </row>
    <row r="27" spans="1:7" x14ac:dyDescent="0.35">
      <c r="A27" s="2" t="s">
        <v>29</v>
      </c>
      <c r="B27" s="15">
        <v>0.12</v>
      </c>
    </row>
    <row r="28" spans="1:7" x14ac:dyDescent="0.35">
      <c r="A28" s="2" t="s">
        <v>75</v>
      </c>
      <c r="B28" s="17">
        <f>B27/12</f>
        <v>0.01</v>
      </c>
    </row>
    <row r="29" spans="1:7" x14ac:dyDescent="0.35">
      <c r="A29" s="2" t="s">
        <v>76</v>
      </c>
      <c r="B29" s="14">
        <v>144</v>
      </c>
    </row>
    <row r="30" spans="1:7" x14ac:dyDescent="0.35">
      <c r="A30" s="2" t="s">
        <v>30</v>
      </c>
      <c r="B30" s="8">
        <f>-PMT(B28,B29,0,B4,0)</f>
        <v>23506.435607730895</v>
      </c>
    </row>
    <row r="32" spans="1:7" x14ac:dyDescent="0.35">
      <c r="A32" s="2" t="s">
        <v>31</v>
      </c>
      <c r="B32" s="9">
        <f>(1+B28)^12-1</f>
        <v>0.12682503013196977</v>
      </c>
    </row>
    <row r="33" spans="1:7" ht="45" customHeight="1" x14ac:dyDescent="0.35">
      <c r="A33" s="39" t="s">
        <v>77</v>
      </c>
      <c r="B33" s="39"/>
      <c r="C33" s="39"/>
      <c r="D33" s="39"/>
      <c r="E33" s="39"/>
      <c r="F33" s="39"/>
      <c r="G33" s="39"/>
    </row>
  </sheetData>
  <mergeCells count="3">
    <mergeCell ref="A14:G14"/>
    <mergeCell ref="A24:G24"/>
    <mergeCell ref="A33:G33"/>
  </mergeCells>
  <pageMargins left="0.5" right="0.5" top="0.6" bottom="0.6"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6"/>
  <sheetViews>
    <sheetView zoomScaleNormal="100" workbookViewId="0">
      <selection activeCell="A40" sqref="A40:G40"/>
    </sheetView>
  </sheetViews>
  <sheetFormatPr defaultColWidth="8.6328125" defaultRowHeight="14.5" x14ac:dyDescent="0.35"/>
  <cols>
    <col min="1" max="1" width="42" style="16" customWidth="1"/>
    <col min="2" max="6" width="16" style="16" customWidth="1"/>
    <col min="7" max="16384" width="8.6328125" style="16"/>
  </cols>
  <sheetData>
    <row r="1" spans="1:2" x14ac:dyDescent="0.35">
      <c r="A1" s="3" t="s">
        <v>32</v>
      </c>
    </row>
    <row r="3" spans="1:2" x14ac:dyDescent="0.35">
      <c r="A3" s="4" t="s">
        <v>1</v>
      </c>
    </row>
    <row r="4" spans="1:2" x14ac:dyDescent="0.35">
      <c r="A4" s="2" t="s">
        <v>33</v>
      </c>
      <c r="B4" s="13">
        <v>3500000</v>
      </c>
    </row>
    <row r="5" spans="1:2" x14ac:dyDescent="0.35">
      <c r="A5" s="2" t="s">
        <v>34</v>
      </c>
      <c r="B5" s="15">
        <v>0.09</v>
      </c>
    </row>
    <row r="6" spans="1:2" x14ac:dyDescent="0.35">
      <c r="A6" s="2" t="s">
        <v>82</v>
      </c>
      <c r="B6" s="17">
        <f>B5/12</f>
        <v>7.4999999999999997E-3</v>
      </c>
    </row>
    <row r="7" spans="1:2" x14ac:dyDescent="0.35">
      <c r="A7" s="2" t="s">
        <v>35</v>
      </c>
      <c r="B7" s="14">
        <v>144</v>
      </c>
    </row>
    <row r="8" spans="1:2" x14ac:dyDescent="0.35">
      <c r="A8" s="2" t="s">
        <v>36</v>
      </c>
      <c r="B8" s="14">
        <v>96</v>
      </c>
    </row>
    <row r="10" spans="1:2" x14ac:dyDescent="0.35">
      <c r="A10" s="4" t="s">
        <v>37</v>
      </c>
    </row>
    <row r="11" spans="1:2" x14ac:dyDescent="0.35">
      <c r="A11" s="2" t="s">
        <v>83</v>
      </c>
    </row>
    <row r="12" spans="1:2" x14ac:dyDescent="0.35">
      <c r="A12" s="2" t="s">
        <v>38</v>
      </c>
      <c r="B12" s="8">
        <f>-PMT(B6,B7,B4,0,0)</f>
        <v>39831.074386614207</v>
      </c>
    </row>
    <row r="14" spans="1:2" x14ac:dyDescent="0.35">
      <c r="A14" s="4" t="s">
        <v>39</v>
      </c>
    </row>
    <row r="15" spans="1:2" ht="43.5" x14ac:dyDescent="0.35">
      <c r="A15" s="18" t="s">
        <v>84</v>
      </c>
    </row>
    <row r="17" spans="1:6" x14ac:dyDescent="0.35">
      <c r="A17" s="6" t="s">
        <v>40</v>
      </c>
      <c r="B17" s="7" t="s">
        <v>41</v>
      </c>
      <c r="C17" s="7" t="s">
        <v>42</v>
      </c>
      <c r="D17" s="7" t="s">
        <v>43</v>
      </c>
      <c r="E17" s="7" t="s">
        <v>44</v>
      </c>
      <c r="F17" s="7" t="s">
        <v>45</v>
      </c>
    </row>
    <row r="18" spans="1:6" x14ac:dyDescent="0.35">
      <c r="A18" s="2">
        <v>1</v>
      </c>
      <c r="B18" s="10">
        <f>B4</f>
        <v>3500000</v>
      </c>
      <c r="C18" s="10">
        <f>SUM('Amortization Schedule'!C4:C15)</f>
        <v>477972.89263937046</v>
      </c>
      <c r="D18" s="10">
        <f>SUM('Amortization Schedule'!D4:D15)</f>
        <v>308106.43193975341</v>
      </c>
      <c r="E18" s="10">
        <f>SUM('Amortization Schedule'!E4:E15)</f>
        <v>169866.46069961711</v>
      </c>
      <c r="F18" s="10">
        <f>'Amortization Schedule'!G15</f>
        <v>3330133.5393003831</v>
      </c>
    </row>
    <row r="19" spans="1:6" x14ac:dyDescent="0.35">
      <c r="A19" s="2">
        <v>2</v>
      </c>
      <c r="B19" s="10">
        <f>'Amortization Schedule'!G15</f>
        <v>3330133.5393003831</v>
      </c>
      <c r="C19" s="10">
        <f>SUM('Amortization Schedule'!C16:C27)</f>
        <v>477972.89263937046</v>
      </c>
      <c r="D19" s="10">
        <f>SUM('Amortization Schedule'!D16:D27)</f>
        <v>292171.78624317236</v>
      </c>
      <c r="E19" s="10">
        <f>SUM('Amortization Schedule'!E16:E27)</f>
        <v>185801.10639619813</v>
      </c>
      <c r="F19" s="10">
        <f>'Amortization Schedule'!G27</f>
        <v>3144332.4329041853</v>
      </c>
    </row>
    <row r="20" spans="1:6" x14ac:dyDescent="0.35">
      <c r="A20" s="2">
        <v>3</v>
      </c>
      <c r="B20" s="10">
        <f>'Amortization Schedule'!G27</f>
        <v>3144332.4329041853</v>
      </c>
      <c r="C20" s="10">
        <f>SUM('Amortization Schedule'!C28:C39)</f>
        <v>477972.89263937046</v>
      </c>
      <c r="D20" s="10">
        <f>SUM('Amortization Schedule'!D28:D39)</f>
        <v>274742.36086830881</v>
      </c>
      <c r="E20" s="10">
        <f>SUM('Amortization Schedule'!E28:E39)</f>
        <v>203230.53177106168</v>
      </c>
      <c r="F20" s="10">
        <f>'Amortization Schedule'!G39</f>
        <v>2941101.9011331243</v>
      </c>
    </row>
    <row r="21" spans="1:6" x14ac:dyDescent="0.35">
      <c r="A21" s="2">
        <v>4</v>
      </c>
      <c r="B21" s="10">
        <f>'Amortization Schedule'!G39</f>
        <v>2941101.9011331243</v>
      </c>
      <c r="C21" s="10">
        <f>SUM('Amortization Schedule'!C40:C51)</f>
        <v>477972.89263937046</v>
      </c>
      <c r="D21" s="10">
        <f>SUM('Amortization Schedule'!D40:D51)</f>
        <v>255677.9351708414</v>
      </c>
      <c r="E21" s="10">
        <f>SUM('Amortization Schedule'!E40:E51)</f>
        <v>222294.957468529</v>
      </c>
      <c r="F21" s="10">
        <f>'Amortization Schedule'!G51</f>
        <v>2718806.9436645955</v>
      </c>
    </row>
    <row r="22" spans="1:6" x14ac:dyDescent="0.35">
      <c r="A22" s="2">
        <v>5</v>
      </c>
      <c r="B22" s="10">
        <f>'Amortization Schedule'!G51</f>
        <v>2718806.9436645955</v>
      </c>
      <c r="C22" s="10">
        <f>SUM('Amortization Schedule'!C52:C63)</f>
        <v>477972.89263937046</v>
      </c>
      <c r="D22" s="10">
        <f>SUM('Amortization Schedule'!D52:D63)</f>
        <v>234825.13484281563</v>
      </c>
      <c r="E22" s="10">
        <f>SUM('Amortization Schedule'!E52:E63)</f>
        <v>243147.75779655483</v>
      </c>
      <c r="F22" s="10">
        <f>'Amortization Schedule'!G63</f>
        <v>2475659.1858680411</v>
      </c>
    </row>
    <row r="23" spans="1:6" x14ac:dyDescent="0.35">
      <c r="A23" s="2">
        <v>6</v>
      </c>
      <c r="B23" s="10">
        <f>'Amortization Schedule'!G63</f>
        <v>2475659.1858680411</v>
      </c>
      <c r="C23" s="10">
        <f>SUM('Amortization Schedule'!C64:C75)</f>
        <v>477972.89263937046</v>
      </c>
      <c r="D23" s="10">
        <f>SUM('Amortization Schedule'!D64:D75)</f>
        <v>212016.19800826526</v>
      </c>
      <c r="E23" s="10">
        <f>SUM('Amortization Schedule'!E64:E75)</f>
        <v>265956.69463110529</v>
      </c>
      <c r="F23" s="10">
        <f>'Amortization Schedule'!G75</f>
        <v>2209702.4912369358</v>
      </c>
    </row>
    <row r="24" spans="1:6" x14ac:dyDescent="0.35">
      <c r="A24" s="2">
        <v>7</v>
      </c>
      <c r="B24" s="10">
        <f>'Amortization Schedule'!G75</f>
        <v>2209702.4912369358</v>
      </c>
      <c r="C24" s="10">
        <f>SUM('Amortization Schedule'!C76:C87)</f>
        <v>477972.89263937046</v>
      </c>
      <c r="D24" s="10">
        <f>SUM('Amortization Schedule'!D76:D87)</f>
        <v>187067.62557009229</v>
      </c>
      <c r="E24" s="10">
        <f>SUM('Amortization Schedule'!E76:E87)</f>
        <v>290905.26706927828</v>
      </c>
      <c r="F24" s="10">
        <f>'Amortization Schedule'!G87</f>
        <v>1918797.2241676576</v>
      </c>
    </row>
    <row r="25" spans="1:6" x14ac:dyDescent="0.35">
      <c r="A25" s="2">
        <v>8</v>
      </c>
      <c r="B25" s="10">
        <f>'Amortization Schedule'!G87</f>
        <v>1918797.2241676576</v>
      </c>
      <c r="C25" s="10">
        <f>SUM('Amortization Schedule'!C88:C99)</f>
        <v>477972.89263937046</v>
      </c>
      <c r="D25" s="10">
        <f>SUM('Amortization Schedule'!D88:D99)</f>
        <v>159778.70495017449</v>
      </c>
      <c r="E25" s="10">
        <f>SUM('Amortization Schedule'!E88:E99)</f>
        <v>318194.18768919597</v>
      </c>
      <c r="F25" s="10">
        <f>'Amortization Schedule'!G99</f>
        <v>1600603.0364784612</v>
      </c>
    </row>
    <row r="26" spans="1:6" x14ac:dyDescent="0.35">
      <c r="A26" s="2">
        <v>9</v>
      </c>
      <c r="B26" s="10">
        <f>'Amortization Schedule'!G99</f>
        <v>1600603.0364784612</v>
      </c>
      <c r="C26" s="10">
        <f>SUM('Amortization Schedule'!C100:C111)</f>
        <v>477972.89263937046</v>
      </c>
      <c r="D26" s="10">
        <f>SUM('Amortization Schedule'!D100:D111)</f>
        <v>129929.89534611249</v>
      </c>
      <c r="E26" s="10">
        <f>SUM('Amortization Schedule'!E100:E111)</f>
        <v>348042.99729325803</v>
      </c>
      <c r="F26" s="10">
        <f>'Amortization Schedule'!G111</f>
        <v>1252560.0391852031</v>
      </c>
    </row>
    <row r="27" spans="1:6" x14ac:dyDescent="0.35">
      <c r="A27" s="2">
        <v>10</v>
      </c>
      <c r="B27" s="10">
        <f>'Amortization Schedule'!G111</f>
        <v>1252560.0391852031</v>
      </c>
      <c r="C27" s="10">
        <f>SUM('Amortization Schedule'!C112:C123)</f>
        <v>477972.89263937046</v>
      </c>
      <c r="D27" s="10">
        <f>SUM('Amortization Schedule'!D112:D123)</f>
        <v>97281.061513921581</v>
      </c>
      <c r="E27" s="10">
        <f>SUM('Amortization Schedule'!E112:E123)</f>
        <v>380691.83112544892</v>
      </c>
      <c r="F27" s="10">
        <f>'Amortization Schedule'!G123</f>
        <v>871868.20805975411</v>
      </c>
    </row>
    <row r="28" spans="1:6" x14ac:dyDescent="0.35">
      <c r="A28" s="2">
        <v>11</v>
      </c>
      <c r="B28" s="10">
        <f>'Amortization Schedule'!G123</f>
        <v>871868.20805975411</v>
      </c>
      <c r="C28" s="10">
        <f>SUM('Amortization Schedule'!C124:C135)</f>
        <v>477972.89263937046</v>
      </c>
      <c r="D28" s="10">
        <f>SUM('Amortization Schedule'!D124:D135)</f>
        <v>61569.541867357424</v>
      </c>
      <c r="E28" s="10">
        <f>SUM('Amortization Schedule'!E124:E135)</f>
        <v>416403.35077201313</v>
      </c>
      <c r="F28" s="10">
        <f>'Amortization Schedule'!G135</f>
        <v>455464.85728774109</v>
      </c>
    </row>
    <row r="29" spans="1:6" x14ac:dyDescent="0.35">
      <c r="A29" s="2">
        <v>12</v>
      </c>
      <c r="B29" s="10">
        <f>'Amortization Schedule'!G135</f>
        <v>455464.85728774109</v>
      </c>
      <c r="C29" s="10">
        <f>SUM('Amortization Schedule'!C136:C147)</f>
        <v>477972.89263937046</v>
      </c>
      <c r="D29" s="10">
        <f>SUM('Amortization Schedule'!D136:D147)</f>
        <v>22508.035351632727</v>
      </c>
      <c r="E29" s="10">
        <f>SUM('Amortization Schedule'!E136:E147)</f>
        <v>455464.85728773772</v>
      </c>
      <c r="F29" s="10">
        <f>'Amortization Schedule'!G147</f>
        <v>3.2960087992250919E-9</v>
      </c>
    </row>
    <row r="31" spans="1:6" x14ac:dyDescent="0.35">
      <c r="A31" s="4" t="s">
        <v>86</v>
      </c>
    </row>
    <row r="32" spans="1:6" x14ac:dyDescent="0.35">
      <c r="A32" s="2" t="s">
        <v>46</v>
      </c>
    </row>
    <row r="33" spans="1:7" x14ac:dyDescent="0.35">
      <c r="A33" s="2" t="s">
        <v>47</v>
      </c>
      <c r="B33" s="8">
        <f>(B12*B7)-B4</f>
        <v>2235674.7116724458</v>
      </c>
    </row>
    <row r="35" spans="1:7" x14ac:dyDescent="0.35">
      <c r="A35" s="4" t="s">
        <v>85</v>
      </c>
    </row>
    <row r="36" spans="1:7" x14ac:dyDescent="0.35">
      <c r="A36" s="2" t="s">
        <v>48</v>
      </c>
      <c r="B36" s="8">
        <f>-PMT(B6,B8,B4,0,0)</f>
        <v>51275.711457925383</v>
      </c>
    </row>
    <row r="37" spans="1:7" x14ac:dyDescent="0.35">
      <c r="A37" s="2" t="s">
        <v>49</v>
      </c>
      <c r="B37" s="8">
        <f>(B36*B8)-B4</f>
        <v>1422468.2999608368</v>
      </c>
    </row>
    <row r="38" spans="1:7" x14ac:dyDescent="0.35">
      <c r="A38" s="2" t="s">
        <v>50</v>
      </c>
      <c r="B38" s="5">
        <f>B36-B12</f>
        <v>11444.637071311176</v>
      </c>
    </row>
    <row r="39" spans="1:7" x14ac:dyDescent="0.35">
      <c r="A39" s="2" t="s">
        <v>51</v>
      </c>
      <c r="B39" s="5">
        <f>B33-B37</f>
        <v>813206.41171160899</v>
      </c>
    </row>
    <row r="40" spans="1:7" ht="45" customHeight="1" x14ac:dyDescent="0.35">
      <c r="A40" s="39" t="s">
        <v>87</v>
      </c>
      <c r="B40" s="39"/>
      <c r="C40" s="39"/>
      <c r="D40" s="39"/>
      <c r="E40" s="39"/>
      <c r="F40" s="39"/>
      <c r="G40" s="39"/>
    </row>
    <row r="42" spans="1:7" x14ac:dyDescent="0.35">
      <c r="A42" s="4" t="s">
        <v>52</v>
      </c>
    </row>
    <row r="43" spans="1:7" x14ac:dyDescent="0.35">
      <c r="A43" s="2" t="s">
        <v>53</v>
      </c>
      <c r="B43" s="8">
        <f>'Amortization Schedule'!G51</f>
        <v>2718806.9436645955</v>
      </c>
    </row>
    <row r="45" spans="1:7" x14ac:dyDescent="0.35">
      <c r="A45" s="4" t="s">
        <v>54</v>
      </c>
    </row>
    <row r="46" spans="1:7" x14ac:dyDescent="0.35">
      <c r="A46" s="2" t="s">
        <v>55</v>
      </c>
      <c r="B46" s="13">
        <v>400000</v>
      </c>
    </row>
    <row r="47" spans="1:7" x14ac:dyDescent="0.35">
      <c r="A47" s="2" t="s">
        <v>56</v>
      </c>
      <c r="B47" s="5">
        <f>B43-B46</f>
        <v>2318806.9436645955</v>
      </c>
    </row>
    <row r="48" spans="1:7" x14ac:dyDescent="0.35">
      <c r="A48" s="2" t="s">
        <v>57</v>
      </c>
      <c r="B48" s="11">
        <f>B7-48</f>
        <v>96</v>
      </c>
    </row>
    <row r="50" spans="1:7" x14ac:dyDescent="0.35">
      <c r="A50" s="3" t="s">
        <v>58</v>
      </c>
    </row>
    <row r="51" spans="1:7" x14ac:dyDescent="0.35">
      <c r="A51" s="2" t="s">
        <v>59</v>
      </c>
      <c r="B51" s="12">
        <f>NPER(B6,B12,-B47,0,0)</f>
        <v>76.79338286936084</v>
      </c>
    </row>
    <row r="53" spans="1:7" x14ac:dyDescent="0.35">
      <c r="A53" s="3" t="s">
        <v>60</v>
      </c>
    </row>
    <row r="54" spans="1:7" x14ac:dyDescent="0.35">
      <c r="A54" s="2" t="s">
        <v>61</v>
      </c>
      <c r="B54" s="8">
        <f>-PMT(B6,B48,B47,0,0)</f>
        <v>33970.993077137042</v>
      </c>
    </row>
    <row r="56" spans="1:7" ht="34" customHeight="1" x14ac:dyDescent="0.35">
      <c r="A56" s="39" t="s">
        <v>88</v>
      </c>
      <c r="B56" s="39"/>
      <c r="C56" s="39"/>
      <c r="D56" s="39"/>
      <c r="E56" s="39"/>
      <c r="F56" s="39"/>
      <c r="G56" s="39"/>
    </row>
  </sheetData>
  <mergeCells count="2">
    <mergeCell ref="A40:G40"/>
    <mergeCell ref="A56:G56"/>
  </mergeCells>
  <pageMargins left="0.5" right="0.5" top="0.6" bottom="0.6"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47"/>
  <sheetViews>
    <sheetView zoomScaleNormal="100" workbookViewId="0">
      <pane ySplit="3" topLeftCell="A4" activePane="bottomLeft" state="frozen"/>
      <selection pane="bottomLeft" activeCell="E5" sqref="E5"/>
    </sheetView>
  </sheetViews>
  <sheetFormatPr defaultColWidth="8.6328125" defaultRowHeight="14.5" x14ac:dyDescent="0.35"/>
  <cols>
    <col min="1" max="1" width="8" style="16" customWidth="1"/>
    <col min="2" max="5" width="14" style="16" customWidth="1"/>
    <col min="6" max="6" width="4" style="16" customWidth="1"/>
    <col min="7" max="7" width="14" style="16" customWidth="1"/>
    <col min="8" max="16384" width="8.6328125" style="16"/>
  </cols>
  <sheetData>
    <row r="1" spans="1:7" ht="18.5" x14ac:dyDescent="0.45">
      <c r="A1" s="1" t="s">
        <v>62</v>
      </c>
    </row>
    <row r="3" spans="1:7" x14ac:dyDescent="0.35">
      <c r="A3" s="6" t="s">
        <v>63</v>
      </c>
      <c r="B3" s="7" t="s">
        <v>41</v>
      </c>
      <c r="C3" s="7" t="s">
        <v>64</v>
      </c>
      <c r="D3" s="7" t="s">
        <v>65</v>
      </c>
      <c r="E3" s="7" t="s">
        <v>66</v>
      </c>
      <c r="F3" s="7"/>
      <c r="G3" s="7" t="s">
        <v>45</v>
      </c>
    </row>
    <row r="4" spans="1:7" x14ac:dyDescent="0.35">
      <c r="A4" s="2">
        <v>1</v>
      </c>
      <c r="B4" s="5">
        <f>'Case 3 - Home Loan'!$B$4</f>
        <v>3500000</v>
      </c>
      <c r="C4" s="5">
        <f>'Case 3 - Home Loan'!$B$12</f>
        <v>39831.074386614207</v>
      </c>
      <c r="D4" s="5">
        <f>B4*'Case 3 - Home Loan'!$B$6</f>
        <v>26250</v>
      </c>
      <c r="E4" s="5">
        <f t="shared" ref="E4:E35" si="0">C4-D4</f>
        <v>13581.074386614207</v>
      </c>
      <c r="G4" s="5">
        <f t="shared" ref="G4:G35" si="1">B4-E4</f>
        <v>3486418.9256133856</v>
      </c>
    </row>
    <row r="5" spans="1:7" x14ac:dyDescent="0.35">
      <c r="A5" s="2">
        <v>2</v>
      </c>
      <c r="B5" s="5">
        <f t="shared" ref="B5:B36" si="2">G4</f>
        <v>3486418.9256133856</v>
      </c>
      <c r="C5" s="5">
        <f>'Case 3 - Home Loan'!$B$12</f>
        <v>39831.074386614207</v>
      </c>
      <c r="D5" s="5">
        <f>B5*'Case 3 - Home Loan'!$B$6</f>
        <v>26148.141942100392</v>
      </c>
      <c r="E5" s="5">
        <f t="shared" si="0"/>
        <v>13682.932444513815</v>
      </c>
      <c r="G5" s="5">
        <f t="shared" si="1"/>
        <v>3472735.9931688718</v>
      </c>
    </row>
    <row r="6" spans="1:7" x14ac:dyDescent="0.35">
      <c r="A6" s="2">
        <v>3</v>
      </c>
      <c r="B6" s="5">
        <f t="shared" si="2"/>
        <v>3472735.9931688718</v>
      </c>
      <c r="C6" s="5">
        <f>'Case 3 - Home Loan'!$B$12</f>
        <v>39831.074386614207</v>
      </c>
      <c r="D6" s="5">
        <f>B6*'Case 3 - Home Loan'!$B$6</f>
        <v>26045.519948766538</v>
      </c>
      <c r="E6" s="5">
        <f t="shared" si="0"/>
        <v>13785.55443784767</v>
      </c>
      <c r="G6" s="5">
        <f t="shared" si="1"/>
        <v>3458950.438731024</v>
      </c>
    </row>
    <row r="7" spans="1:7" x14ac:dyDescent="0.35">
      <c r="A7" s="2">
        <v>4</v>
      </c>
      <c r="B7" s="5">
        <f t="shared" si="2"/>
        <v>3458950.438731024</v>
      </c>
      <c r="C7" s="5">
        <f>'Case 3 - Home Loan'!$B$12</f>
        <v>39831.074386614207</v>
      </c>
      <c r="D7" s="5">
        <f>B7*'Case 3 - Home Loan'!$B$6</f>
        <v>25942.12829048268</v>
      </c>
      <c r="E7" s="5">
        <f t="shared" si="0"/>
        <v>13888.946096131527</v>
      </c>
      <c r="G7" s="5">
        <f t="shared" si="1"/>
        <v>3445061.4926348925</v>
      </c>
    </row>
    <row r="8" spans="1:7" x14ac:dyDescent="0.35">
      <c r="A8" s="2">
        <v>5</v>
      </c>
      <c r="B8" s="5">
        <f t="shared" si="2"/>
        <v>3445061.4926348925</v>
      </c>
      <c r="C8" s="5">
        <f>'Case 3 - Home Loan'!$B$12</f>
        <v>39831.074386614207</v>
      </c>
      <c r="D8" s="5">
        <f>B8*'Case 3 - Home Loan'!$B$6</f>
        <v>25837.961194761694</v>
      </c>
      <c r="E8" s="5">
        <f t="shared" si="0"/>
        <v>13993.113191852513</v>
      </c>
      <c r="G8" s="5">
        <f t="shared" si="1"/>
        <v>3431068.3794430401</v>
      </c>
    </row>
    <row r="9" spans="1:7" x14ac:dyDescent="0.35">
      <c r="A9" s="2">
        <v>6</v>
      </c>
      <c r="B9" s="5">
        <f t="shared" si="2"/>
        <v>3431068.3794430401</v>
      </c>
      <c r="C9" s="5">
        <f>'Case 3 - Home Loan'!$B$12</f>
        <v>39831.074386614207</v>
      </c>
      <c r="D9" s="5">
        <f>B9*'Case 3 - Home Loan'!$B$6</f>
        <v>25733.012845822799</v>
      </c>
      <c r="E9" s="5">
        <f t="shared" si="0"/>
        <v>14098.061540791408</v>
      </c>
      <c r="G9" s="5">
        <f t="shared" si="1"/>
        <v>3416970.3179022488</v>
      </c>
    </row>
    <row r="10" spans="1:7" x14ac:dyDescent="0.35">
      <c r="A10" s="2">
        <v>7</v>
      </c>
      <c r="B10" s="5">
        <f t="shared" si="2"/>
        <v>3416970.3179022488</v>
      </c>
      <c r="C10" s="5">
        <f>'Case 3 - Home Loan'!$B$12</f>
        <v>39831.074386614207</v>
      </c>
      <c r="D10" s="5">
        <f>B10*'Case 3 - Home Loan'!$B$6</f>
        <v>25627.277384266865</v>
      </c>
      <c r="E10" s="5">
        <f t="shared" si="0"/>
        <v>14203.797002347343</v>
      </c>
      <c r="G10" s="5">
        <f t="shared" si="1"/>
        <v>3402766.5208999016</v>
      </c>
    </row>
    <row r="11" spans="1:7" x14ac:dyDescent="0.35">
      <c r="A11" s="2">
        <v>8</v>
      </c>
      <c r="B11" s="5">
        <f t="shared" si="2"/>
        <v>3402766.5208999016</v>
      </c>
      <c r="C11" s="5">
        <f>'Case 3 - Home Loan'!$B$12</f>
        <v>39831.074386614207</v>
      </c>
      <c r="D11" s="5">
        <f>B11*'Case 3 - Home Loan'!$B$6</f>
        <v>25520.748906749261</v>
      </c>
      <c r="E11" s="5">
        <f t="shared" si="0"/>
        <v>14310.325479864947</v>
      </c>
      <c r="G11" s="5">
        <f t="shared" si="1"/>
        <v>3388456.1954200366</v>
      </c>
    </row>
    <row r="12" spans="1:7" x14ac:dyDescent="0.35">
      <c r="A12" s="2">
        <v>9</v>
      </c>
      <c r="B12" s="5">
        <f t="shared" si="2"/>
        <v>3388456.1954200366</v>
      </c>
      <c r="C12" s="5">
        <f>'Case 3 - Home Loan'!$B$12</f>
        <v>39831.074386614207</v>
      </c>
      <c r="D12" s="5">
        <f>B12*'Case 3 - Home Loan'!$B$6</f>
        <v>25413.421465650274</v>
      </c>
      <c r="E12" s="5">
        <f t="shared" si="0"/>
        <v>14417.652920963934</v>
      </c>
      <c r="G12" s="5">
        <f t="shared" si="1"/>
        <v>3374038.5424990728</v>
      </c>
    </row>
    <row r="13" spans="1:7" x14ac:dyDescent="0.35">
      <c r="A13" s="2">
        <v>10</v>
      </c>
      <c r="B13" s="5">
        <f t="shared" si="2"/>
        <v>3374038.5424990728</v>
      </c>
      <c r="C13" s="5">
        <f>'Case 3 - Home Loan'!$B$12</f>
        <v>39831.074386614207</v>
      </c>
      <c r="D13" s="5">
        <f>B13*'Case 3 - Home Loan'!$B$6</f>
        <v>25305.289068743044</v>
      </c>
      <c r="E13" s="5">
        <f t="shared" si="0"/>
        <v>14525.785317871163</v>
      </c>
      <c r="G13" s="5">
        <f t="shared" si="1"/>
        <v>3359512.7571812016</v>
      </c>
    </row>
    <row r="14" spans="1:7" x14ac:dyDescent="0.35">
      <c r="A14" s="2">
        <v>11</v>
      </c>
      <c r="B14" s="5">
        <f t="shared" si="2"/>
        <v>3359512.7571812016</v>
      </c>
      <c r="C14" s="5">
        <f>'Case 3 - Home Loan'!$B$12</f>
        <v>39831.074386614207</v>
      </c>
      <c r="D14" s="5">
        <f>B14*'Case 3 - Home Loan'!$B$6</f>
        <v>25196.345678859012</v>
      </c>
      <c r="E14" s="5">
        <f t="shared" si="0"/>
        <v>14634.728707755196</v>
      </c>
      <c r="G14" s="5">
        <f t="shared" si="1"/>
        <v>3344878.0284734466</v>
      </c>
    </row>
    <row r="15" spans="1:7" x14ac:dyDescent="0.35">
      <c r="A15" s="2">
        <v>12</v>
      </c>
      <c r="B15" s="5">
        <f t="shared" si="2"/>
        <v>3344878.0284734466</v>
      </c>
      <c r="C15" s="5">
        <f>'Case 3 - Home Loan'!$B$12</f>
        <v>39831.074386614207</v>
      </c>
      <c r="D15" s="5">
        <f>B15*'Case 3 - Home Loan'!$B$6</f>
        <v>25086.58521355085</v>
      </c>
      <c r="E15" s="5">
        <f t="shared" si="0"/>
        <v>14744.489173063357</v>
      </c>
      <c r="G15" s="5">
        <f t="shared" si="1"/>
        <v>3330133.5393003831</v>
      </c>
    </row>
    <row r="16" spans="1:7" x14ac:dyDescent="0.35">
      <c r="A16" s="2">
        <v>13</v>
      </c>
      <c r="B16" s="5">
        <f t="shared" si="2"/>
        <v>3330133.5393003831</v>
      </c>
      <c r="C16" s="5">
        <f>'Case 3 - Home Loan'!$B$12</f>
        <v>39831.074386614207</v>
      </c>
      <c r="D16" s="5">
        <f>B16*'Case 3 - Home Loan'!$B$6</f>
        <v>24976.001544752871</v>
      </c>
      <c r="E16" s="5">
        <f t="shared" si="0"/>
        <v>14855.072841861336</v>
      </c>
      <c r="G16" s="5">
        <f t="shared" si="1"/>
        <v>3315278.4664585218</v>
      </c>
    </row>
    <row r="17" spans="1:7" x14ac:dyDescent="0.35">
      <c r="A17" s="2">
        <v>14</v>
      </c>
      <c r="B17" s="5">
        <f t="shared" si="2"/>
        <v>3315278.4664585218</v>
      </c>
      <c r="C17" s="5">
        <f>'Case 3 - Home Loan'!$B$12</f>
        <v>39831.074386614207</v>
      </c>
      <c r="D17" s="5">
        <f>B17*'Case 3 - Home Loan'!$B$6</f>
        <v>24864.588498438912</v>
      </c>
      <c r="E17" s="5">
        <f t="shared" si="0"/>
        <v>14966.485888175295</v>
      </c>
      <c r="G17" s="5">
        <f t="shared" si="1"/>
        <v>3300311.9805703466</v>
      </c>
    </row>
    <row r="18" spans="1:7" x14ac:dyDescent="0.35">
      <c r="A18" s="2">
        <v>15</v>
      </c>
      <c r="B18" s="5">
        <f t="shared" si="2"/>
        <v>3300311.9805703466</v>
      </c>
      <c r="C18" s="5">
        <f>'Case 3 - Home Loan'!$B$12</f>
        <v>39831.074386614207</v>
      </c>
      <c r="D18" s="5">
        <f>B18*'Case 3 - Home Loan'!$B$6</f>
        <v>24752.339854277598</v>
      </c>
      <c r="E18" s="5">
        <f t="shared" si="0"/>
        <v>15078.73453233661</v>
      </c>
      <c r="G18" s="5">
        <f t="shared" si="1"/>
        <v>3285233.2460380099</v>
      </c>
    </row>
    <row r="19" spans="1:7" x14ac:dyDescent="0.35">
      <c r="A19" s="2">
        <v>16</v>
      </c>
      <c r="B19" s="5">
        <f t="shared" si="2"/>
        <v>3285233.2460380099</v>
      </c>
      <c r="C19" s="5">
        <f>'Case 3 - Home Loan'!$B$12</f>
        <v>39831.074386614207</v>
      </c>
      <c r="D19" s="5">
        <f>B19*'Case 3 - Home Loan'!$B$6</f>
        <v>24639.249345285072</v>
      </c>
      <c r="E19" s="5">
        <f t="shared" si="0"/>
        <v>15191.825041329135</v>
      </c>
      <c r="G19" s="5">
        <f t="shared" si="1"/>
        <v>3270041.4209966809</v>
      </c>
    </row>
    <row r="20" spans="1:7" x14ac:dyDescent="0.35">
      <c r="A20" s="2">
        <v>17</v>
      </c>
      <c r="B20" s="5">
        <f t="shared" si="2"/>
        <v>3270041.4209966809</v>
      </c>
      <c r="C20" s="5">
        <f>'Case 3 - Home Loan'!$B$12</f>
        <v>39831.074386614207</v>
      </c>
      <c r="D20" s="5">
        <f>B20*'Case 3 - Home Loan'!$B$6</f>
        <v>24525.310657475107</v>
      </c>
      <c r="E20" s="5">
        <f t="shared" si="0"/>
        <v>15305.7637291391</v>
      </c>
      <c r="G20" s="5">
        <f t="shared" si="1"/>
        <v>3254735.6572675416</v>
      </c>
    </row>
    <row r="21" spans="1:7" x14ac:dyDescent="0.35">
      <c r="A21" s="2">
        <v>18</v>
      </c>
      <c r="B21" s="5">
        <f t="shared" si="2"/>
        <v>3254735.6572675416</v>
      </c>
      <c r="C21" s="5">
        <f>'Case 3 - Home Loan'!$B$12</f>
        <v>39831.074386614207</v>
      </c>
      <c r="D21" s="5">
        <f>B21*'Case 3 - Home Loan'!$B$6</f>
        <v>24410.517429506563</v>
      </c>
      <c r="E21" s="5">
        <f t="shared" si="0"/>
        <v>15420.556957107645</v>
      </c>
      <c r="G21" s="5">
        <f t="shared" si="1"/>
        <v>3239315.1003104341</v>
      </c>
    </row>
    <row r="22" spans="1:7" x14ac:dyDescent="0.35">
      <c r="A22" s="2">
        <v>19</v>
      </c>
      <c r="B22" s="5">
        <f t="shared" si="2"/>
        <v>3239315.1003104341</v>
      </c>
      <c r="C22" s="5">
        <f>'Case 3 - Home Loan'!$B$12</f>
        <v>39831.074386614207</v>
      </c>
      <c r="D22" s="5">
        <f>B22*'Case 3 - Home Loan'!$B$6</f>
        <v>24294.863252328254</v>
      </c>
      <c r="E22" s="5">
        <f t="shared" si="0"/>
        <v>15536.211134285953</v>
      </c>
      <c r="G22" s="5">
        <f t="shared" si="1"/>
        <v>3223778.889176148</v>
      </c>
    </row>
    <row r="23" spans="1:7" x14ac:dyDescent="0.35">
      <c r="A23" s="2">
        <v>20</v>
      </c>
      <c r="B23" s="5">
        <f t="shared" si="2"/>
        <v>3223778.889176148</v>
      </c>
      <c r="C23" s="5">
        <f>'Case 3 - Home Loan'!$B$12</f>
        <v>39831.074386614207</v>
      </c>
      <c r="D23" s="5">
        <f>B23*'Case 3 - Home Loan'!$B$6</f>
        <v>24178.341668821107</v>
      </c>
      <c r="E23" s="5">
        <f t="shared" si="0"/>
        <v>15652.7327177931</v>
      </c>
      <c r="G23" s="5">
        <f t="shared" si="1"/>
        <v>3208126.156458355</v>
      </c>
    </row>
    <row r="24" spans="1:7" x14ac:dyDescent="0.35">
      <c r="A24" s="2">
        <v>21</v>
      </c>
      <c r="B24" s="5">
        <f t="shared" si="2"/>
        <v>3208126.156458355</v>
      </c>
      <c r="C24" s="5">
        <f>'Case 3 - Home Loan'!$B$12</f>
        <v>39831.074386614207</v>
      </c>
      <c r="D24" s="5">
        <f>B24*'Case 3 - Home Loan'!$B$6</f>
        <v>24060.94617343766</v>
      </c>
      <c r="E24" s="5">
        <f t="shared" si="0"/>
        <v>15770.128213176547</v>
      </c>
      <c r="G24" s="5">
        <f t="shared" si="1"/>
        <v>3192356.0282451785</v>
      </c>
    </row>
    <row r="25" spans="1:7" x14ac:dyDescent="0.35">
      <c r="A25" s="2">
        <v>22</v>
      </c>
      <c r="B25" s="5">
        <f t="shared" si="2"/>
        <v>3192356.0282451785</v>
      </c>
      <c r="C25" s="5">
        <f>'Case 3 - Home Loan'!$B$12</f>
        <v>39831.074386614207</v>
      </c>
      <c r="D25" s="5">
        <f>B25*'Case 3 - Home Loan'!$B$6</f>
        <v>23942.670211838838</v>
      </c>
      <c r="E25" s="5">
        <f t="shared" si="0"/>
        <v>15888.404174775369</v>
      </c>
      <c r="G25" s="5">
        <f t="shared" si="1"/>
        <v>3176467.6240704032</v>
      </c>
    </row>
    <row r="26" spans="1:7" x14ac:dyDescent="0.35">
      <c r="A26" s="2">
        <v>23</v>
      </c>
      <c r="B26" s="5">
        <f t="shared" si="2"/>
        <v>3176467.6240704032</v>
      </c>
      <c r="C26" s="5">
        <f>'Case 3 - Home Loan'!$B$12</f>
        <v>39831.074386614207</v>
      </c>
      <c r="D26" s="5">
        <f>B26*'Case 3 - Home Loan'!$B$6</f>
        <v>23823.507180528024</v>
      </c>
      <c r="E26" s="5">
        <f t="shared" si="0"/>
        <v>16007.567206086183</v>
      </c>
      <c r="G26" s="5">
        <f t="shared" si="1"/>
        <v>3160460.056864317</v>
      </c>
    </row>
    <row r="27" spans="1:7" x14ac:dyDescent="0.35">
      <c r="A27" s="2">
        <v>24</v>
      </c>
      <c r="B27" s="5">
        <f t="shared" si="2"/>
        <v>3160460.056864317</v>
      </c>
      <c r="C27" s="5">
        <f>'Case 3 - Home Loan'!$B$12</f>
        <v>39831.074386614207</v>
      </c>
      <c r="D27" s="5">
        <f>B27*'Case 3 - Home Loan'!$B$6</f>
        <v>23703.450426482377</v>
      </c>
      <c r="E27" s="5">
        <f t="shared" si="0"/>
        <v>16127.62396013183</v>
      </c>
      <c r="G27" s="5">
        <f t="shared" si="1"/>
        <v>3144332.4329041853</v>
      </c>
    </row>
    <row r="28" spans="1:7" x14ac:dyDescent="0.35">
      <c r="A28" s="2">
        <v>25</v>
      </c>
      <c r="B28" s="5">
        <f t="shared" si="2"/>
        <v>3144332.4329041853</v>
      </c>
      <c r="C28" s="5">
        <f>'Case 3 - Home Loan'!$B$12</f>
        <v>39831.074386614207</v>
      </c>
      <c r="D28" s="5">
        <f>B28*'Case 3 - Home Loan'!$B$6</f>
        <v>23582.493246781389</v>
      </c>
      <c r="E28" s="5">
        <f t="shared" si="0"/>
        <v>16248.581139832819</v>
      </c>
      <c r="G28" s="5">
        <f t="shared" si="1"/>
        <v>3128083.8517643525</v>
      </c>
    </row>
    <row r="29" spans="1:7" x14ac:dyDescent="0.35">
      <c r="A29" s="2">
        <v>26</v>
      </c>
      <c r="B29" s="5">
        <f t="shared" si="2"/>
        <v>3128083.8517643525</v>
      </c>
      <c r="C29" s="5">
        <f>'Case 3 - Home Loan'!$B$12</f>
        <v>39831.074386614207</v>
      </c>
      <c r="D29" s="5">
        <f>B29*'Case 3 - Home Loan'!$B$6</f>
        <v>23460.628888232644</v>
      </c>
      <c r="E29" s="5">
        <f t="shared" si="0"/>
        <v>16370.445498381563</v>
      </c>
      <c r="G29" s="5">
        <f t="shared" si="1"/>
        <v>3111713.4062659708</v>
      </c>
    </row>
    <row r="30" spans="1:7" x14ac:dyDescent="0.35">
      <c r="A30" s="2">
        <v>27</v>
      </c>
      <c r="B30" s="5">
        <f t="shared" si="2"/>
        <v>3111713.4062659708</v>
      </c>
      <c r="C30" s="5">
        <f>'Case 3 - Home Loan'!$B$12</f>
        <v>39831.074386614207</v>
      </c>
      <c r="D30" s="5">
        <f>B30*'Case 3 - Home Loan'!$B$6</f>
        <v>23337.850546994781</v>
      </c>
      <c r="E30" s="5">
        <f t="shared" si="0"/>
        <v>16493.223839619426</v>
      </c>
      <c r="G30" s="5">
        <f t="shared" si="1"/>
        <v>3095220.1824263516</v>
      </c>
    </row>
    <row r="31" spans="1:7" x14ac:dyDescent="0.35">
      <c r="A31" s="2">
        <v>28</v>
      </c>
      <c r="B31" s="5">
        <f t="shared" si="2"/>
        <v>3095220.1824263516</v>
      </c>
      <c r="C31" s="5">
        <f>'Case 3 - Home Loan'!$B$12</f>
        <v>39831.074386614207</v>
      </c>
      <c r="D31" s="5">
        <f>B31*'Case 3 - Home Loan'!$B$6</f>
        <v>23214.151368197636</v>
      </c>
      <c r="E31" s="5">
        <f t="shared" si="0"/>
        <v>16616.923018416572</v>
      </c>
      <c r="G31" s="5">
        <f t="shared" si="1"/>
        <v>3078603.2594079352</v>
      </c>
    </row>
    <row r="32" spans="1:7" x14ac:dyDescent="0.35">
      <c r="A32" s="2">
        <v>29</v>
      </c>
      <c r="B32" s="5">
        <f t="shared" si="2"/>
        <v>3078603.2594079352</v>
      </c>
      <c r="C32" s="5">
        <f>'Case 3 - Home Loan'!$B$12</f>
        <v>39831.074386614207</v>
      </c>
      <c r="D32" s="5">
        <f>B32*'Case 3 - Home Loan'!$B$6</f>
        <v>23089.524445559513</v>
      </c>
      <c r="E32" s="5">
        <f t="shared" si="0"/>
        <v>16741.549941054695</v>
      </c>
      <c r="G32" s="5">
        <f t="shared" si="1"/>
        <v>3061861.7094668807</v>
      </c>
    </row>
    <row r="33" spans="1:7" x14ac:dyDescent="0.35">
      <c r="A33" s="2">
        <v>30</v>
      </c>
      <c r="B33" s="5">
        <f t="shared" si="2"/>
        <v>3061861.7094668807</v>
      </c>
      <c r="C33" s="5">
        <f>'Case 3 - Home Loan'!$B$12</f>
        <v>39831.074386614207</v>
      </c>
      <c r="D33" s="5">
        <f>B33*'Case 3 - Home Loan'!$B$6</f>
        <v>22963.962821001605</v>
      </c>
      <c r="E33" s="5">
        <f t="shared" si="0"/>
        <v>16867.111565612602</v>
      </c>
      <c r="G33" s="5">
        <f t="shared" si="1"/>
        <v>3044994.5979012679</v>
      </c>
    </row>
    <row r="34" spans="1:7" x14ac:dyDescent="0.35">
      <c r="A34" s="2">
        <v>31</v>
      </c>
      <c r="B34" s="5">
        <f t="shared" si="2"/>
        <v>3044994.5979012679</v>
      </c>
      <c r="C34" s="5">
        <f>'Case 3 - Home Loan'!$B$12</f>
        <v>39831.074386614207</v>
      </c>
      <c r="D34" s="5">
        <f>B34*'Case 3 - Home Loan'!$B$6</f>
        <v>22837.459484259507</v>
      </c>
      <c r="E34" s="5">
        <f t="shared" si="0"/>
        <v>16993.6149023547</v>
      </c>
      <c r="G34" s="5">
        <f t="shared" si="1"/>
        <v>3028000.9829989132</v>
      </c>
    </row>
    <row r="35" spans="1:7" x14ac:dyDescent="0.35">
      <c r="A35" s="2">
        <v>32</v>
      </c>
      <c r="B35" s="5">
        <f t="shared" si="2"/>
        <v>3028000.9829989132</v>
      </c>
      <c r="C35" s="5">
        <f>'Case 3 - Home Loan'!$B$12</f>
        <v>39831.074386614207</v>
      </c>
      <c r="D35" s="5">
        <f>B35*'Case 3 - Home Loan'!$B$6</f>
        <v>22710.007372491847</v>
      </c>
      <c r="E35" s="5">
        <f t="shared" si="0"/>
        <v>17121.06701412236</v>
      </c>
      <c r="G35" s="5">
        <f t="shared" si="1"/>
        <v>3010879.9159847908</v>
      </c>
    </row>
    <row r="36" spans="1:7" x14ac:dyDescent="0.35">
      <c r="A36" s="2">
        <v>33</v>
      </c>
      <c r="B36" s="5">
        <f t="shared" si="2"/>
        <v>3010879.9159847908</v>
      </c>
      <c r="C36" s="5">
        <f>'Case 3 - Home Loan'!$B$12</f>
        <v>39831.074386614207</v>
      </c>
      <c r="D36" s="5">
        <f>B36*'Case 3 - Home Loan'!$B$6</f>
        <v>22581.599369885931</v>
      </c>
      <c r="E36" s="5">
        <f t="shared" ref="E36:E67" si="3">C36-D36</f>
        <v>17249.475016728276</v>
      </c>
      <c r="G36" s="5">
        <f t="shared" ref="G36:G67" si="4">B36-E36</f>
        <v>2993630.4409680627</v>
      </c>
    </row>
    <row r="37" spans="1:7" x14ac:dyDescent="0.35">
      <c r="A37" s="2">
        <v>34</v>
      </c>
      <c r="B37" s="5">
        <f t="shared" ref="B37:B68" si="5">G36</f>
        <v>2993630.4409680627</v>
      </c>
      <c r="C37" s="5">
        <f>'Case 3 - Home Loan'!$B$12</f>
        <v>39831.074386614207</v>
      </c>
      <c r="D37" s="5">
        <f>B37*'Case 3 - Home Loan'!$B$6</f>
        <v>22452.22830726047</v>
      </c>
      <c r="E37" s="5">
        <f t="shared" si="3"/>
        <v>17378.846079353738</v>
      </c>
      <c r="G37" s="5">
        <f t="shared" si="4"/>
        <v>2976251.594888709</v>
      </c>
    </row>
    <row r="38" spans="1:7" x14ac:dyDescent="0.35">
      <c r="A38" s="2">
        <v>35</v>
      </c>
      <c r="B38" s="5">
        <f t="shared" si="5"/>
        <v>2976251.594888709</v>
      </c>
      <c r="C38" s="5">
        <f>'Case 3 - Home Loan'!$B$12</f>
        <v>39831.074386614207</v>
      </c>
      <c r="D38" s="5">
        <f>B38*'Case 3 - Home Loan'!$B$6</f>
        <v>22321.886961665317</v>
      </c>
      <c r="E38" s="5">
        <f t="shared" si="3"/>
        <v>17509.18742494889</v>
      </c>
      <c r="G38" s="5">
        <f t="shared" si="4"/>
        <v>2958742.4074637601</v>
      </c>
    </row>
    <row r="39" spans="1:7" x14ac:dyDescent="0.35">
      <c r="A39" s="2">
        <v>36</v>
      </c>
      <c r="B39" s="5">
        <f t="shared" si="5"/>
        <v>2958742.4074637601</v>
      </c>
      <c r="C39" s="5">
        <f>'Case 3 - Home Loan'!$B$12</f>
        <v>39831.074386614207</v>
      </c>
      <c r="D39" s="5">
        <f>B39*'Case 3 - Home Loan'!$B$6</f>
        <v>22190.568055978201</v>
      </c>
      <c r="E39" s="5">
        <f t="shared" si="3"/>
        <v>17640.506330636006</v>
      </c>
      <c r="G39" s="5">
        <f t="shared" si="4"/>
        <v>2941101.9011331243</v>
      </c>
    </row>
    <row r="40" spans="1:7" x14ac:dyDescent="0.35">
      <c r="A40" s="2">
        <v>37</v>
      </c>
      <c r="B40" s="5">
        <f t="shared" si="5"/>
        <v>2941101.9011331243</v>
      </c>
      <c r="C40" s="5">
        <f>'Case 3 - Home Loan'!$B$12</f>
        <v>39831.074386614207</v>
      </c>
      <c r="D40" s="5">
        <f>B40*'Case 3 - Home Loan'!$B$6</f>
        <v>22058.264258498431</v>
      </c>
      <c r="E40" s="5">
        <f t="shared" si="3"/>
        <v>17772.810128115776</v>
      </c>
      <c r="G40" s="5">
        <f t="shared" si="4"/>
        <v>2923329.0910050087</v>
      </c>
    </row>
    <row r="41" spans="1:7" x14ac:dyDescent="0.35">
      <c r="A41" s="2">
        <v>38</v>
      </c>
      <c r="B41" s="5">
        <f t="shared" si="5"/>
        <v>2923329.0910050087</v>
      </c>
      <c r="C41" s="5">
        <f>'Case 3 - Home Loan'!$B$12</f>
        <v>39831.074386614207</v>
      </c>
      <c r="D41" s="5">
        <f>B41*'Case 3 - Home Loan'!$B$6</f>
        <v>21924.968182537563</v>
      </c>
      <c r="E41" s="5">
        <f t="shared" si="3"/>
        <v>17906.106204076645</v>
      </c>
      <c r="G41" s="5">
        <f t="shared" si="4"/>
        <v>2905422.984800932</v>
      </c>
    </row>
    <row r="42" spans="1:7" x14ac:dyDescent="0.35">
      <c r="A42" s="2">
        <v>39</v>
      </c>
      <c r="B42" s="5">
        <f t="shared" si="5"/>
        <v>2905422.984800932</v>
      </c>
      <c r="C42" s="5">
        <f>'Case 3 - Home Loan'!$B$12</f>
        <v>39831.074386614207</v>
      </c>
      <c r="D42" s="5">
        <f>B42*'Case 3 - Home Loan'!$B$6</f>
        <v>21790.672386006991</v>
      </c>
      <c r="E42" s="5">
        <f t="shared" si="3"/>
        <v>18040.402000607217</v>
      </c>
      <c r="G42" s="5">
        <f t="shared" si="4"/>
        <v>2887382.582800325</v>
      </c>
    </row>
    <row r="43" spans="1:7" x14ac:dyDescent="0.35">
      <c r="A43" s="2">
        <v>40</v>
      </c>
      <c r="B43" s="5">
        <f t="shared" si="5"/>
        <v>2887382.582800325</v>
      </c>
      <c r="C43" s="5">
        <f>'Case 3 - Home Loan'!$B$12</f>
        <v>39831.074386614207</v>
      </c>
      <c r="D43" s="5">
        <f>B43*'Case 3 - Home Loan'!$B$6</f>
        <v>21655.369371002438</v>
      </c>
      <c r="E43" s="5">
        <f t="shared" si="3"/>
        <v>18175.705015611769</v>
      </c>
      <c r="G43" s="5">
        <f t="shared" si="4"/>
        <v>2869206.8777847132</v>
      </c>
    </row>
    <row r="44" spans="1:7" x14ac:dyDescent="0.35">
      <c r="A44" s="2">
        <v>41</v>
      </c>
      <c r="B44" s="5">
        <f t="shared" si="5"/>
        <v>2869206.8777847132</v>
      </c>
      <c r="C44" s="5">
        <f>'Case 3 - Home Loan'!$B$12</f>
        <v>39831.074386614207</v>
      </c>
      <c r="D44" s="5">
        <f>B44*'Case 3 - Home Loan'!$B$6</f>
        <v>21519.05158338535</v>
      </c>
      <c r="E44" s="5">
        <f t="shared" si="3"/>
        <v>18312.022803228858</v>
      </c>
      <c r="G44" s="5">
        <f t="shared" si="4"/>
        <v>2850894.8549814844</v>
      </c>
    </row>
    <row r="45" spans="1:7" x14ac:dyDescent="0.35">
      <c r="A45" s="2">
        <v>42</v>
      </c>
      <c r="B45" s="5">
        <f t="shared" si="5"/>
        <v>2850894.8549814844</v>
      </c>
      <c r="C45" s="5">
        <f>'Case 3 - Home Loan'!$B$12</f>
        <v>39831.074386614207</v>
      </c>
      <c r="D45" s="5">
        <f>B45*'Case 3 - Home Loan'!$B$6</f>
        <v>21381.711412361132</v>
      </c>
      <c r="E45" s="5">
        <f t="shared" si="3"/>
        <v>18449.362974253076</v>
      </c>
      <c r="G45" s="5">
        <f t="shared" si="4"/>
        <v>2832445.4920072313</v>
      </c>
    </row>
    <row r="46" spans="1:7" x14ac:dyDescent="0.35">
      <c r="A46" s="2">
        <v>43</v>
      </c>
      <c r="B46" s="5">
        <f t="shared" si="5"/>
        <v>2832445.4920072313</v>
      </c>
      <c r="C46" s="5">
        <f>'Case 3 - Home Loan'!$B$12</f>
        <v>39831.074386614207</v>
      </c>
      <c r="D46" s="5">
        <f>B46*'Case 3 - Home Loan'!$B$6</f>
        <v>21243.341190054234</v>
      </c>
      <c r="E46" s="5">
        <f t="shared" si="3"/>
        <v>18587.733196559973</v>
      </c>
      <c r="G46" s="5">
        <f t="shared" si="4"/>
        <v>2813857.7588106715</v>
      </c>
    </row>
    <row r="47" spans="1:7" x14ac:dyDescent="0.35">
      <c r="A47" s="2">
        <v>44</v>
      </c>
      <c r="B47" s="5">
        <f t="shared" si="5"/>
        <v>2813857.7588106715</v>
      </c>
      <c r="C47" s="5">
        <f>'Case 3 - Home Loan'!$B$12</f>
        <v>39831.074386614207</v>
      </c>
      <c r="D47" s="5">
        <f>B47*'Case 3 - Home Loan'!$B$6</f>
        <v>21103.933191080036</v>
      </c>
      <c r="E47" s="5">
        <f t="shared" si="3"/>
        <v>18727.141195534172</v>
      </c>
      <c r="G47" s="5">
        <f t="shared" si="4"/>
        <v>2795130.6176151372</v>
      </c>
    </row>
    <row r="48" spans="1:7" x14ac:dyDescent="0.35">
      <c r="A48" s="2">
        <v>45</v>
      </c>
      <c r="B48" s="5">
        <f t="shared" si="5"/>
        <v>2795130.6176151372</v>
      </c>
      <c r="C48" s="5">
        <f>'Case 3 - Home Loan'!$B$12</f>
        <v>39831.074386614207</v>
      </c>
      <c r="D48" s="5">
        <f>B48*'Case 3 - Home Loan'!$B$6</f>
        <v>20963.479632113529</v>
      </c>
      <c r="E48" s="5">
        <f t="shared" si="3"/>
        <v>18867.594754500678</v>
      </c>
      <c r="G48" s="5">
        <f t="shared" si="4"/>
        <v>2776263.0228606365</v>
      </c>
    </row>
    <row r="49" spans="1:7" x14ac:dyDescent="0.35">
      <c r="A49" s="2">
        <v>46</v>
      </c>
      <c r="B49" s="5">
        <f t="shared" si="5"/>
        <v>2776263.0228606365</v>
      </c>
      <c r="C49" s="5">
        <f>'Case 3 - Home Loan'!$B$12</f>
        <v>39831.074386614207</v>
      </c>
      <c r="D49" s="5">
        <f>B49*'Case 3 - Home Loan'!$B$6</f>
        <v>20821.972671454772</v>
      </c>
      <c r="E49" s="5">
        <f t="shared" si="3"/>
        <v>19009.101715159435</v>
      </c>
      <c r="G49" s="5">
        <f t="shared" si="4"/>
        <v>2757253.9211454769</v>
      </c>
    </row>
    <row r="50" spans="1:7" x14ac:dyDescent="0.35">
      <c r="A50" s="2">
        <v>47</v>
      </c>
      <c r="B50" s="5">
        <f t="shared" si="5"/>
        <v>2757253.9211454769</v>
      </c>
      <c r="C50" s="5">
        <f>'Case 3 - Home Loan'!$B$12</f>
        <v>39831.074386614207</v>
      </c>
      <c r="D50" s="5">
        <f>B50*'Case 3 - Home Loan'!$B$6</f>
        <v>20679.404408591075</v>
      </c>
      <c r="E50" s="5">
        <f t="shared" si="3"/>
        <v>19151.669978023132</v>
      </c>
      <c r="G50" s="5">
        <f t="shared" si="4"/>
        <v>2738102.2511674538</v>
      </c>
    </row>
    <row r="51" spans="1:7" x14ac:dyDescent="0.35">
      <c r="A51" s="2">
        <v>48</v>
      </c>
      <c r="B51" s="5">
        <f t="shared" si="5"/>
        <v>2738102.2511674538</v>
      </c>
      <c r="C51" s="5">
        <f>'Case 3 - Home Loan'!$B$12</f>
        <v>39831.074386614207</v>
      </c>
      <c r="D51" s="5">
        <f>B51*'Case 3 - Home Loan'!$B$6</f>
        <v>20535.766883755903</v>
      </c>
      <c r="E51" s="5">
        <f t="shared" si="3"/>
        <v>19295.307502858304</v>
      </c>
      <c r="G51" s="5">
        <f t="shared" si="4"/>
        <v>2718806.9436645955</v>
      </c>
    </row>
    <row r="52" spans="1:7" x14ac:dyDescent="0.35">
      <c r="A52" s="2">
        <v>49</v>
      </c>
      <c r="B52" s="5">
        <f t="shared" si="5"/>
        <v>2718806.9436645955</v>
      </c>
      <c r="C52" s="5">
        <f>'Case 3 - Home Loan'!$B$12</f>
        <v>39831.074386614207</v>
      </c>
      <c r="D52" s="5">
        <f>B52*'Case 3 - Home Loan'!$B$6</f>
        <v>20391.052077484466</v>
      </c>
      <c r="E52" s="5">
        <f t="shared" si="3"/>
        <v>19440.022309129741</v>
      </c>
      <c r="G52" s="5">
        <f t="shared" si="4"/>
        <v>2699366.9213554659</v>
      </c>
    </row>
    <row r="53" spans="1:7" x14ac:dyDescent="0.35">
      <c r="A53" s="2">
        <v>50</v>
      </c>
      <c r="B53" s="5">
        <f t="shared" si="5"/>
        <v>2699366.9213554659</v>
      </c>
      <c r="C53" s="5">
        <f>'Case 3 - Home Loan'!$B$12</f>
        <v>39831.074386614207</v>
      </c>
      <c r="D53" s="5">
        <f>B53*'Case 3 - Home Loan'!$B$6</f>
        <v>20245.251910165993</v>
      </c>
      <c r="E53" s="5">
        <f t="shared" si="3"/>
        <v>19585.822476448215</v>
      </c>
      <c r="G53" s="5">
        <f t="shared" si="4"/>
        <v>2679781.0988790179</v>
      </c>
    </row>
    <row r="54" spans="1:7" x14ac:dyDescent="0.35">
      <c r="A54" s="2">
        <v>51</v>
      </c>
      <c r="B54" s="5">
        <f t="shared" si="5"/>
        <v>2679781.0988790179</v>
      </c>
      <c r="C54" s="5">
        <f>'Case 3 - Home Loan'!$B$12</f>
        <v>39831.074386614207</v>
      </c>
      <c r="D54" s="5">
        <f>B54*'Case 3 - Home Loan'!$B$6</f>
        <v>20098.358241592632</v>
      </c>
      <c r="E54" s="5">
        <f t="shared" si="3"/>
        <v>19732.716145021575</v>
      </c>
      <c r="G54" s="5">
        <f t="shared" si="4"/>
        <v>2660048.3827339965</v>
      </c>
    </row>
    <row r="55" spans="1:7" x14ac:dyDescent="0.35">
      <c r="A55" s="2">
        <v>52</v>
      </c>
      <c r="B55" s="5">
        <f t="shared" si="5"/>
        <v>2660048.3827339965</v>
      </c>
      <c r="C55" s="5">
        <f>'Case 3 - Home Loan'!$B$12</f>
        <v>39831.074386614207</v>
      </c>
      <c r="D55" s="5">
        <f>B55*'Case 3 - Home Loan'!$B$6</f>
        <v>19950.362870504974</v>
      </c>
      <c r="E55" s="5">
        <f t="shared" si="3"/>
        <v>19880.711516109233</v>
      </c>
      <c r="G55" s="5">
        <f t="shared" si="4"/>
        <v>2640167.6712178872</v>
      </c>
    </row>
    <row r="56" spans="1:7" x14ac:dyDescent="0.35">
      <c r="A56" s="2">
        <v>53</v>
      </c>
      <c r="B56" s="5">
        <f t="shared" si="5"/>
        <v>2640167.6712178872</v>
      </c>
      <c r="C56" s="5">
        <f>'Case 3 - Home Loan'!$B$12</f>
        <v>39831.074386614207</v>
      </c>
      <c r="D56" s="5">
        <f>B56*'Case 3 - Home Loan'!$B$6</f>
        <v>19801.257534134154</v>
      </c>
      <c r="E56" s="5">
        <f t="shared" si="3"/>
        <v>20029.816852480053</v>
      </c>
      <c r="G56" s="5">
        <f t="shared" si="4"/>
        <v>2620137.854365407</v>
      </c>
    </row>
    <row r="57" spans="1:7" x14ac:dyDescent="0.35">
      <c r="A57" s="2">
        <v>54</v>
      </c>
      <c r="B57" s="5">
        <f t="shared" si="5"/>
        <v>2620137.854365407</v>
      </c>
      <c r="C57" s="5">
        <f>'Case 3 - Home Loan'!$B$12</f>
        <v>39831.074386614207</v>
      </c>
      <c r="D57" s="5">
        <f>B57*'Case 3 - Home Loan'!$B$6</f>
        <v>19651.033907740552</v>
      </c>
      <c r="E57" s="5">
        <f t="shared" si="3"/>
        <v>20180.040478873656</v>
      </c>
      <c r="G57" s="5">
        <f t="shared" si="4"/>
        <v>2599957.8138865335</v>
      </c>
    </row>
    <row r="58" spans="1:7" x14ac:dyDescent="0.35">
      <c r="A58" s="2">
        <v>55</v>
      </c>
      <c r="B58" s="5">
        <f t="shared" si="5"/>
        <v>2599957.8138865335</v>
      </c>
      <c r="C58" s="5">
        <f>'Case 3 - Home Loan'!$B$12</f>
        <v>39831.074386614207</v>
      </c>
      <c r="D58" s="5">
        <f>B58*'Case 3 - Home Loan'!$B$6</f>
        <v>19499.683604148999</v>
      </c>
      <c r="E58" s="5">
        <f t="shared" si="3"/>
        <v>20331.390782465209</v>
      </c>
      <c r="G58" s="5">
        <f t="shared" si="4"/>
        <v>2579626.4231040683</v>
      </c>
    </row>
    <row r="59" spans="1:7" x14ac:dyDescent="0.35">
      <c r="A59" s="2">
        <v>56</v>
      </c>
      <c r="B59" s="5">
        <f t="shared" si="5"/>
        <v>2579626.4231040683</v>
      </c>
      <c r="C59" s="5">
        <f>'Case 3 - Home Loan'!$B$12</f>
        <v>39831.074386614207</v>
      </c>
      <c r="D59" s="5">
        <f>B59*'Case 3 - Home Loan'!$B$6</f>
        <v>19347.198173280511</v>
      </c>
      <c r="E59" s="5">
        <f t="shared" si="3"/>
        <v>20483.876213333697</v>
      </c>
      <c r="G59" s="5">
        <f t="shared" si="4"/>
        <v>2559142.5468907347</v>
      </c>
    </row>
    <row r="60" spans="1:7" x14ac:dyDescent="0.35">
      <c r="A60" s="2">
        <v>57</v>
      </c>
      <c r="B60" s="5">
        <f t="shared" si="5"/>
        <v>2559142.5468907347</v>
      </c>
      <c r="C60" s="5">
        <f>'Case 3 - Home Loan'!$B$12</f>
        <v>39831.074386614207</v>
      </c>
      <c r="D60" s="5">
        <f>B60*'Case 3 - Home Loan'!$B$6</f>
        <v>19193.56910168051</v>
      </c>
      <c r="E60" s="5">
        <f t="shared" si="3"/>
        <v>20637.505284933697</v>
      </c>
      <c r="G60" s="5">
        <f t="shared" si="4"/>
        <v>2538505.0416058009</v>
      </c>
    </row>
    <row r="61" spans="1:7" x14ac:dyDescent="0.35">
      <c r="A61" s="2">
        <v>58</v>
      </c>
      <c r="B61" s="5">
        <f t="shared" si="5"/>
        <v>2538505.0416058009</v>
      </c>
      <c r="C61" s="5">
        <f>'Case 3 - Home Loan'!$B$12</f>
        <v>39831.074386614207</v>
      </c>
      <c r="D61" s="5">
        <f>B61*'Case 3 - Home Loan'!$B$6</f>
        <v>19038.787812043505</v>
      </c>
      <c r="E61" s="5">
        <f t="shared" si="3"/>
        <v>20792.286574570702</v>
      </c>
      <c r="G61" s="5">
        <f t="shared" si="4"/>
        <v>2517712.7550312299</v>
      </c>
    </row>
    <row r="62" spans="1:7" x14ac:dyDescent="0.35">
      <c r="A62" s="2">
        <v>59</v>
      </c>
      <c r="B62" s="5">
        <f t="shared" si="5"/>
        <v>2517712.7550312299</v>
      </c>
      <c r="C62" s="5">
        <f>'Case 3 - Home Loan'!$B$12</f>
        <v>39831.074386614207</v>
      </c>
      <c r="D62" s="5">
        <f>B62*'Case 3 - Home Loan'!$B$6</f>
        <v>18882.845662734224</v>
      </c>
      <c r="E62" s="5">
        <f t="shared" si="3"/>
        <v>20948.228723879984</v>
      </c>
      <c r="G62" s="5">
        <f t="shared" si="4"/>
        <v>2496764.52630735</v>
      </c>
    </row>
    <row r="63" spans="1:7" x14ac:dyDescent="0.35">
      <c r="A63" s="2">
        <v>60</v>
      </c>
      <c r="B63" s="5">
        <f t="shared" si="5"/>
        <v>2496764.52630735</v>
      </c>
      <c r="C63" s="5">
        <f>'Case 3 - Home Loan'!$B$12</f>
        <v>39831.074386614207</v>
      </c>
      <c r="D63" s="5">
        <f>B63*'Case 3 - Home Loan'!$B$6</f>
        <v>18725.733947305125</v>
      </c>
      <c r="E63" s="5">
        <f t="shared" si="3"/>
        <v>21105.340439309082</v>
      </c>
      <c r="G63" s="5">
        <f t="shared" si="4"/>
        <v>2475659.1858680411</v>
      </c>
    </row>
    <row r="64" spans="1:7" x14ac:dyDescent="0.35">
      <c r="A64" s="2">
        <v>61</v>
      </c>
      <c r="B64" s="5">
        <f t="shared" si="5"/>
        <v>2475659.1858680411</v>
      </c>
      <c r="C64" s="5">
        <f>'Case 3 - Home Loan'!$B$12</f>
        <v>39831.074386614207</v>
      </c>
      <c r="D64" s="5">
        <f>B64*'Case 3 - Home Loan'!$B$6</f>
        <v>18567.443894010306</v>
      </c>
      <c r="E64" s="5">
        <f t="shared" si="3"/>
        <v>21263.630492603901</v>
      </c>
      <c r="G64" s="5">
        <f t="shared" si="4"/>
        <v>2454395.5553754373</v>
      </c>
    </row>
    <row r="65" spans="1:7" x14ac:dyDescent="0.35">
      <c r="A65" s="2">
        <v>62</v>
      </c>
      <c r="B65" s="5">
        <f t="shared" si="5"/>
        <v>2454395.5553754373</v>
      </c>
      <c r="C65" s="5">
        <f>'Case 3 - Home Loan'!$B$12</f>
        <v>39831.074386614207</v>
      </c>
      <c r="D65" s="5">
        <f>B65*'Case 3 - Home Loan'!$B$6</f>
        <v>18407.96666531578</v>
      </c>
      <c r="E65" s="5">
        <f t="shared" si="3"/>
        <v>21423.107721298427</v>
      </c>
      <c r="G65" s="5">
        <f t="shared" si="4"/>
        <v>2432972.4476541388</v>
      </c>
    </row>
    <row r="66" spans="1:7" x14ac:dyDescent="0.35">
      <c r="A66" s="2">
        <v>63</v>
      </c>
      <c r="B66" s="5">
        <f t="shared" si="5"/>
        <v>2432972.4476541388</v>
      </c>
      <c r="C66" s="5">
        <f>'Case 3 - Home Loan'!$B$12</f>
        <v>39831.074386614207</v>
      </c>
      <c r="D66" s="5">
        <f>B66*'Case 3 - Home Loan'!$B$6</f>
        <v>18247.293357406041</v>
      </c>
      <c r="E66" s="5">
        <f t="shared" si="3"/>
        <v>21583.781029208167</v>
      </c>
      <c r="G66" s="5">
        <f t="shared" si="4"/>
        <v>2411388.6666249307</v>
      </c>
    </row>
    <row r="67" spans="1:7" x14ac:dyDescent="0.35">
      <c r="A67" s="2">
        <v>64</v>
      </c>
      <c r="B67" s="5">
        <f t="shared" si="5"/>
        <v>2411388.6666249307</v>
      </c>
      <c r="C67" s="5">
        <f>'Case 3 - Home Loan'!$B$12</f>
        <v>39831.074386614207</v>
      </c>
      <c r="D67" s="5">
        <f>B67*'Case 3 - Home Loan'!$B$6</f>
        <v>18085.414999686978</v>
      </c>
      <c r="E67" s="5">
        <f t="shared" si="3"/>
        <v>21745.659386927229</v>
      </c>
      <c r="G67" s="5">
        <f t="shared" si="4"/>
        <v>2389643.0072380034</v>
      </c>
    </row>
    <row r="68" spans="1:7" x14ac:dyDescent="0.35">
      <c r="A68" s="2">
        <v>65</v>
      </c>
      <c r="B68" s="5">
        <f t="shared" si="5"/>
        <v>2389643.0072380034</v>
      </c>
      <c r="C68" s="5">
        <f>'Case 3 - Home Loan'!$B$12</f>
        <v>39831.074386614207</v>
      </c>
      <c r="D68" s="5">
        <f>B68*'Case 3 - Home Loan'!$B$6</f>
        <v>17922.322554285023</v>
      </c>
      <c r="E68" s="5">
        <f t="shared" ref="E68:E99" si="6">C68-D68</f>
        <v>21908.751832329184</v>
      </c>
      <c r="G68" s="5">
        <f t="shared" ref="G68:G99" si="7">B68-E68</f>
        <v>2367734.2554056742</v>
      </c>
    </row>
    <row r="69" spans="1:7" x14ac:dyDescent="0.35">
      <c r="A69" s="2">
        <v>66</v>
      </c>
      <c r="B69" s="5">
        <f t="shared" ref="B69:B100" si="8">G68</f>
        <v>2367734.2554056742</v>
      </c>
      <c r="C69" s="5">
        <f>'Case 3 - Home Loan'!$B$12</f>
        <v>39831.074386614207</v>
      </c>
      <c r="D69" s="5">
        <f>B69*'Case 3 - Home Loan'!$B$6</f>
        <v>17758.006915542555</v>
      </c>
      <c r="E69" s="5">
        <f t="shared" si="6"/>
        <v>22073.067471071652</v>
      </c>
      <c r="G69" s="5">
        <f t="shared" si="7"/>
        <v>2345661.1879346026</v>
      </c>
    </row>
    <row r="70" spans="1:7" x14ac:dyDescent="0.35">
      <c r="A70" s="2">
        <v>67</v>
      </c>
      <c r="B70" s="5">
        <f t="shared" si="8"/>
        <v>2345661.1879346026</v>
      </c>
      <c r="C70" s="5">
        <f>'Case 3 - Home Loan'!$B$12</f>
        <v>39831.074386614207</v>
      </c>
      <c r="D70" s="5">
        <f>B70*'Case 3 - Home Loan'!$B$6</f>
        <v>17592.458909509518</v>
      </c>
      <c r="E70" s="5">
        <f t="shared" si="6"/>
        <v>22238.615477104689</v>
      </c>
      <c r="G70" s="5">
        <f t="shared" si="7"/>
        <v>2323422.5724574979</v>
      </c>
    </row>
    <row r="71" spans="1:7" x14ac:dyDescent="0.35">
      <c r="A71" s="2">
        <v>68</v>
      </c>
      <c r="B71" s="5">
        <f t="shared" si="8"/>
        <v>2323422.5724574979</v>
      </c>
      <c r="C71" s="5">
        <f>'Case 3 - Home Loan'!$B$12</f>
        <v>39831.074386614207</v>
      </c>
      <c r="D71" s="5">
        <f>B71*'Case 3 - Home Loan'!$B$6</f>
        <v>17425.669293431234</v>
      </c>
      <c r="E71" s="5">
        <f t="shared" si="6"/>
        <v>22405.405093182973</v>
      </c>
      <c r="G71" s="5">
        <f t="shared" si="7"/>
        <v>2301017.1673643151</v>
      </c>
    </row>
    <row r="72" spans="1:7" x14ac:dyDescent="0.35">
      <c r="A72" s="2">
        <v>69</v>
      </c>
      <c r="B72" s="5">
        <f t="shared" si="8"/>
        <v>2301017.1673643151</v>
      </c>
      <c r="C72" s="5">
        <f>'Case 3 - Home Loan'!$B$12</f>
        <v>39831.074386614207</v>
      </c>
      <c r="D72" s="5">
        <f>B72*'Case 3 - Home Loan'!$B$6</f>
        <v>17257.628755232363</v>
      </c>
      <c r="E72" s="5">
        <f t="shared" si="6"/>
        <v>22573.445631381845</v>
      </c>
      <c r="G72" s="5">
        <f t="shared" si="7"/>
        <v>2278443.7217329331</v>
      </c>
    </row>
    <row r="73" spans="1:7" x14ac:dyDescent="0.35">
      <c r="A73" s="2">
        <v>70</v>
      </c>
      <c r="B73" s="5">
        <f t="shared" si="8"/>
        <v>2278443.7217329331</v>
      </c>
      <c r="C73" s="5">
        <f>'Case 3 - Home Loan'!$B$12</f>
        <v>39831.074386614207</v>
      </c>
      <c r="D73" s="5">
        <f>B73*'Case 3 - Home Loan'!$B$6</f>
        <v>17088.327912996996</v>
      </c>
      <c r="E73" s="5">
        <f t="shared" si="6"/>
        <v>22742.746473617211</v>
      </c>
      <c r="G73" s="5">
        <f t="shared" si="7"/>
        <v>2255700.9752593157</v>
      </c>
    </row>
    <row r="74" spans="1:7" x14ac:dyDescent="0.35">
      <c r="A74" s="2">
        <v>71</v>
      </c>
      <c r="B74" s="5">
        <f t="shared" si="8"/>
        <v>2255700.9752593157</v>
      </c>
      <c r="C74" s="5">
        <f>'Case 3 - Home Loan'!$B$12</f>
        <v>39831.074386614207</v>
      </c>
      <c r="D74" s="5">
        <f>B74*'Case 3 - Home Loan'!$B$6</f>
        <v>16917.757314444869</v>
      </c>
      <c r="E74" s="5">
        <f t="shared" si="6"/>
        <v>22913.317072169339</v>
      </c>
      <c r="G74" s="5">
        <f t="shared" si="7"/>
        <v>2232787.6581871463</v>
      </c>
    </row>
    <row r="75" spans="1:7" x14ac:dyDescent="0.35">
      <c r="A75" s="2">
        <v>72</v>
      </c>
      <c r="B75" s="5">
        <f t="shared" si="8"/>
        <v>2232787.6581871463</v>
      </c>
      <c r="C75" s="5">
        <f>'Case 3 - Home Loan'!$B$12</f>
        <v>39831.074386614207</v>
      </c>
      <c r="D75" s="5">
        <f>B75*'Case 3 - Home Loan'!$B$6</f>
        <v>16745.907436403595</v>
      </c>
      <c r="E75" s="5">
        <f t="shared" si="6"/>
        <v>23085.166950210612</v>
      </c>
      <c r="G75" s="5">
        <f t="shared" si="7"/>
        <v>2209702.4912369358</v>
      </c>
    </row>
    <row r="76" spans="1:7" x14ac:dyDescent="0.35">
      <c r="A76" s="2">
        <v>73</v>
      </c>
      <c r="B76" s="5">
        <f t="shared" si="8"/>
        <v>2209702.4912369358</v>
      </c>
      <c r="C76" s="5">
        <f>'Case 3 - Home Loan'!$B$12</f>
        <v>39831.074386614207</v>
      </c>
      <c r="D76" s="5">
        <f>B76*'Case 3 - Home Loan'!$B$6</f>
        <v>16572.76868427702</v>
      </c>
      <c r="E76" s="5">
        <f t="shared" si="6"/>
        <v>23258.305702337188</v>
      </c>
      <c r="G76" s="5">
        <f t="shared" si="7"/>
        <v>2186444.1855345988</v>
      </c>
    </row>
    <row r="77" spans="1:7" x14ac:dyDescent="0.35">
      <c r="A77" s="2">
        <v>74</v>
      </c>
      <c r="B77" s="5">
        <f t="shared" si="8"/>
        <v>2186444.1855345988</v>
      </c>
      <c r="C77" s="5">
        <f>'Case 3 - Home Loan'!$B$12</f>
        <v>39831.074386614207</v>
      </c>
      <c r="D77" s="5">
        <f>B77*'Case 3 - Home Loan'!$B$6</f>
        <v>16398.331391509491</v>
      </c>
      <c r="E77" s="5">
        <f t="shared" si="6"/>
        <v>23432.742995104716</v>
      </c>
      <c r="G77" s="5">
        <f t="shared" si="7"/>
        <v>2163011.442539494</v>
      </c>
    </row>
    <row r="78" spans="1:7" x14ac:dyDescent="0.35">
      <c r="A78" s="2">
        <v>75</v>
      </c>
      <c r="B78" s="5">
        <f t="shared" si="8"/>
        <v>2163011.442539494</v>
      </c>
      <c r="C78" s="5">
        <f>'Case 3 - Home Loan'!$B$12</f>
        <v>39831.074386614207</v>
      </c>
      <c r="D78" s="5">
        <f>B78*'Case 3 - Home Loan'!$B$6</f>
        <v>16222.585819046204</v>
      </c>
      <c r="E78" s="5">
        <f t="shared" si="6"/>
        <v>23608.488567568005</v>
      </c>
      <c r="G78" s="5">
        <f t="shared" si="7"/>
        <v>2139402.9539719261</v>
      </c>
    </row>
    <row r="79" spans="1:7" x14ac:dyDescent="0.35">
      <c r="A79" s="2">
        <v>76</v>
      </c>
      <c r="B79" s="5">
        <f t="shared" si="8"/>
        <v>2139402.9539719261</v>
      </c>
      <c r="C79" s="5">
        <f>'Case 3 - Home Loan'!$B$12</f>
        <v>39831.074386614207</v>
      </c>
      <c r="D79" s="5">
        <f>B79*'Case 3 - Home Loan'!$B$6</f>
        <v>16045.522154789445</v>
      </c>
      <c r="E79" s="5">
        <f t="shared" si="6"/>
        <v>23785.55223182476</v>
      </c>
      <c r="G79" s="5">
        <f t="shared" si="7"/>
        <v>2115617.4017401012</v>
      </c>
    </row>
    <row r="80" spans="1:7" x14ac:dyDescent="0.35">
      <c r="A80" s="2">
        <v>77</v>
      </c>
      <c r="B80" s="5">
        <f t="shared" si="8"/>
        <v>2115617.4017401012</v>
      </c>
      <c r="C80" s="5">
        <f>'Case 3 - Home Loan'!$B$12</f>
        <v>39831.074386614207</v>
      </c>
      <c r="D80" s="5">
        <f>B80*'Case 3 - Home Loan'!$B$6</f>
        <v>15867.130513050759</v>
      </c>
      <c r="E80" s="5">
        <f t="shared" si="6"/>
        <v>23963.943873563447</v>
      </c>
      <c r="G80" s="5">
        <f t="shared" si="7"/>
        <v>2091653.4578665376</v>
      </c>
    </row>
    <row r="81" spans="1:7" x14ac:dyDescent="0.35">
      <c r="A81" s="2">
        <v>78</v>
      </c>
      <c r="B81" s="5">
        <f t="shared" si="8"/>
        <v>2091653.4578665376</v>
      </c>
      <c r="C81" s="5">
        <f>'Case 3 - Home Loan'!$B$12</f>
        <v>39831.074386614207</v>
      </c>
      <c r="D81" s="5">
        <f>B81*'Case 3 - Home Loan'!$B$6</f>
        <v>15687.400933999032</v>
      </c>
      <c r="E81" s="5">
        <f t="shared" si="6"/>
        <v>24143.673452615178</v>
      </c>
      <c r="G81" s="5">
        <f t="shared" si="7"/>
        <v>2067509.7844139223</v>
      </c>
    </row>
    <row r="82" spans="1:7" x14ac:dyDescent="0.35">
      <c r="A82" s="2">
        <v>79</v>
      </c>
      <c r="B82" s="5">
        <f t="shared" si="8"/>
        <v>2067509.7844139223</v>
      </c>
      <c r="C82" s="5">
        <f>'Case 3 - Home Loan'!$B$12</f>
        <v>39831.074386614207</v>
      </c>
      <c r="D82" s="5">
        <f>B82*'Case 3 - Home Loan'!$B$6</f>
        <v>15506.323383104416</v>
      </c>
      <c r="E82" s="5">
        <f t="shared" si="6"/>
        <v>24324.751003509791</v>
      </c>
      <c r="G82" s="5">
        <f t="shared" si="7"/>
        <v>2043185.0334104125</v>
      </c>
    </row>
    <row r="83" spans="1:7" x14ac:dyDescent="0.35">
      <c r="A83" s="2">
        <v>80</v>
      </c>
      <c r="B83" s="5">
        <f t="shared" si="8"/>
        <v>2043185.0334104125</v>
      </c>
      <c r="C83" s="5">
        <f>'Case 3 - Home Loan'!$B$12</f>
        <v>39831.074386614207</v>
      </c>
      <c r="D83" s="5">
        <f>B83*'Case 3 - Home Loan'!$B$6</f>
        <v>15323.887750578093</v>
      </c>
      <c r="E83" s="5">
        <f t="shared" si="6"/>
        <v>24507.186636036116</v>
      </c>
      <c r="G83" s="5">
        <f t="shared" si="7"/>
        <v>2018677.8467743765</v>
      </c>
    </row>
    <row r="84" spans="1:7" x14ac:dyDescent="0.35">
      <c r="A84" s="2">
        <v>81</v>
      </c>
      <c r="B84" s="5">
        <f t="shared" si="8"/>
        <v>2018677.8467743765</v>
      </c>
      <c r="C84" s="5">
        <f>'Case 3 - Home Loan'!$B$12</f>
        <v>39831.074386614207</v>
      </c>
      <c r="D84" s="5">
        <f>B84*'Case 3 - Home Loan'!$B$6</f>
        <v>15140.083850807823</v>
      </c>
      <c r="E84" s="5">
        <f t="shared" si="6"/>
        <v>24690.990535806384</v>
      </c>
      <c r="G84" s="5">
        <f t="shared" si="7"/>
        <v>1993986.8562385701</v>
      </c>
    </row>
    <row r="85" spans="1:7" x14ac:dyDescent="0.35">
      <c r="A85" s="2">
        <v>82</v>
      </c>
      <c r="B85" s="5">
        <f t="shared" si="8"/>
        <v>1993986.8562385701</v>
      </c>
      <c r="C85" s="5">
        <f>'Case 3 - Home Loan'!$B$12</f>
        <v>39831.074386614207</v>
      </c>
      <c r="D85" s="5">
        <f>B85*'Case 3 - Home Loan'!$B$6</f>
        <v>14954.901421789275</v>
      </c>
      <c r="E85" s="5">
        <f t="shared" si="6"/>
        <v>24876.172964824931</v>
      </c>
      <c r="G85" s="5">
        <f t="shared" si="7"/>
        <v>1969110.6832737452</v>
      </c>
    </row>
    <row r="86" spans="1:7" x14ac:dyDescent="0.35">
      <c r="A86" s="2">
        <v>83</v>
      </c>
      <c r="B86" s="5">
        <f t="shared" si="8"/>
        <v>1969110.6832737452</v>
      </c>
      <c r="C86" s="5">
        <f>'Case 3 - Home Loan'!$B$12</f>
        <v>39831.074386614207</v>
      </c>
      <c r="D86" s="5">
        <f>B86*'Case 3 - Home Loan'!$B$6</f>
        <v>14768.330124553089</v>
      </c>
      <c r="E86" s="5">
        <f t="shared" si="6"/>
        <v>25062.744262061118</v>
      </c>
      <c r="G86" s="5">
        <f t="shared" si="7"/>
        <v>1944047.9390116842</v>
      </c>
    </row>
    <row r="87" spans="1:7" x14ac:dyDescent="0.35">
      <c r="A87" s="2">
        <v>84</v>
      </c>
      <c r="B87" s="5">
        <f t="shared" si="8"/>
        <v>1944047.9390116842</v>
      </c>
      <c r="C87" s="5">
        <f>'Case 3 - Home Loan'!$B$12</f>
        <v>39831.074386614207</v>
      </c>
      <c r="D87" s="5">
        <f>B87*'Case 3 - Home Loan'!$B$6</f>
        <v>14580.35954258763</v>
      </c>
      <c r="E87" s="5">
        <f t="shared" si="6"/>
        <v>25250.714844026577</v>
      </c>
      <c r="G87" s="5">
        <f t="shared" si="7"/>
        <v>1918797.2241676576</v>
      </c>
    </row>
    <row r="88" spans="1:7" x14ac:dyDescent="0.35">
      <c r="A88" s="2">
        <v>85</v>
      </c>
      <c r="B88" s="5">
        <f t="shared" si="8"/>
        <v>1918797.2241676576</v>
      </c>
      <c r="C88" s="5">
        <f>'Case 3 - Home Loan'!$B$12</f>
        <v>39831.074386614207</v>
      </c>
      <c r="D88" s="5">
        <f>B88*'Case 3 - Home Loan'!$B$6</f>
        <v>14390.979181257431</v>
      </c>
      <c r="E88" s="5">
        <f t="shared" si="6"/>
        <v>25440.095205356774</v>
      </c>
      <c r="G88" s="5">
        <f t="shared" si="7"/>
        <v>1893357.1289623007</v>
      </c>
    </row>
    <row r="89" spans="1:7" x14ac:dyDescent="0.35">
      <c r="A89" s="2">
        <v>86</v>
      </c>
      <c r="B89" s="5">
        <f t="shared" si="8"/>
        <v>1893357.1289623007</v>
      </c>
      <c r="C89" s="5">
        <f>'Case 3 - Home Loan'!$B$12</f>
        <v>39831.074386614207</v>
      </c>
      <c r="D89" s="5">
        <f>B89*'Case 3 - Home Loan'!$B$6</f>
        <v>14200.178467217254</v>
      </c>
      <c r="E89" s="5">
        <f t="shared" si="6"/>
        <v>25630.895919396953</v>
      </c>
      <c r="G89" s="5">
        <f t="shared" si="7"/>
        <v>1867726.2330429037</v>
      </c>
    </row>
    <row r="90" spans="1:7" x14ac:dyDescent="0.35">
      <c r="A90" s="2">
        <v>87</v>
      </c>
      <c r="B90" s="5">
        <f t="shared" si="8"/>
        <v>1867726.2330429037</v>
      </c>
      <c r="C90" s="5">
        <f>'Case 3 - Home Loan'!$B$12</f>
        <v>39831.074386614207</v>
      </c>
      <c r="D90" s="5">
        <f>B90*'Case 3 - Home Loan'!$B$6</f>
        <v>14007.946747821778</v>
      </c>
      <c r="E90" s="5">
        <f t="shared" si="6"/>
        <v>25823.12763879243</v>
      </c>
      <c r="G90" s="5">
        <f t="shared" si="7"/>
        <v>1841903.1054041113</v>
      </c>
    </row>
    <row r="91" spans="1:7" x14ac:dyDescent="0.35">
      <c r="A91" s="2">
        <v>88</v>
      </c>
      <c r="B91" s="5">
        <f t="shared" si="8"/>
        <v>1841903.1054041113</v>
      </c>
      <c r="C91" s="5">
        <f>'Case 3 - Home Loan'!$B$12</f>
        <v>39831.074386614207</v>
      </c>
      <c r="D91" s="5">
        <f>B91*'Case 3 - Home Loan'!$B$6</f>
        <v>13814.273290530835</v>
      </c>
      <c r="E91" s="5">
        <f t="shared" si="6"/>
        <v>26016.801096083371</v>
      </c>
      <c r="G91" s="5">
        <f t="shared" si="7"/>
        <v>1815886.304308028</v>
      </c>
    </row>
    <row r="92" spans="1:7" x14ac:dyDescent="0.35">
      <c r="A92" s="2">
        <v>89</v>
      </c>
      <c r="B92" s="5">
        <f t="shared" si="8"/>
        <v>1815886.304308028</v>
      </c>
      <c r="C92" s="5">
        <f>'Case 3 - Home Loan'!$B$12</f>
        <v>39831.074386614207</v>
      </c>
      <c r="D92" s="5">
        <f>B92*'Case 3 - Home Loan'!$B$6</f>
        <v>13619.147282310209</v>
      </c>
      <c r="E92" s="5">
        <f t="shared" si="6"/>
        <v>26211.927104303999</v>
      </c>
      <c r="G92" s="5">
        <f t="shared" si="7"/>
        <v>1789674.3772037239</v>
      </c>
    </row>
    <row r="93" spans="1:7" x14ac:dyDescent="0.35">
      <c r="A93" s="2">
        <v>90</v>
      </c>
      <c r="B93" s="5">
        <f t="shared" si="8"/>
        <v>1789674.3772037239</v>
      </c>
      <c r="C93" s="5">
        <f>'Case 3 - Home Loan'!$B$12</f>
        <v>39831.074386614207</v>
      </c>
      <c r="D93" s="5">
        <f>B93*'Case 3 - Home Loan'!$B$6</f>
        <v>13422.557829027928</v>
      </c>
      <c r="E93" s="5">
        <f t="shared" si="6"/>
        <v>26408.516557586277</v>
      </c>
      <c r="G93" s="5">
        <f t="shared" si="7"/>
        <v>1763265.8606461375</v>
      </c>
    </row>
    <row r="94" spans="1:7" x14ac:dyDescent="0.35">
      <c r="A94" s="2">
        <v>91</v>
      </c>
      <c r="B94" s="5">
        <f t="shared" si="8"/>
        <v>1763265.8606461375</v>
      </c>
      <c r="C94" s="5">
        <f>'Case 3 - Home Loan'!$B$12</f>
        <v>39831.074386614207</v>
      </c>
      <c r="D94" s="5">
        <f>B94*'Case 3 - Home Loan'!$B$6</f>
        <v>13224.493954846032</v>
      </c>
      <c r="E94" s="5">
        <f t="shared" si="6"/>
        <v>26606.580431768176</v>
      </c>
      <c r="G94" s="5">
        <f t="shared" si="7"/>
        <v>1736659.2802143693</v>
      </c>
    </row>
    <row r="95" spans="1:7" x14ac:dyDescent="0.35">
      <c r="A95" s="2">
        <v>92</v>
      </c>
      <c r="B95" s="5">
        <f t="shared" si="8"/>
        <v>1736659.2802143693</v>
      </c>
      <c r="C95" s="5">
        <f>'Case 3 - Home Loan'!$B$12</f>
        <v>39831.074386614207</v>
      </c>
      <c r="D95" s="5">
        <f>B95*'Case 3 - Home Loan'!$B$6</f>
        <v>13024.944601607769</v>
      </c>
      <c r="E95" s="5">
        <f t="shared" si="6"/>
        <v>26806.129785006437</v>
      </c>
      <c r="G95" s="5">
        <f t="shared" si="7"/>
        <v>1709853.1504293629</v>
      </c>
    </row>
    <row r="96" spans="1:7" x14ac:dyDescent="0.35">
      <c r="A96" s="2">
        <v>93</v>
      </c>
      <c r="B96" s="5">
        <f t="shared" si="8"/>
        <v>1709853.1504293629</v>
      </c>
      <c r="C96" s="5">
        <f>'Case 3 - Home Loan'!$B$12</f>
        <v>39831.074386614207</v>
      </c>
      <c r="D96" s="5">
        <f>B96*'Case 3 - Home Loan'!$B$6</f>
        <v>12823.89862822022</v>
      </c>
      <c r="E96" s="5">
        <f t="shared" si="6"/>
        <v>27007.175758393987</v>
      </c>
      <c r="G96" s="5">
        <f t="shared" si="7"/>
        <v>1682845.9746709689</v>
      </c>
    </row>
    <row r="97" spans="1:7" x14ac:dyDescent="0.35">
      <c r="A97" s="2">
        <v>94</v>
      </c>
      <c r="B97" s="5">
        <f t="shared" si="8"/>
        <v>1682845.9746709689</v>
      </c>
      <c r="C97" s="5">
        <f>'Case 3 - Home Loan'!$B$12</f>
        <v>39831.074386614207</v>
      </c>
      <c r="D97" s="5">
        <f>B97*'Case 3 - Home Loan'!$B$6</f>
        <v>12621.344810032268</v>
      </c>
      <c r="E97" s="5">
        <f t="shared" si="6"/>
        <v>27209.72957658194</v>
      </c>
      <c r="G97" s="5">
        <f t="shared" si="7"/>
        <v>1655636.2450943871</v>
      </c>
    </row>
    <row r="98" spans="1:7" x14ac:dyDescent="0.35">
      <c r="A98" s="2">
        <v>95</v>
      </c>
      <c r="B98" s="5">
        <f t="shared" si="8"/>
        <v>1655636.2450943871</v>
      </c>
      <c r="C98" s="5">
        <f>'Case 3 - Home Loan'!$B$12</f>
        <v>39831.074386614207</v>
      </c>
      <c r="D98" s="5">
        <f>B98*'Case 3 - Home Loan'!$B$6</f>
        <v>12417.271838207902</v>
      </c>
      <c r="E98" s="5">
        <f t="shared" si="6"/>
        <v>27413.802548406304</v>
      </c>
      <c r="G98" s="5">
        <f t="shared" si="7"/>
        <v>1628222.4425459807</v>
      </c>
    </row>
    <row r="99" spans="1:7" x14ac:dyDescent="0.35">
      <c r="A99" s="2">
        <v>96</v>
      </c>
      <c r="B99" s="5">
        <f t="shared" si="8"/>
        <v>1628222.4425459807</v>
      </c>
      <c r="C99" s="5">
        <f>'Case 3 - Home Loan'!$B$12</f>
        <v>39831.074386614207</v>
      </c>
      <c r="D99" s="5">
        <f>B99*'Case 3 - Home Loan'!$B$6</f>
        <v>12211.668319094855</v>
      </c>
      <c r="E99" s="5">
        <f t="shared" si="6"/>
        <v>27619.406067519354</v>
      </c>
      <c r="G99" s="5">
        <f t="shared" si="7"/>
        <v>1600603.0364784612</v>
      </c>
    </row>
    <row r="100" spans="1:7" x14ac:dyDescent="0.35">
      <c r="A100" s="2">
        <v>97</v>
      </c>
      <c r="B100" s="5">
        <f t="shared" si="8"/>
        <v>1600603.0364784612</v>
      </c>
      <c r="C100" s="5">
        <f>'Case 3 - Home Loan'!$B$12</f>
        <v>39831.074386614207</v>
      </c>
      <c r="D100" s="5">
        <f>B100*'Case 3 - Home Loan'!$B$6</f>
        <v>12004.522773588458</v>
      </c>
      <c r="E100" s="5">
        <f t="shared" ref="E100:E131" si="9">C100-D100</f>
        <v>27826.551613025749</v>
      </c>
      <c r="G100" s="5">
        <f t="shared" ref="G100:G131" si="10">B100-E100</f>
        <v>1572776.4848654354</v>
      </c>
    </row>
    <row r="101" spans="1:7" x14ac:dyDescent="0.35">
      <c r="A101" s="2">
        <v>98</v>
      </c>
      <c r="B101" s="5">
        <f t="shared" ref="B101:B132" si="11">G100</f>
        <v>1572776.4848654354</v>
      </c>
      <c r="C101" s="5">
        <f>'Case 3 - Home Loan'!$B$12</f>
        <v>39831.074386614207</v>
      </c>
      <c r="D101" s="5">
        <f>B101*'Case 3 - Home Loan'!$B$6</f>
        <v>11795.823636490764</v>
      </c>
      <c r="E101" s="5">
        <f t="shared" si="9"/>
        <v>28035.250750123443</v>
      </c>
      <c r="G101" s="5">
        <f t="shared" si="10"/>
        <v>1544741.2341153119</v>
      </c>
    </row>
    <row r="102" spans="1:7" x14ac:dyDescent="0.35">
      <c r="A102" s="2">
        <v>99</v>
      </c>
      <c r="B102" s="5">
        <f t="shared" si="11"/>
        <v>1544741.2341153119</v>
      </c>
      <c r="C102" s="5">
        <f>'Case 3 - Home Loan'!$B$12</f>
        <v>39831.074386614207</v>
      </c>
      <c r="D102" s="5">
        <f>B102*'Case 3 - Home Loan'!$B$6</f>
        <v>11585.559255864839</v>
      </c>
      <c r="E102" s="5">
        <f t="shared" si="9"/>
        <v>28245.515130749369</v>
      </c>
      <c r="G102" s="5">
        <f t="shared" si="10"/>
        <v>1516495.7189845624</v>
      </c>
    </row>
    <row r="103" spans="1:7" x14ac:dyDescent="0.35">
      <c r="A103" s="2">
        <v>100</v>
      </c>
      <c r="B103" s="5">
        <f t="shared" si="11"/>
        <v>1516495.7189845624</v>
      </c>
      <c r="C103" s="5">
        <f>'Case 3 - Home Loan'!$B$12</f>
        <v>39831.074386614207</v>
      </c>
      <c r="D103" s="5">
        <f>B103*'Case 3 - Home Loan'!$B$6</f>
        <v>11373.717892384218</v>
      </c>
      <c r="E103" s="5">
        <f t="shared" si="9"/>
        <v>28457.356494229989</v>
      </c>
      <c r="G103" s="5">
        <f t="shared" si="10"/>
        <v>1488038.3624903325</v>
      </c>
    </row>
    <row r="104" spans="1:7" x14ac:dyDescent="0.35">
      <c r="A104" s="2">
        <v>101</v>
      </c>
      <c r="B104" s="5">
        <f t="shared" si="11"/>
        <v>1488038.3624903325</v>
      </c>
      <c r="C104" s="5">
        <f>'Case 3 - Home Loan'!$B$12</f>
        <v>39831.074386614207</v>
      </c>
      <c r="D104" s="5">
        <f>B104*'Case 3 - Home Loan'!$B$6</f>
        <v>11160.287718677493</v>
      </c>
      <c r="E104" s="5">
        <f t="shared" si="9"/>
        <v>28670.786667936714</v>
      </c>
      <c r="G104" s="5">
        <f t="shared" si="10"/>
        <v>1459367.5758223957</v>
      </c>
    </row>
    <row r="105" spans="1:7" x14ac:dyDescent="0.35">
      <c r="A105" s="2">
        <v>102</v>
      </c>
      <c r="B105" s="5">
        <f t="shared" si="11"/>
        <v>1459367.5758223957</v>
      </c>
      <c r="C105" s="5">
        <f>'Case 3 - Home Loan'!$B$12</f>
        <v>39831.074386614207</v>
      </c>
      <c r="D105" s="5">
        <f>B105*'Case 3 - Home Loan'!$B$6</f>
        <v>10945.256818667967</v>
      </c>
      <c r="E105" s="5">
        <f t="shared" si="9"/>
        <v>28885.81756794624</v>
      </c>
      <c r="G105" s="5">
        <f t="shared" si="10"/>
        <v>1430481.7582544496</v>
      </c>
    </row>
    <row r="106" spans="1:7" x14ac:dyDescent="0.35">
      <c r="A106" s="2">
        <v>103</v>
      </c>
      <c r="B106" s="5">
        <f t="shared" si="11"/>
        <v>1430481.7582544496</v>
      </c>
      <c r="C106" s="5">
        <f>'Case 3 - Home Loan'!$B$12</f>
        <v>39831.074386614207</v>
      </c>
      <c r="D106" s="5">
        <f>B106*'Case 3 - Home Loan'!$B$6</f>
        <v>10728.613186908371</v>
      </c>
      <c r="E106" s="5">
        <f t="shared" si="9"/>
        <v>29102.461199705838</v>
      </c>
      <c r="G106" s="5">
        <f t="shared" si="10"/>
        <v>1401379.2970547439</v>
      </c>
    </row>
    <row r="107" spans="1:7" x14ac:dyDescent="0.35">
      <c r="A107" s="2">
        <v>104</v>
      </c>
      <c r="B107" s="5">
        <f t="shared" si="11"/>
        <v>1401379.2970547439</v>
      </c>
      <c r="C107" s="5">
        <f>'Case 3 - Home Loan'!$B$12</f>
        <v>39831.074386614207</v>
      </c>
      <c r="D107" s="5">
        <f>B107*'Case 3 - Home Loan'!$B$6</f>
        <v>10510.344727910579</v>
      </c>
      <c r="E107" s="5">
        <f t="shared" si="9"/>
        <v>29320.729658703629</v>
      </c>
      <c r="G107" s="5">
        <f t="shared" si="10"/>
        <v>1372058.5673960403</v>
      </c>
    </row>
    <row r="108" spans="1:7" x14ac:dyDescent="0.35">
      <c r="A108" s="2">
        <v>105</v>
      </c>
      <c r="B108" s="5">
        <f t="shared" si="11"/>
        <v>1372058.5673960403</v>
      </c>
      <c r="C108" s="5">
        <f>'Case 3 - Home Loan'!$B$12</f>
        <v>39831.074386614207</v>
      </c>
      <c r="D108" s="5">
        <f>B108*'Case 3 - Home Loan'!$B$6</f>
        <v>10290.439255470303</v>
      </c>
      <c r="E108" s="5">
        <f t="shared" si="9"/>
        <v>29540.635131143907</v>
      </c>
      <c r="G108" s="5">
        <f t="shared" si="10"/>
        <v>1342517.9322648963</v>
      </c>
    </row>
    <row r="109" spans="1:7" x14ac:dyDescent="0.35">
      <c r="A109" s="2">
        <v>106</v>
      </c>
      <c r="B109" s="5">
        <f t="shared" si="11"/>
        <v>1342517.9322648963</v>
      </c>
      <c r="C109" s="5">
        <f>'Case 3 - Home Loan'!$B$12</f>
        <v>39831.074386614207</v>
      </c>
      <c r="D109" s="5">
        <f>B109*'Case 3 - Home Loan'!$B$6</f>
        <v>10068.884491986722</v>
      </c>
      <c r="E109" s="5">
        <f t="shared" si="9"/>
        <v>29762.189894627485</v>
      </c>
      <c r="G109" s="5">
        <f t="shared" si="10"/>
        <v>1312755.7423702688</v>
      </c>
    </row>
    <row r="110" spans="1:7" x14ac:dyDescent="0.35">
      <c r="A110" s="2">
        <v>107</v>
      </c>
      <c r="B110" s="5">
        <f t="shared" si="11"/>
        <v>1312755.7423702688</v>
      </c>
      <c r="C110" s="5">
        <f>'Case 3 - Home Loan'!$B$12</f>
        <v>39831.074386614207</v>
      </c>
      <c r="D110" s="5">
        <f>B110*'Case 3 - Home Loan'!$B$6</f>
        <v>9845.6680677770164</v>
      </c>
      <c r="E110" s="5">
        <f t="shared" si="9"/>
        <v>29985.406318837191</v>
      </c>
      <c r="G110" s="5">
        <f t="shared" si="10"/>
        <v>1282770.3360514317</v>
      </c>
    </row>
    <row r="111" spans="1:7" x14ac:dyDescent="0.35">
      <c r="A111" s="2">
        <v>108</v>
      </c>
      <c r="B111" s="5">
        <f t="shared" si="11"/>
        <v>1282770.3360514317</v>
      </c>
      <c r="C111" s="5">
        <f>'Case 3 - Home Loan'!$B$12</f>
        <v>39831.074386614207</v>
      </c>
      <c r="D111" s="5">
        <f>B111*'Case 3 - Home Loan'!$B$6</f>
        <v>9620.7775203857382</v>
      </c>
      <c r="E111" s="5">
        <f t="shared" si="9"/>
        <v>30210.296866228469</v>
      </c>
      <c r="G111" s="5">
        <f t="shared" si="10"/>
        <v>1252560.0391852031</v>
      </c>
    </row>
    <row r="112" spans="1:7" x14ac:dyDescent="0.35">
      <c r="A112" s="2">
        <v>109</v>
      </c>
      <c r="B112" s="5">
        <f t="shared" si="11"/>
        <v>1252560.0391852031</v>
      </c>
      <c r="C112" s="5">
        <f>'Case 3 - Home Loan'!$B$12</f>
        <v>39831.074386614207</v>
      </c>
      <c r="D112" s="5">
        <f>B112*'Case 3 - Home Loan'!$B$6</f>
        <v>9394.2002938890237</v>
      </c>
      <c r="E112" s="5">
        <f t="shared" si="9"/>
        <v>30436.874092725186</v>
      </c>
      <c r="G112" s="5">
        <f t="shared" si="10"/>
        <v>1222123.165092478</v>
      </c>
    </row>
    <row r="113" spans="1:7" x14ac:dyDescent="0.35">
      <c r="A113" s="2">
        <v>110</v>
      </c>
      <c r="B113" s="5">
        <f t="shared" si="11"/>
        <v>1222123.165092478</v>
      </c>
      <c r="C113" s="5">
        <f>'Case 3 - Home Loan'!$B$12</f>
        <v>39831.074386614207</v>
      </c>
      <c r="D113" s="5">
        <f>B113*'Case 3 - Home Loan'!$B$6</f>
        <v>9165.9237381935855</v>
      </c>
      <c r="E113" s="5">
        <f t="shared" si="9"/>
        <v>30665.150648420622</v>
      </c>
      <c r="G113" s="5">
        <f t="shared" si="10"/>
        <v>1191458.0144440574</v>
      </c>
    </row>
    <row r="114" spans="1:7" x14ac:dyDescent="0.35">
      <c r="A114" s="2">
        <v>111</v>
      </c>
      <c r="B114" s="5">
        <f t="shared" si="11"/>
        <v>1191458.0144440574</v>
      </c>
      <c r="C114" s="5">
        <f>'Case 3 - Home Loan'!$B$12</f>
        <v>39831.074386614207</v>
      </c>
      <c r="D114" s="5">
        <f>B114*'Case 3 - Home Loan'!$B$6</f>
        <v>8935.93510833043</v>
      </c>
      <c r="E114" s="5">
        <f t="shared" si="9"/>
        <v>30895.139278283779</v>
      </c>
      <c r="G114" s="5">
        <f t="shared" si="10"/>
        <v>1160562.8751657736</v>
      </c>
    </row>
    <row r="115" spans="1:7" x14ac:dyDescent="0.35">
      <c r="A115" s="2">
        <v>112</v>
      </c>
      <c r="B115" s="5">
        <f t="shared" si="11"/>
        <v>1160562.8751657736</v>
      </c>
      <c r="C115" s="5">
        <f>'Case 3 - Home Loan'!$B$12</f>
        <v>39831.074386614207</v>
      </c>
      <c r="D115" s="5">
        <f>B115*'Case 3 - Home Loan'!$B$6</f>
        <v>8704.2215637433019</v>
      </c>
      <c r="E115" s="5">
        <f t="shared" si="9"/>
        <v>31126.852822870904</v>
      </c>
      <c r="G115" s="5">
        <f t="shared" si="10"/>
        <v>1129436.0223429026</v>
      </c>
    </row>
    <row r="116" spans="1:7" x14ac:dyDescent="0.35">
      <c r="A116" s="2">
        <v>113</v>
      </c>
      <c r="B116" s="5">
        <f t="shared" si="11"/>
        <v>1129436.0223429026</v>
      </c>
      <c r="C116" s="5">
        <f>'Case 3 - Home Loan'!$B$12</f>
        <v>39831.074386614207</v>
      </c>
      <c r="D116" s="5">
        <f>B116*'Case 3 - Home Loan'!$B$6</f>
        <v>8470.770167571769</v>
      </c>
      <c r="E116" s="5">
        <f t="shared" si="9"/>
        <v>31360.304219042438</v>
      </c>
      <c r="G116" s="5">
        <f t="shared" si="10"/>
        <v>1098075.7181238602</v>
      </c>
    </row>
    <row r="117" spans="1:7" x14ac:dyDescent="0.35">
      <c r="A117" s="2">
        <v>114</v>
      </c>
      <c r="B117" s="5">
        <f t="shared" si="11"/>
        <v>1098075.7181238602</v>
      </c>
      <c r="C117" s="5">
        <f>'Case 3 - Home Loan'!$B$12</f>
        <v>39831.074386614207</v>
      </c>
      <c r="D117" s="5">
        <f>B117*'Case 3 - Home Loan'!$B$6</f>
        <v>8235.567885928951</v>
      </c>
      <c r="E117" s="5">
        <f t="shared" si="9"/>
        <v>31595.506500685256</v>
      </c>
      <c r="G117" s="5">
        <f t="shared" si="10"/>
        <v>1066480.2116231748</v>
      </c>
    </row>
    <row r="118" spans="1:7" x14ac:dyDescent="0.35">
      <c r="A118" s="2">
        <v>115</v>
      </c>
      <c r="B118" s="5">
        <f t="shared" si="11"/>
        <v>1066480.2116231748</v>
      </c>
      <c r="C118" s="5">
        <f>'Case 3 - Home Loan'!$B$12</f>
        <v>39831.074386614207</v>
      </c>
      <c r="D118" s="5">
        <f>B118*'Case 3 - Home Loan'!$B$6</f>
        <v>7998.6015871738109</v>
      </c>
      <c r="E118" s="5">
        <f t="shared" si="9"/>
        <v>31832.472799440395</v>
      </c>
      <c r="G118" s="5">
        <f t="shared" si="10"/>
        <v>1034647.7388237345</v>
      </c>
    </row>
    <row r="119" spans="1:7" x14ac:dyDescent="0.35">
      <c r="A119" s="2">
        <v>116</v>
      </c>
      <c r="B119" s="5">
        <f t="shared" si="11"/>
        <v>1034647.7388237345</v>
      </c>
      <c r="C119" s="5">
        <f>'Case 3 - Home Loan'!$B$12</f>
        <v>39831.074386614207</v>
      </c>
      <c r="D119" s="5">
        <f>B119*'Case 3 - Home Loan'!$B$6</f>
        <v>7759.8580411780085</v>
      </c>
      <c r="E119" s="5">
        <f t="shared" si="9"/>
        <v>32071.216345436198</v>
      </c>
      <c r="G119" s="5">
        <f t="shared" si="10"/>
        <v>1002576.5224782983</v>
      </c>
    </row>
    <row r="120" spans="1:7" x14ac:dyDescent="0.35">
      <c r="A120" s="2">
        <v>117</v>
      </c>
      <c r="B120" s="5">
        <f t="shared" si="11"/>
        <v>1002576.5224782983</v>
      </c>
      <c r="C120" s="5">
        <f>'Case 3 - Home Loan'!$B$12</f>
        <v>39831.074386614207</v>
      </c>
      <c r="D120" s="5">
        <f>B120*'Case 3 - Home Loan'!$B$6</f>
        <v>7519.3239185872371</v>
      </c>
      <c r="E120" s="5">
        <f t="shared" si="9"/>
        <v>32311.75046802697</v>
      </c>
      <c r="G120" s="5">
        <f t="shared" si="10"/>
        <v>970264.77201027132</v>
      </c>
    </row>
    <row r="121" spans="1:7" x14ac:dyDescent="0.35">
      <c r="A121" s="2">
        <v>118</v>
      </c>
      <c r="B121" s="5">
        <f t="shared" si="11"/>
        <v>970264.77201027132</v>
      </c>
      <c r="C121" s="5">
        <f>'Case 3 - Home Loan'!$B$12</f>
        <v>39831.074386614207</v>
      </c>
      <c r="D121" s="5">
        <f>B121*'Case 3 - Home Loan'!$B$6</f>
        <v>7276.9857900770348</v>
      </c>
      <c r="E121" s="5">
        <f t="shared" si="9"/>
        <v>32554.088596537171</v>
      </c>
      <c r="G121" s="5">
        <f t="shared" si="10"/>
        <v>937710.68341373419</v>
      </c>
    </row>
    <row r="122" spans="1:7" x14ac:dyDescent="0.35">
      <c r="A122" s="2">
        <v>119</v>
      </c>
      <c r="B122" s="5">
        <f t="shared" si="11"/>
        <v>937710.68341373419</v>
      </c>
      <c r="C122" s="5">
        <f>'Case 3 - Home Loan'!$B$12</f>
        <v>39831.074386614207</v>
      </c>
      <c r="D122" s="5">
        <f>B122*'Case 3 - Home Loan'!$B$6</f>
        <v>7032.8301256030063</v>
      </c>
      <c r="E122" s="5">
        <f t="shared" si="9"/>
        <v>32798.244261011205</v>
      </c>
      <c r="G122" s="5">
        <f t="shared" si="10"/>
        <v>904912.43915272295</v>
      </c>
    </row>
    <row r="123" spans="1:7" x14ac:dyDescent="0.35">
      <c r="A123" s="2">
        <v>120</v>
      </c>
      <c r="B123" s="5">
        <f t="shared" si="11"/>
        <v>904912.43915272295</v>
      </c>
      <c r="C123" s="5">
        <f>'Case 3 - Home Loan'!$B$12</f>
        <v>39831.074386614207</v>
      </c>
      <c r="D123" s="5">
        <f>B123*'Case 3 - Home Loan'!$B$6</f>
        <v>6786.8432936454219</v>
      </c>
      <c r="E123" s="5">
        <f t="shared" si="9"/>
        <v>33044.231092968788</v>
      </c>
      <c r="G123" s="5">
        <f t="shared" si="10"/>
        <v>871868.20805975411</v>
      </c>
    </row>
    <row r="124" spans="1:7" x14ac:dyDescent="0.35">
      <c r="A124" s="2">
        <v>121</v>
      </c>
      <c r="B124" s="5">
        <f t="shared" si="11"/>
        <v>871868.20805975411</v>
      </c>
      <c r="C124" s="5">
        <f>'Case 3 - Home Loan'!$B$12</f>
        <v>39831.074386614207</v>
      </c>
      <c r="D124" s="5">
        <f>B124*'Case 3 - Home Loan'!$B$6</f>
        <v>6539.0115604481553</v>
      </c>
      <c r="E124" s="5">
        <f t="shared" si="9"/>
        <v>33292.062826166053</v>
      </c>
      <c r="G124" s="5">
        <f t="shared" si="10"/>
        <v>838576.14523358806</v>
      </c>
    </row>
    <row r="125" spans="1:7" x14ac:dyDescent="0.35">
      <c r="A125" s="2">
        <v>122</v>
      </c>
      <c r="B125" s="5">
        <f t="shared" si="11"/>
        <v>838576.14523358806</v>
      </c>
      <c r="C125" s="5">
        <f>'Case 3 - Home Loan'!$B$12</f>
        <v>39831.074386614207</v>
      </c>
      <c r="D125" s="5">
        <f>B125*'Case 3 - Home Loan'!$B$6</f>
        <v>6289.3210892519101</v>
      </c>
      <c r="E125" s="5">
        <f t="shared" si="9"/>
        <v>33541.753297362295</v>
      </c>
      <c r="G125" s="5">
        <f t="shared" si="10"/>
        <v>805034.39193622582</v>
      </c>
    </row>
    <row r="126" spans="1:7" x14ac:dyDescent="0.35">
      <c r="A126" s="2">
        <v>123</v>
      </c>
      <c r="B126" s="5">
        <f t="shared" si="11"/>
        <v>805034.39193622582</v>
      </c>
      <c r="C126" s="5">
        <f>'Case 3 - Home Loan'!$B$12</f>
        <v>39831.074386614207</v>
      </c>
      <c r="D126" s="5">
        <f>B126*'Case 3 - Home Loan'!$B$6</f>
        <v>6037.7579395216935</v>
      </c>
      <c r="E126" s="5">
        <f t="shared" si="9"/>
        <v>33793.316447092511</v>
      </c>
      <c r="G126" s="5">
        <f t="shared" si="10"/>
        <v>771241.07548913336</v>
      </c>
    </row>
    <row r="127" spans="1:7" x14ac:dyDescent="0.35">
      <c r="A127" s="2">
        <v>124</v>
      </c>
      <c r="B127" s="5">
        <f t="shared" si="11"/>
        <v>771241.07548913336</v>
      </c>
      <c r="C127" s="5">
        <f>'Case 3 - Home Loan'!$B$12</f>
        <v>39831.074386614207</v>
      </c>
      <c r="D127" s="5">
        <f>B127*'Case 3 - Home Loan'!$B$6</f>
        <v>5784.3080661684999</v>
      </c>
      <c r="E127" s="5">
        <f t="shared" si="9"/>
        <v>34046.766320445706</v>
      </c>
      <c r="G127" s="5">
        <f t="shared" si="10"/>
        <v>737194.30916868767</v>
      </c>
    </row>
    <row r="128" spans="1:7" x14ac:dyDescent="0.35">
      <c r="A128" s="2">
        <v>125</v>
      </c>
      <c r="B128" s="5">
        <f t="shared" si="11"/>
        <v>737194.30916868767</v>
      </c>
      <c r="C128" s="5">
        <f>'Case 3 - Home Loan'!$B$12</f>
        <v>39831.074386614207</v>
      </c>
      <c r="D128" s="5">
        <f>B128*'Case 3 - Home Loan'!$B$6</f>
        <v>5528.9573187651577</v>
      </c>
      <c r="E128" s="5">
        <f t="shared" si="9"/>
        <v>34302.117067849053</v>
      </c>
      <c r="G128" s="5">
        <f t="shared" si="10"/>
        <v>702892.19210083864</v>
      </c>
    </row>
    <row r="129" spans="1:7" x14ac:dyDescent="0.35">
      <c r="A129" s="2">
        <v>126</v>
      </c>
      <c r="B129" s="5">
        <f t="shared" si="11"/>
        <v>702892.19210083864</v>
      </c>
      <c r="C129" s="5">
        <f>'Case 3 - Home Loan'!$B$12</f>
        <v>39831.074386614207</v>
      </c>
      <c r="D129" s="5">
        <f>B129*'Case 3 - Home Loan'!$B$6</f>
        <v>5271.6914407562899</v>
      </c>
      <c r="E129" s="5">
        <f t="shared" si="9"/>
        <v>34559.38294585792</v>
      </c>
      <c r="G129" s="5">
        <f t="shared" si="10"/>
        <v>668332.8091549807</v>
      </c>
    </row>
    <row r="130" spans="1:7" x14ac:dyDescent="0.35">
      <c r="A130" s="2">
        <v>127</v>
      </c>
      <c r="B130" s="5">
        <f t="shared" si="11"/>
        <v>668332.8091549807</v>
      </c>
      <c r="C130" s="5">
        <f>'Case 3 - Home Loan'!$B$12</f>
        <v>39831.074386614207</v>
      </c>
      <c r="D130" s="5">
        <f>B130*'Case 3 - Home Loan'!$B$6</f>
        <v>5012.4960686623554</v>
      </c>
      <c r="E130" s="5">
        <f t="shared" si="9"/>
        <v>34818.578317951855</v>
      </c>
      <c r="G130" s="5">
        <f t="shared" si="10"/>
        <v>633514.23083702882</v>
      </c>
    </row>
    <row r="131" spans="1:7" x14ac:dyDescent="0.35">
      <c r="A131" s="2">
        <v>128</v>
      </c>
      <c r="B131" s="5">
        <f t="shared" si="11"/>
        <v>633514.23083702882</v>
      </c>
      <c r="C131" s="5">
        <f>'Case 3 - Home Loan'!$B$12</f>
        <v>39831.074386614207</v>
      </c>
      <c r="D131" s="5">
        <f>B131*'Case 3 - Home Loan'!$B$6</f>
        <v>4751.3567312777159</v>
      </c>
      <c r="E131" s="5">
        <f t="shared" si="9"/>
        <v>35079.717655336492</v>
      </c>
      <c r="G131" s="5">
        <f t="shared" si="10"/>
        <v>598434.51318169234</v>
      </c>
    </row>
    <row r="132" spans="1:7" x14ac:dyDescent="0.35">
      <c r="A132" s="2">
        <v>129</v>
      </c>
      <c r="B132" s="5">
        <f t="shared" si="11"/>
        <v>598434.51318169234</v>
      </c>
      <c r="C132" s="5">
        <f>'Case 3 - Home Loan'!$B$12</f>
        <v>39831.074386614207</v>
      </c>
      <c r="D132" s="5">
        <f>B132*'Case 3 - Home Loan'!$B$6</f>
        <v>4488.2588488626925</v>
      </c>
      <c r="E132" s="5">
        <f t="shared" ref="E132:E147" si="12">C132-D132</f>
        <v>35342.815537751514</v>
      </c>
      <c r="G132" s="5">
        <f t="shared" ref="G132:G147" si="13">B132-E132</f>
        <v>563091.6976439408</v>
      </c>
    </row>
    <row r="133" spans="1:7" x14ac:dyDescent="0.35">
      <c r="A133" s="2">
        <v>130</v>
      </c>
      <c r="B133" s="5">
        <f t="shared" ref="B133:B147" si="14">G132</f>
        <v>563091.6976439408</v>
      </c>
      <c r="C133" s="5">
        <f>'Case 3 - Home Loan'!$B$12</f>
        <v>39831.074386614207</v>
      </c>
      <c r="D133" s="5">
        <f>B133*'Case 3 - Home Loan'!$B$6</f>
        <v>4223.1877323295557</v>
      </c>
      <c r="E133" s="5">
        <f t="shared" si="12"/>
        <v>35607.886654284652</v>
      </c>
      <c r="G133" s="5">
        <f t="shared" si="13"/>
        <v>527483.81098965614</v>
      </c>
    </row>
    <row r="134" spans="1:7" x14ac:dyDescent="0.35">
      <c r="A134" s="2">
        <v>131</v>
      </c>
      <c r="B134" s="5">
        <f t="shared" si="14"/>
        <v>527483.81098965614</v>
      </c>
      <c r="C134" s="5">
        <f>'Case 3 - Home Loan'!$B$12</f>
        <v>39831.074386614207</v>
      </c>
      <c r="D134" s="5">
        <f>B134*'Case 3 - Home Loan'!$B$6</f>
        <v>3956.128582422421</v>
      </c>
      <c r="E134" s="5">
        <f t="shared" si="12"/>
        <v>35874.94580419179</v>
      </c>
      <c r="G134" s="5">
        <f t="shared" si="13"/>
        <v>491608.86518546432</v>
      </c>
    </row>
    <row r="135" spans="1:7" x14ac:dyDescent="0.35">
      <c r="A135" s="2">
        <v>132</v>
      </c>
      <c r="B135" s="5">
        <f t="shared" si="14"/>
        <v>491608.86518546432</v>
      </c>
      <c r="C135" s="5">
        <f>'Case 3 - Home Loan'!$B$12</f>
        <v>39831.074386614207</v>
      </c>
      <c r="D135" s="5">
        <f>B135*'Case 3 - Home Loan'!$B$6</f>
        <v>3687.0664888909823</v>
      </c>
      <c r="E135" s="5">
        <f t="shared" si="12"/>
        <v>36144.007897723226</v>
      </c>
      <c r="G135" s="5">
        <f t="shared" si="13"/>
        <v>455464.85728774109</v>
      </c>
    </row>
    <row r="136" spans="1:7" x14ac:dyDescent="0.35">
      <c r="A136" s="2">
        <v>133</v>
      </c>
      <c r="B136" s="5">
        <f t="shared" si="14"/>
        <v>455464.85728774109</v>
      </c>
      <c r="C136" s="5">
        <f>'Case 3 - Home Loan'!$B$12</f>
        <v>39831.074386614207</v>
      </c>
      <c r="D136" s="5">
        <f>B136*'Case 3 - Home Loan'!$B$6</f>
        <v>3415.9864296580581</v>
      </c>
      <c r="E136" s="5">
        <f t="shared" si="12"/>
        <v>36415.087956956151</v>
      </c>
      <c r="G136" s="5">
        <f t="shared" si="13"/>
        <v>419049.76933078491</v>
      </c>
    </row>
    <row r="137" spans="1:7" x14ac:dyDescent="0.35">
      <c r="A137" s="2">
        <v>134</v>
      </c>
      <c r="B137" s="5">
        <f t="shared" si="14"/>
        <v>419049.76933078491</v>
      </c>
      <c r="C137" s="5">
        <f>'Case 3 - Home Loan'!$B$12</f>
        <v>39831.074386614207</v>
      </c>
      <c r="D137" s="5">
        <f>B137*'Case 3 - Home Loan'!$B$6</f>
        <v>3142.8732699808866</v>
      </c>
      <c r="E137" s="5">
        <f t="shared" si="12"/>
        <v>36688.201116633318</v>
      </c>
      <c r="G137" s="5">
        <f t="shared" si="13"/>
        <v>382361.5682141516</v>
      </c>
    </row>
    <row r="138" spans="1:7" x14ac:dyDescent="0.35">
      <c r="A138" s="2">
        <v>135</v>
      </c>
      <c r="B138" s="5">
        <f t="shared" si="14"/>
        <v>382361.5682141516</v>
      </c>
      <c r="C138" s="5">
        <f>'Case 3 - Home Loan'!$B$12</f>
        <v>39831.074386614207</v>
      </c>
      <c r="D138" s="5">
        <f>B138*'Case 3 - Home Loan'!$B$6</f>
        <v>2867.7117616061369</v>
      </c>
      <c r="E138" s="5">
        <f t="shared" si="12"/>
        <v>36963.362625008071</v>
      </c>
      <c r="G138" s="5">
        <f t="shared" si="13"/>
        <v>345398.20558914356</v>
      </c>
    </row>
    <row r="139" spans="1:7" x14ac:dyDescent="0.35">
      <c r="A139" s="2">
        <v>136</v>
      </c>
      <c r="B139" s="5">
        <f t="shared" si="14"/>
        <v>345398.20558914356</v>
      </c>
      <c r="C139" s="5">
        <f>'Case 3 - Home Loan'!$B$12</f>
        <v>39831.074386614207</v>
      </c>
      <c r="D139" s="5">
        <f>B139*'Case 3 - Home Loan'!$B$6</f>
        <v>2590.4865419185767</v>
      </c>
      <c r="E139" s="5">
        <f t="shared" si="12"/>
        <v>37240.587844695634</v>
      </c>
      <c r="G139" s="5">
        <f t="shared" si="13"/>
        <v>308157.6177444479</v>
      </c>
    </row>
    <row r="140" spans="1:7" x14ac:dyDescent="0.35">
      <c r="A140" s="2">
        <v>137</v>
      </c>
      <c r="B140" s="5">
        <f t="shared" si="14"/>
        <v>308157.6177444479</v>
      </c>
      <c r="C140" s="5">
        <f>'Case 3 - Home Loan'!$B$12</f>
        <v>39831.074386614207</v>
      </c>
      <c r="D140" s="5">
        <f>B140*'Case 3 - Home Loan'!$B$6</f>
        <v>2311.1821330833591</v>
      </c>
      <c r="E140" s="5">
        <f t="shared" si="12"/>
        <v>37519.892253530852</v>
      </c>
      <c r="G140" s="5">
        <f t="shared" si="13"/>
        <v>270637.72549091704</v>
      </c>
    </row>
    <row r="141" spans="1:7" x14ac:dyDescent="0.35">
      <c r="A141" s="2">
        <v>138</v>
      </c>
      <c r="B141" s="5">
        <f t="shared" si="14"/>
        <v>270637.72549091704</v>
      </c>
      <c r="C141" s="5">
        <f>'Case 3 - Home Loan'!$B$12</f>
        <v>39831.074386614207</v>
      </c>
      <c r="D141" s="5">
        <f>B141*'Case 3 - Home Loan'!$B$6</f>
        <v>2029.7829411818777</v>
      </c>
      <c r="E141" s="5">
        <f t="shared" si="12"/>
        <v>37801.291445432333</v>
      </c>
      <c r="G141" s="5">
        <f t="shared" si="13"/>
        <v>232836.4340454847</v>
      </c>
    </row>
    <row r="142" spans="1:7" x14ac:dyDescent="0.35">
      <c r="A142" s="2">
        <v>139</v>
      </c>
      <c r="B142" s="5">
        <f t="shared" si="14"/>
        <v>232836.4340454847</v>
      </c>
      <c r="C142" s="5">
        <f>'Case 3 - Home Loan'!$B$12</f>
        <v>39831.074386614207</v>
      </c>
      <c r="D142" s="5">
        <f>B142*'Case 3 - Home Loan'!$B$6</f>
        <v>1746.2732553411352</v>
      </c>
      <c r="E142" s="5">
        <f t="shared" si="12"/>
        <v>38084.801131273074</v>
      </c>
      <c r="G142" s="5">
        <f t="shared" si="13"/>
        <v>194751.63291421163</v>
      </c>
    </row>
    <row r="143" spans="1:7" x14ac:dyDescent="0.35">
      <c r="A143" s="2">
        <v>140</v>
      </c>
      <c r="B143" s="5">
        <f t="shared" si="14"/>
        <v>194751.63291421163</v>
      </c>
      <c r="C143" s="5">
        <f>'Case 3 - Home Loan'!$B$12</f>
        <v>39831.074386614207</v>
      </c>
      <c r="D143" s="5">
        <f>B143*'Case 3 - Home Loan'!$B$6</f>
        <v>1460.6372468565871</v>
      </c>
      <c r="E143" s="5">
        <f t="shared" si="12"/>
        <v>38370.437139757618</v>
      </c>
      <c r="G143" s="5">
        <f t="shared" si="13"/>
        <v>156381.19577445401</v>
      </c>
    </row>
    <row r="144" spans="1:7" x14ac:dyDescent="0.35">
      <c r="A144" s="2">
        <v>141</v>
      </c>
      <c r="B144" s="5">
        <f t="shared" si="14"/>
        <v>156381.19577445401</v>
      </c>
      <c r="C144" s="5">
        <f>'Case 3 - Home Loan'!$B$12</f>
        <v>39831.074386614207</v>
      </c>
      <c r="D144" s="5">
        <f>B144*'Case 3 - Home Loan'!$B$6</f>
        <v>1172.8589683084051</v>
      </c>
      <c r="E144" s="5">
        <f t="shared" si="12"/>
        <v>38658.215418305801</v>
      </c>
      <c r="G144" s="5">
        <f t="shared" si="13"/>
        <v>117722.98035614821</v>
      </c>
    </row>
    <row r="145" spans="1:7" x14ac:dyDescent="0.35">
      <c r="A145" s="2">
        <v>142</v>
      </c>
      <c r="B145" s="5">
        <f t="shared" si="14"/>
        <v>117722.98035614821</v>
      </c>
      <c r="C145" s="5">
        <f>'Case 3 - Home Loan'!$B$12</f>
        <v>39831.074386614207</v>
      </c>
      <c r="D145" s="5">
        <f>B145*'Case 3 - Home Loan'!$B$6</f>
        <v>882.92235267111153</v>
      </c>
      <c r="E145" s="5">
        <f t="shared" si="12"/>
        <v>38948.152033943094</v>
      </c>
      <c r="G145" s="5">
        <f t="shared" si="13"/>
        <v>78774.82832220511</v>
      </c>
    </row>
    <row r="146" spans="1:7" x14ac:dyDescent="0.35">
      <c r="A146" s="2">
        <v>143</v>
      </c>
      <c r="B146" s="5">
        <f t="shared" si="14"/>
        <v>78774.82832220511</v>
      </c>
      <c r="C146" s="5">
        <f>'Case 3 - Home Loan'!$B$12</f>
        <v>39831.074386614207</v>
      </c>
      <c r="D146" s="5">
        <f>B146*'Case 3 - Home Loan'!$B$6</f>
        <v>590.8112124165383</v>
      </c>
      <c r="E146" s="5">
        <f t="shared" si="12"/>
        <v>39240.263174197666</v>
      </c>
      <c r="G146" s="5">
        <f t="shared" si="13"/>
        <v>39534.565148007445</v>
      </c>
    </row>
    <row r="147" spans="1:7" x14ac:dyDescent="0.35">
      <c r="A147" s="2">
        <v>144</v>
      </c>
      <c r="B147" s="5">
        <f t="shared" si="14"/>
        <v>39534.565148007445</v>
      </c>
      <c r="C147" s="5">
        <f>'Case 3 - Home Loan'!$B$12</f>
        <v>39831.074386614207</v>
      </c>
      <c r="D147" s="5">
        <f>B147*'Case 3 - Home Loan'!$B$6</f>
        <v>296.50923861005583</v>
      </c>
      <c r="E147" s="5">
        <f t="shared" si="12"/>
        <v>39534.565148004149</v>
      </c>
      <c r="G147" s="5">
        <f t="shared" si="13"/>
        <v>3.2960087992250919E-9</v>
      </c>
    </row>
  </sheetData>
  <pageMargins left="0.5" right="0.5" top="0.6" bottom="0.6"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5F133-0C16-4F00-8A13-05B18E1B2EBC}">
  <dimension ref="A1:J58"/>
  <sheetViews>
    <sheetView topLeftCell="A32" workbookViewId="0">
      <selection activeCell="A60" sqref="A60"/>
    </sheetView>
  </sheetViews>
  <sheetFormatPr defaultRowHeight="14.5" x14ac:dyDescent="0.35"/>
  <cols>
    <col min="1" max="1" width="66.90625" bestFit="1" customWidth="1"/>
    <col min="2" max="2" width="23.54296875" bestFit="1" customWidth="1"/>
    <col min="3" max="3" width="22.26953125" bestFit="1" customWidth="1"/>
    <col min="4" max="4" width="17.7265625" bestFit="1" customWidth="1"/>
    <col min="5" max="5" width="16.7265625" bestFit="1" customWidth="1"/>
  </cols>
  <sheetData>
    <row r="1" spans="1:10" ht="409.5" customHeight="1" x14ac:dyDescent="0.35">
      <c r="A1" s="32" t="s">
        <v>121</v>
      </c>
      <c r="B1" s="33"/>
      <c r="C1" s="33"/>
      <c r="D1" s="33"/>
      <c r="E1" s="33"/>
      <c r="F1" s="33"/>
      <c r="G1" s="33"/>
      <c r="H1" s="33"/>
      <c r="I1" s="33"/>
      <c r="J1" s="33"/>
    </row>
    <row r="7" spans="1:10" ht="18" x14ac:dyDescent="0.4">
      <c r="A7" s="31" t="s">
        <v>89</v>
      </c>
      <c r="B7" s="31"/>
      <c r="C7" s="19"/>
      <c r="D7" s="19"/>
      <c r="E7" s="19"/>
      <c r="F7" s="19"/>
      <c r="G7" s="19"/>
      <c r="H7" s="19"/>
    </row>
    <row r="8" spans="1:10" x14ac:dyDescent="0.35">
      <c r="A8" s="19"/>
      <c r="B8" s="19"/>
      <c r="C8" s="19"/>
      <c r="D8" s="19"/>
      <c r="E8" s="19"/>
      <c r="F8" s="19"/>
      <c r="G8" s="19"/>
      <c r="H8" s="19"/>
    </row>
    <row r="9" spans="1:10" x14ac:dyDescent="0.35">
      <c r="A9" s="20" t="s">
        <v>90</v>
      </c>
      <c r="B9" s="19"/>
      <c r="C9" s="19"/>
      <c r="D9" s="19"/>
      <c r="E9" s="19"/>
      <c r="F9" s="19"/>
      <c r="G9" s="19"/>
      <c r="H9" s="19"/>
    </row>
    <row r="10" spans="1:10" x14ac:dyDescent="0.35">
      <c r="A10" s="19" t="s">
        <v>91</v>
      </c>
      <c r="B10" s="21">
        <v>600000</v>
      </c>
      <c r="C10" s="19"/>
      <c r="D10" s="19"/>
      <c r="E10" s="19"/>
      <c r="F10" s="19"/>
      <c r="G10" s="19"/>
      <c r="H10" s="19"/>
    </row>
    <row r="11" spans="1:10" x14ac:dyDescent="0.35">
      <c r="A11" s="19" t="s">
        <v>92</v>
      </c>
      <c r="B11" s="22">
        <v>10</v>
      </c>
      <c r="C11" s="19"/>
      <c r="D11" s="19"/>
      <c r="E11" s="19"/>
      <c r="F11" s="19"/>
      <c r="G11" s="19"/>
      <c r="H11" s="19"/>
    </row>
    <row r="12" spans="1:10" x14ac:dyDescent="0.35">
      <c r="A12" s="19" t="s">
        <v>93</v>
      </c>
      <c r="B12" s="21">
        <v>50000</v>
      </c>
      <c r="C12" s="19"/>
      <c r="D12" s="19"/>
      <c r="E12" s="19"/>
      <c r="F12" s="19"/>
      <c r="G12" s="19"/>
      <c r="H12" s="19"/>
    </row>
    <row r="13" spans="1:10" x14ac:dyDescent="0.35">
      <c r="A13" s="19" t="s">
        <v>94</v>
      </c>
      <c r="B13" s="22">
        <v>12</v>
      </c>
      <c r="C13" s="19"/>
      <c r="D13" s="19"/>
      <c r="E13" s="19"/>
      <c r="F13" s="19"/>
      <c r="G13" s="19"/>
      <c r="H13" s="19"/>
    </row>
    <row r="14" spans="1:10" x14ac:dyDescent="0.35">
      <c r="A14" s="19"/>
      <c r="B14" s="19"/>
      <c r="C14" s="19"/>
      <c r="D14" s="19"/>
      <c r="E14" s="19"/>
      <c r="F14" s="19"/>
      <c r="G14" s="19"/>
      <c r="H14" s="19"/>
    </row>
    <row r="15" spans="1:10" x14ac:dyDescent="0.35">
      <c r="A15" s="20" t="s">
        <v>95</v>
      </c>
      <c r="B15" s="19"/>
      <c r="C15" s="19"/>
      <c r="D15" s="19"/>
      <c r="E15" s="19"/>
      <c r="F15" s="19"/>
      <c r="G15" s="19"/>
      <c r="H15" s="19"/>
    </row>
    <row r="16" spans="1:10" x14ac:dyDescent="0.35">
      <c r="A16" s="23" t="s">
        <v>96</v>
      </c>
      <c r="B16" s="24" t="s">
        <v>97</v>
      </c>
      <c r="C16" s="24" t="s">
        <v>119</v>
      </c>
      <c r="D16" s="19"/>
      <c r="E16" s="19"/>
      <c r="F16" s="19"/>
      <c r="G16" s="19"/>
      <c r="H16" s="19"/>
    </row>
    <row r="17" spans="1:8" x14ac:dyDescent="0.35">
      <c r="A17" s="19" t="s">
        <v>98</v>
      </c>
      <c r="B17" s="25">
        <v>0.14000000000000001</v>
      </c>
      <c r="C17" s="26">
        <f>B17/12</f>
        <v>1.1666666666666667E-2</v>
      </c>
      <c r="D17" s="19"/>
      <c r="E17" s="19"/>
      <c r="F17" s="19"/>
      <c r="G17" s="19"/>
      <c r="H17" s="19"/>
    </row>
    <row r="18" spans="1:8" x14ac:dyDescent="0.35">
      <c r="A18" s="19" t="s">
        <v>99</v>
      </c>
      <c r="B18" s="25">
        <v>0.18</v>
      </c>
      <c r="C18" s="26">
        <f>B18/12</f>
        <v>1.4999999999999999E-2</v>
      </c>
      <c r="D18" s="19"/>
      <c r="E18" s="19"/>
      <c r="F18" s="19"/>
      <c r="G18" s="19"/>
      <c r="H18" s="19"/>
    </row>
    <row r="19" spans="1:8" x14ac:dyDescent="0.35">
      <c r="A19" s="19" t="s">
        <v>100</v>
      </c>
      <c r="B19" s="25">
        <v>0.09</v>
      </c>
      <c r="C19" s="26">
        <f>B19/12</f>
        <v>7.4999999999999997E-3</v>
      </c>
      <c r="D19" s="19"/>
      <c r="E19" s="19"/>
      <c r="F19" s="19"/>
      <c r="G19" s="19"/>
      <c r="H19" s="19"/>
    </row>
    <row r="20" spans="1:8" x14ac:dyDescent="0.35">
      <c r="A20" s="19"/>
      <c r="B20" s="19"/>
      <c r="C20" s="19"/>
      <c r="D20" s="19"/>
      <c r="E20" s="19"/>
      <c r="F20" s="19"/>
      <c r="G20" s="19"/>
      <c r="H20" s="19"/>
    </row>
    <row r="21" spans="1:8" x14ac:dyDescent="0.35">
      <c r="A21" s="20" t="s">
        <v>101</v>
      </c>
      <c r="B21" s="19"/>
      <c r="C21" s="19"/>
      <c r="D21" s="19"/>
      <c r="E21" s="19"/>
      <c r="F21" s="19"/>
      <c r="G21" s="19"/>
      <c r="H21" s="19"/>
    </row>
    <row r="22" spans="1:8" x14ac:dyDescent="0.35">
      <c r="A22" s="19" t="s">
        <v>6</v>
      </c>
      <c r="B22" s="19"/>
      <c r="C22" s="19"/>
      <c r="D22" s="19"/>
      <c r="E22" s="19"/>
      <c r="F22" s="19"/>
      <c r="G22" s="19"/>
      <c r="H22" s="19"/>
    </row>
    <row r="23" spans="1:8" x14ac:dyDescent="0.35">
      <c r="A23" s="23" t="s">
        <v>96</v>
      </c>
      <c r="B23" s="24" t="s">
        <v>102</v>
      </c>
      <c r="C23" s="19"/>
      <c r="D23" s="19"/>
      <c r="E23" s="19"/>
      <c r="F23" s="19"/>
      <c r="G23" s="19"/>
      <c r="H23" s="19"/>
    </row>
    <row r="24" spans="1:8" x14ac:dyDescent="0.35">
      <c r="A24" s="19" t="s">
        <v>98</v>
      </c>
      <c r="B24" s="27">
        <f>FV(B17,$B$11,0,-$B$10)</f>
        <v>2224332.7884711423</v>
      </c>
      <c r="C24" s="19"/>
      <c r="D24" s="19"/>
      <c r="E24" s="19"/>
      <c r="F24" s="19"/>
      <c r="G24" s="19"/>
      <c r="H24" s="19"/>
    </row>
    <row r="25" spans="1:8" x14ac:dyDescent="0.35">
      <c r="A25" s="19" t="s">
        <v>99</v>
      </c>
      <c r="B25" s="27">
        <f>FV(B18,$B$11,0,-$B$10)</f>
        <v>3140301.3322791392</v>
      </c>
      <c r="C25" s="19"/>
      <c r="D25" s="19"/>
      <c r="E25" s="19"/>
      <c r="F25" s="19"/>
      <c r="G25" s="19"/>
      <c r="H25" s="19"/>
    </row>
    <row r="26" spans="1:8" x14ac:dyDescent="0.35">
      <c r="A26" s="19" t="s">
        <v>100</v>
      </c>
      <c r="B26" s="27">
        <f>FV(B19,$B$11,0,-$B$10)</f>
        <v>1420418.2047552713</v>
      </c>
      <c r="C26" s="19"/>
      <c r="D26" s="19"/>
      <c r="E26" s="19"/>
      <c r="F26" s="19"/>
      <c r="G26" s="19"/>
      <c r="H26" s="19"/>
    </row>
    <row r="27" spans="1:8" x14ac:dyDescent="0.35">
      <c r="A27" s="19"/>
      <c r="B27" s="19"/>
      <c r="C27" s="19"/>
      <c r="D27" s="19"/>
      <c r="E27" s="19"/>
      <c r="F27" s="19"/>
      <c r="G27" s="19"/>
      <c r="H27" s="19"/>
    </row>
    <row r="28" spans="1:8" x14ac:dyDescent="0.35">
      <c r="A28" s="20" t="s">
        <v>103</v>
      </c>
      <c r="B28" s="19"/>
      <c r="C28" s="19"/>
      <c r="D28" s="19"/>
      <c r="E28" s="19"/>
      <c r="F28" s="19"/>
      <c r="G28" s="19"/>
      <c r="H28" s="19"/>
    </row>
    <row r="29" spans="1:8" x14ac:dyDescent="0.35">
      <c r="A29" s="19" t="s">
        <v>120</v>
      </c>
      <c r="B29" s="19"/>
      <c r="C29" s="19"/>
      <c r="D29" s="19"/>
      <c r="E29" s="19"/>
      <c r="F29" s="19"/>
      <c r="G29" s="19"/>
      <c r="H29" s="19"/>
    </row>
    <row r="30" spans="1:8" x14ac:dyDescent="0.35">
      <c r="A30" s="23" t="s">
        <v>96</v>
      </c>
      <c r="B30" s="24" t="s">
        <v>104</v>
      </c>
      <c r="C30" s="19"/>
      <c r="D30" s="19"/>
      <c r="E30" s="19"/>
      <c r="F30" s="19"/>
      <c r="G30" s="19"/>
      <c r="H30" s="19"/>
    </row>
    <row r="31" spans="1:8" x14ac:dyDescent="0.35">
      <c r="A31" s="19" t="s">
        <v>98</v>
      </c>
      <c r="B31" s="27">
        <f>FV(C17,$B$13,-$B$12,0,0)</f>
        <v>640037.26803067571</v>
      </c>
      <c r="C31" s="19"/>
      <c r="D31" s="19"/>
      <c r="E31" s="19"/>
      <c r="F31" s="19"/>
      <c r="G31" s="19"/>
      <c r="H31" s="19"/>
    </row>
    <row r="32" spans="1:8" x14ac:dyDescent="0.35">
      <c r="A32" s="19" t="s">
        <v>99</v>
      </c>
      <c r="B32" s="27">
        <f>FV(C18,$B$13,-$B$12,0,0)</f>
        <v>652060.57153844426</v>
      </c>
      <c r="C32" s="19"/>
      <c r="D32" s="19"/>
      <c r="E32" s="19"/>
      <c r="F32" s="19"/>
      <c r="G32" s="19"/>
      <c r="H32" s="19"/>
    </row>
    <row r="33" spans="1:8" x14ac:dyDescent="0.35">
      <c r="A33" s="19" t="s">
        <v>100</v>
      </c>
      <c r="B33" s="27">
        <f>FV(C19,$B$13,-$B$12,0,0)</f>
        <v>625379.31780656183</v>
      </c>
      <c r="C33" s="19"/>
      <c r="D33" s="19"/>
      <c r="E33" s="19"/>
      <c r="F33" s="19"/>
      <c r="G33" s="19"/>
      <c r="H33" s="19"/>
    </row>
    <row r="34" spans="1:8" x14ac:dyDescent="0.35">
      <c r="A34" s="19"/>
      <c r="B34" s="19"/>
      <c r="C34" s="19"/>
      <c r="D34" s="19"/>
      <c r="E34" s="19"/>
      <c r="F34" s="19"/>
      <c r="G34" s="19"/>
      <c r="H34" s="19"/>
    </row>
    <row r="35" spans="1:8" x14ac:dyDescent="0.35">
      <c r="A35" s="20" t="s">
        <v>105</v>
      </c>
      <c r="B35" s="19"/>
      <c r="C35" s="19"/>
      <c r="D35" s="19"/>
      <c r="E35" s="19"/>
      <c r="F35" s="19"/>
      <c r="G35" s="19"/>
      <c r="H35" s="19"/>
    </row>
    <row r="36" spans="1:8" x14ac:dyDescent="0.35">
      <c r="A36" s="19" t="s">
        <v>106</v>
      </c>
      <c r="B36" s="19"/>
      <c r="C36" s="19"/>
      <c r="D36" s="19"/>
      <c r="E36" s="19"/>
      <c r="F36" s="19"/>
      <c r="G36" s="19"/>
      <c r="H36" s="19"/>
    </row>
    <row r="37" spans="1:8" x14ac:dyDescent="0.35">
      <c r="A37" s="23" t="s">
        <v>96</v>
      </c>
      <c r="B37" s="24" t="s">
        <v>107</v>
      </c>
      <c r="C37" s="19"/>
      <c r="D37" s="19"/>
      <c r="E37" s="19"/>
      <c r="F37" s="19"/>
      <c r="G37" s="19"/>
      <c r="H37" s="19"/>
    </row>
    <row r="38" spans="1:8" x14ac:dyDescent="0.35">
      <c r="A38" s="19" t="s">
        <v>98</v>
      </c>
      <c r="B38" s="27">
        <f>FV(B17,$B$11-1,0,-B31)</f>
        <v>2081368.2472574923</v>
      </c>
      <c r="C38" s="19"/>
      <c r="D38" s="19"/>
      <c r="E38" s="19"/>
      <c r="F38" s="19"/>
      <c r="G38" s="19"/>
      <c r="H38" s="19"/>
    </row>
    <row r="39" spans="1:8" x14ac:dyDescent="0.35">
      <c r="A39" s="19" t="s">
        <v>99</v>
      </c>
      <c r="B39" s="27">
        <f>FV(B18,$B$11-1,0,-B32)</f>
        <v>2892184.5784306126</v>
      </c>
      <c r="C39" s="19"/>
      <c r="D39" s="19"/>
      <c r="E39" s="19"/>
      <c r="F39" s="19"/>
      <c r="G39" s="19"/>
      <c r="H39" s="19"/>
    </row>
    <row r="40" spans="1:8" x14ac:dyDescent="0.35">
      <c r="A40" s="19" t="s">
        <v>100</v>
      </c>
      <c r="B40" s="27">
        <f>FV(B19,$B$11-1,0,-B33)</f>
        <v>1358257.1374462885</v>
      </c>
      <c r="C40" s="19"/>
      <c r="D40" s="19"/>
      <c r="E40" s="19"/>
      <c r="F40" s="19"/>
      <c r="G40" s="19"/>
      <c r="H40" s="19"/>
    </row>
    <row r="41" spans="1:8" x14ac:dyDescent="0.35">
      <c r="A41" s="19"/>
      <c r="B41" s="19"/>
      <c r="C41" s="19"/>
      <c r="D41" s="19"/>
      <c r="E41" s="19"/>
      <c r="F41" s="19"/>
      <c r="G41" s="19"/>
      <c r="H41" s="19"/>
    </row>
    <row r="42" spans="1:8" x14ac:dyDescent="0.35">
      <c r="A42" s="20" t="s">
        <v>108</v>
      </c>
      <c r="B42" s="19"/>
      <c r="C42" s="19"/>
      <c r="D42" s="19"/>
      <c r="E42" s="19"/>
      <c r="F42" s="19"/>
      <c r="G42" s="19"/>
      <c r="H42" s="19"/>
    </row>
    <row r="43" spans="1:8" x14ac:dyDescent="0.35">
      <c r="A43" s="23" t="s">
        <v>96</v>
      </c>
      <c r="B43" s="24" t="s">
        <v>109</v>
      </c>
      <c r="C43" s="24" t="s">
        <v>110</v>
      </c>
      <c r="D43" s="24" t="s">
        <v>111</v>
      </c>
      <c r="E43" s="24" t="s">
        <v>112</v>
      </c>
      <c r="F43" s="19"/>
      <c r="G43" s="19"/>
      <c r="H43" s="19"/>
    </row>
    <row r="44" spans="1:8" x14ac:dyDescent="0.35">
      <c r="A44" s="19" t="s">
        <v>98</v>
      </c>
      <c r="B44" s="28">
        <f>B24</f>
        <v>2224332.7884711423</v>
      </c>
      <c r="C44" s="28">
        <f>B38</f>
        <v>2081368.2472574923</v>
      </c>
      <c r="D44" s="28">
        <f>B44-C44</f>
        <v>142964.54121365002</v>
      </c>
      <c r="E44" s="25">
        <f>D44/B44</f>
        <v>6.4272999955152524E-2</v>
      </c>
      <c r="F44" s="19"/>
      <c r="G44" s="19"/>
      <c r="H44" s="19"/>
    </row>
    <row r="45" spans="1:8" x14ac:dyDescent="0.35">
      <c r="A45" s="19" t="s">
        <v>99</v>
      </c>
      <c r="B45" s="28">
        <f>B25</f>
        <v>3140301.3322791392</v>
      </c>
      <c r="C45" s="28">
        <f>B39</f>
        <v>2892184.5784306126</v>
      </c>
      <c r="D45" s="28">
        <f>B45-C45</f>
        <v>248116.75384852663</v>
      </c>
      <c r="E45" s="25">
        <f>D45/B45</f>
        <v>7.9010492177338507E-2</v>
      </c>
      <c r="F45" s="19"/>
      <c r="G45" s="19"/>
      <c r="H45" s="19"/>
    </row>
    <row r="46" spans="1:8" x14ac:dyDescent="0.35">
      <c r="A46" s="19" t="s">
        <v>100</v>
      </c>
      <c r="B46" s="28">
        <f>B26</f>
        <v>1420418.2047552713</v>
      </c>
      <c r="C46" s="28">
        <f>B40</f>
        <v>1358257.1374462885</v>
      </c>
      <c r="D46" s="28">
        <f>B46-C46</f>
        <v>62161.067308982834</v>
      </c>
      <c r="E46" s="25">
        <f>D46/B46</f>
        <v>4.3762510999141115E-2</v>
      </c>
      <c r="F46" s="19"/>
      <c r="G46" s="19"/>
      <c r="H46" s="19"/>
    </row>
    <row r="47" spans="1:8" x14ac:dyDescent="0.35">
      <c r="A47" s="19"/>
      <c r="B47" s="19"/>
      <c r="C47" s="19"/>
      <c r="D47" s="19"/>
      <c r="E47" s="19"/>
      <c r="F47" s="19"/>
      <c r="G47" s="19"/>
      <c r="H47" s="19"/>
    </row>
    <row r="48" spans="1:8" ht="32" customHeight="1" x14ac:dyDescent="0.35">
      <c r="A48" s="34" t="s">
        <v>113</v>
      </c>
      <c r="B48" s="34"/>
      <c r="C48" s="34"/>
      <c r="D48" s="34"/>
      <c r="E48" s="34"/>
      <c r="F48" s="34"/>
      <c r="G48" s="34"/>
      <c r="H48" s="34"/>
    </row>
    <row r="49" spans="1:8" x14ac:dyDescent="0.35">
      <c r="A49" s="19"/>
      <c r="B49" s="19"/>
      <c r="C49" s="19"/>
      <c r="D49" s="19"/>
      <c r="E49" s="19"/>
      <c r="F49" s="19"/>
      <c r="G49" s="19"/>
      <c r="H49" s="19"/>
    </row>
    <row r="50" spans="1:8" x14ac:dyDescent="0.35">
      <c r="A50" s="20" t="s">
        <v>114</v>
      </c>
      <c r="B50" s="19"/>
      <c r="C50" s="19"/>
      <c r="D50" s="19"/>
      <c r="E50" s="19"/>
      <c r="F50" s="19"/>
      <c r="G50" s="19"/>
      <c r="H50" s="19"/>
    </row>
    <row r="51" spans="1:8" x14ac:dyDescent="0.35">
      <c r="A51" s="19" t="s">
        <v>115</v>
      </c>
      <c r="B51" s="29" t="str">
        <f>IF(B44&gt;C44,"Option A (Lump Sum)","Option B (SIP)")</f>
        <v>Option A (Lump Sum)</v>
      </c>
      <c r="C51" s="19"/>
      <c r="D51" s="19"/>
      <c r="E51" s="19"/>
      <c r="F51" s="19"/>
      <c r="G51" s="19"/>
      <c r="H51" s="19"/>
    </row>
    <row r="52" spans="1:8" x14ac:dyDescent="0.35">
      <c r="A52" s="19" t="s">
        <v>116</v>
      </c>
      <c r="B52" s="29" t="str">
        <f>IF(B45&gt;C45,"Option A (Lump Sum)","Option B (SIP)")</f>
        <v>Option A (Lump Sum)</v>
      </c>
      <c r="C52" s="19"/>
      <c r="D52" s="19"/>
      <c r="E52" s="19"/>
      <c r="F52" s="19"/>
      <c r="G52" s="19"/>
      <c r="H52" s="19"/>
    </row>
    <row r="53" spans="1:8" x14ac:dyDescent="0.35">
      <c r="A53" s="19" t="s">
        <v>117</v>
      </c>
      <c r="B53" s="29" t="str">
        <f>IF(B46&gt;C46,"Option A (Lump Sum)","Option B (SIP)")</f>
        <v>Option A (Lump Sum)</v>
      </c>
      <c r="C53" s="19"/>
      <c r="D53" s="19"/>
      <c r="E53" s="19"/>
      <c r="F53" s="19"/>
      <c r="G53" s="19"/>
      <c r="H53" s="19"/>
    </row>
    <row r="54" spans="1:8" x14ac:dyDescent="0.35">
      <c r="A54" s="19"/>
      <c r="B54" s="19"/>
      <c r="C54" s="19"/>
      <c r="D54" s="19"/>
      <c r="E54" s="19"/>
      <c r="F54" s="19"/>
      <c r="G54" s="19"/>
      <c r="H54" s="19"/>
    </row>
    <row r="55" spans="1:8" ht="48.5" customHeight="1" x14ac:dyDescent="0.35">
      <c r="A55" s="34" t="s">
        <v>118</v>
      </c>
      <c r="B55" s="34"/>
      <c r="C55" s="34"/>
      <c r="D55" s="34"/>
      <c r="E55" s="34"/>
      <c r="F55" s="34"/>
      <c r="G55" s="34"/>
      <c r="H55" s="34"/>
    </row>
    <row r="57" spans="1:8" ht="15.5" x14ac:dyDescent="0.35">
      <c r="A57" s="30" t="s">
        <v>122</v>
      </c>
    </row>
    <row r="58" spans="1:8" x14ac:dyDescent="0.35">
      <c r="A58" s="35" t="s">
        <v>123</v>
      </c>
      <c r="B58" s="35"/>
      <c r="C58" s="35"/>
      <c r="D58" s="35"/>
    </row>
  </sheetData>
  <mergeCells count="5">
    <mergeCell ref="A7:B7"/>
    <mergeCell ref="A1:J1"/>
    <mergeCell ref="A48:H48"/>
    <mergeCell ref="A55:H55"/>
    <mergeCell ref="A58:D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Group Member Details</vt:lpstr>
      <vt:lpstr>Case 1 - ESOP</vt:lpstr>
      <vt:lpstr>Case 2 - Education Fund</vt:lpstr>
      <vt:lpstr>Case 3 - Home Loan</vt:lpstr>
      <vt:lpstr>Amortization Schedule</vt:lpstr>
      <vt:lpstr>Scenario - LumpSum vs SIP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Naman Jain</cp:lastModifiedBy>
  <cp:revision>0</cp:revision>
  <dcterms:created xsi:type="dcterms:W3CDTF">2026-09-02T09:40:35Z</dcterms:created>
  <dcterms:modified xsi:type="dcterms:W3CDTF">2026-09-04T17:06:31Z</dcterms:modified>
  <dc:language>en-US</dc:language>
</cp:coreProperties>
</file>