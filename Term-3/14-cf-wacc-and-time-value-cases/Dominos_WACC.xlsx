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eNeT\Downloads\"/>
    </mc:Choice>
  </mc:AlternateContent>
  <xr:revisionPtr revIDLastSave="0" documentId="13_ncr:1_{FF4D70E5-9CA0-4C83-A8B1-333AAB9F06DA}" xr6:coauthVersionLast="47" xr6:coauthVersionMax="47" xr10:uidLastSave="{00000000-0000-0000-0000-000000000000}"/>
  <bookViews>
    <workbookView xWindow="-110" yWindow="-110" windowWidth="25820" windowHeight="15500" firstSheet="8" activeTab="8" xr2:uid="{00000000-000D-0000-FFFF-FFFF00000000}"/>
  </bookViews>
  <sheets>
    <sheet name="Exhibit 1_Common stock data" sheetId="2" r:id="rId1"/>
    <sheet name="Exhibit 2_Financial Ratio" sheetId="3" r:id="rId2"/>
    <sheet name="Exhibit 3_ Debt" sheetId="4" r:id="rId3"/>
    <sheet name="Exhibit 4_Treasury bond" sheetId="5" r:id="rId4"/>
    <sheet name="Exhibit 5_Aggregate bond yield" sheetId="6" r:id="rId5"/>
    <sheet name="Exhibit 6_Income statement" sheetId="7" r:id="rId6"/>
    <sheet name="Exhibit 7_Balance sheet" sheetId="8" r:id="rId7"/>
    <sheet name="Exhibit 8_Peer firm" sheetId="9" r:id="rId8"/>
    <sheet name="Assumptions for Answers" sheetId="1" r:id="rId9"/>
    <sheet name="Q2 - Cost of Debt" sheetId="10" r:id="rId10"/>
    <sheet name="Q3 - Cost of Equity" sheetId="11" r:id="rId11"/>
    <sheet name="Q4a - WACC - Book Value" sheetId="12" r:id="rId12"/>
    <sheet name="Q4b - WACC - Market Value" sheetId="13" r:id="rId13"/>
    <sheet name="Q4c - Scenario - Target DE 18%" sheetId="14" r:id="rId14"/>
    <sheet name="Q4d - Scenario Summary" sheetId="15" r:id="rId15"/>
    <sheet name="All Answers for the Case" sheetId="16" r:id="rId16"/>
  </sheets>
  <externalReferences>
    <externalReference r:id="rId1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14" l="1"/>
  <c r="E7" i="15" s="1"/>
  <c r="C7" i="14"/>
  <c r="D7" i="15" s="1"/>
  <c r="C7" i="13"/>
  <c r="C9" i="12"/>
  <c r="C7" i="12"/>
  <c r="C6" i="12"/>
  <c r="C5" i="12"/>
  <c r="C8" i="12" s="1"/>
  <c r="C17" i="11"/>
  <c r="C19" i="11" s="1"/>
  <c r="C10" i="11"/>
  <c r="C5" i="11"/>
  <c r="C12" i="11" s="1"/>
  <c r="C22" i="11" s="1"/>
  <c r="C12" i="10"/>
  <c r="C10" i="10"/>
  <c r="C13" i="10" s="1"/>
  <c r="H33" i="8"/>
  <c r="H26" i="8"/>
  <c r="G26" i="8"/>
  <c r="G27" i="8" s="1"/>
  <c r="G33" i="8" s="1"/>
  <c r="F26" i="8"/>
  <c r="F27" i="8" s="1"/>
  <c r="F33" i="8" s="1"/>
  <c r="E26" i="8"/>
  <c r="E27" i="8" s="1"/>
  <c r="E33" i="8" s="1"/>
  <c r="D26" i="8"/>
  <c r="D27" i="8" s="1"/>
  <c r="D33" i="8" s="1"/>
  <c r="C26" i="8"/>
  <c r="C27" i="8" s="1"/>
  <c r="C33" i="8" s="1"/>
  <c r="H23" i="8"/>
  <c r="G23" i="8"/>
  <c r="F23" i="8"/>
  <c r="E23" i="8"/>
  <c r="D23" i="8"/>
  <c r="C23" i="8"/>
  <c r="H17" i="8"/>
  <c r="G17" i="8"/>
  <c r="F17" i="8"/>
  <c r="E17" i="8"/>
  <c r="D17" i="8"/>
  <c r="C17" i="8"/>
  <c r="H12" i="8"/>
  <c r="H18" i="8" s="1"/>
  <c r="G12" i="8"/>
  <c r="G18" i="8" s="1"/>
  <c r="F12" i="8"/>
  <c r="F18" i="8" s="1"/>
  <c r="E12" i="8"/>
  <c r="E18" i="8" s="1"/>
  <c r="D12" i="8"/>
  <c r="D18" i="8" s="1"/>
  <c r="C12" i="8"/>
  <c r="C18" i="8" s="1"/>
  <c r="D17" i="4"/>
  <c r="F16" i="4"/>
  <c r="E16" i="4"/>
  <c r="E15" i="4"/>
  <c r="E14" i="4"/>
  <c r="E13" i="4"/>
  <c r="E12" i="4"/>
  <c r="E11" i="4"/>
  <c r="F10" i="4"/>
  <c r="G10" i="4" s="1"/>
  <c r="E10" i="4"/>
  <c r="F9" i="4"/>
  <c r="G9" i="4" s="1"/>
  <c r="E9" i="4"/>
  <c r="F8" i="4"/>
  <c r="G8" i="4" s="1"/>
  <c r="E8" i="4"/>
  <c r="E7" i="4"/>
  <c r="E6" i="4"/>
  <c r="G29" i="3"/>
  <c r="C29" i="3"/>
  <c r="H23" i="3"/>
  <c r="H27" i="3" s="1"/>
  <c r="G23" i="3"/>
  <c r="G27" i="3" s="1"/>
  <c r="F23" i="3"/>
  <c r="F27" i="3" s="1"/>
  <c r="E23" i="3"/>
  <c r="E27" i="3" s="1"/>
  <c r="D23" i="3"/>
  <c r="D27" i="3" s="1"/>
  <c r="C23" i="3"/>
  <c r="C27" i="3" s="1"/>
  <c r="G20" i="3"/>
  <c r="F20" i="3"/>
  <c r="E20" i="3"/>
  <c r="D20" i="3"/>
  <c r="C20" i="3"/>
  <c r="H19" i="3"/>
  <c r="H29" i="3" s="1"/>
  <c r="G19" i="3"/>
  <c r="F19" i="3"/>
  <c r="F29" i="3" s="1"/>
  <c r="E19" i="3"/>
  <c r="E29" i="3" s="1"/>
  <c r="D19" i="3"/>
  <c r="D29" i="3" s="1"/>
  <c r="C19" i="3"/>
  <c r="H12" i="3"/>
  <c r="G12" i="3"/>
  <c r="F12" i="3"/>
  <c r="E12" i="3"/>
  <c r="D12" i="3"/>
  <c r="C12" i="3"/>
  <c r="G11" i="3"/>
  <c r="F11" i="3"/>
  <c r="E11" i="3"/>
  <c r="D11" i="3"/>
  <c r="C11" i="3"/>
  <c r="G10" i="3"/>
  <c r="F10" i="3"/>
  <c r="E10" i="3"/>
  <c r="D10" i="3"/>
  <c r="C10" i="3"/>
  <c r="J21" i="2"/>
  <c r="C15" i="10" l="1"/>
  <c r="C20" i="10"/>
  <c r="G8" i="15"/>
  <c r="G6" i="15"/>
  <c r="C18" i="12"/>
  <c r="G7" i="15"/>
  <c r="C12" i="14"/>
  <c r="C17" i="13"/>
  <c r="C10" i="12"/>
  <c r="C13" i="12" s="1"/>
  <c r="C8" i="13"/>
  <c r="C31" i="3"/>
  <c r="C7" i="3" s="1"/>
  <c r="C6" i="3"/>
  <c r="D31" i="3"/>
  <c r="D7" i="3" s="1"/>
  <c r="D6" i="3"/>
  <c r="F31" i="3"/>
  <c r="F7" i="3" s="1"/>
  <c r="F6" i="3"/>
  <c r="C14" i="12"/>
  <c r="E8" i="15" s="1"/>
  <c r="E31" i="3"/>
  <c r="E7" i="3" s="1"/>
  <c r="E6" i="3"/>
  <c r="C9" i="13"/>
  <c r="C13" i="13" s="1"/>
  <c r="E6" i="15" s="1"/>
  <c r="H6" i="3"/>
  <c r="H31" i="3"/>
  <c r="H7" i="3" s="1"/>
  <c r="G17" i="4"/>
  <c r="C5" i="10" s="1"/>
  <c r="G6" i="3"/>
  <c r="G31" i="3"/>
  <c r="G7" i="3" s="1"/>
  <c r="D8" i="15" l="1"/>
  <c r="C19" i="10"/>
  <c r="C7" i="10"/>
  <c r="D19" i="10" s="1"/>
  <c r="C12" i="13"/>
  <c r="F6" i="15"/>
  <c r="F8" i="15"/>
  <c r="D20" i="10"/>
  <c r="C16" i="13"/>
  <c r="C17" i="12"/>
  <c r="C21" i="12" s="1"/>
  <c r="H8" i="15" s="1"/>
  <c r="F7" i="15"/>
  <c r="C11" i="14"/>
  <c r="C15" i="14" s="1"/>
  <c r="H7" i="15" s="1"/>
  <c r="D6" i="15" l="1"/>
  <c r="C20" i="13"/>
  <c r="H6" i="15" s="1"/>
</calcChain>
</file>

<file path=xl/sharedStrings.xml><?xml version="1.0" encoding="utf-8"?>
<sst xmlns="http://schemas.openxmlformats.org/spreadsheetml/2006/main" count="418" uniqueCount="327">
  <si>
    <t>KEY ASSUMPTIONS USED IN THIS SUBMISSION</t>
  </si>
  <si>
    <t>1. Risk-free rate</t>
  </si>
  <si>
    <t>10-year Australian Government Treasury bond yield as of Nov 1, 2020 (0.81%, Exhibit 4) is used as the proxy for the risk-free rate. A longer-tenor bond is preferred over the 1-year rate because the short end of the curve was temporarily distorted by the RBA's emergency 0.10% cash-rate cut and COVID-19 quantitative easing, making it an unreliable long-run proxy.</t>
  </si>
  <si>
    <t>2. Equity beta</t>
  </si>
  <si>
    <t>The Team was given four beta estimates: raw 5-yr beta (0.85 low / 0.95 high) and adjusted 5-yr beta (0.94 low / 1.07 high). In the absence of a single 'correct' figure, the simple average of all four estimates, 0.9525 (≈0.95), is used as a representative point estimate for CAPM.</t>
  </si>
  <si>
    <t>3. Market risk premium (MRP)</t>
  </si>
  <si>
    <t>6.25%, the Bloomberg-reported Australian MRP for 2020, is used instead of the generic 4-5% global average cited in the case, since it is specific to DPE's primary listing market.</t>
  </si>
  <si>
    <t>4. Corporate tax rate</t>
  </si>
  <si>
    <t>30% is used, close to both DPE's average effective tax rate for FY2016-FY2019 (about 29.9%, treating the FY2020 rate of 34.59% as an outlier distorted by COVID-19 abnormal items) and the Australian statutory company tax rate.</t>
  </si>
  <si>
    <t>5. Cost of debt - method used</t>
  </si>
  <si>
    <t>A forward-looking 'bond build-up' approach (risk-free rate + credit spread) is used as the primary cost of debt, because the Team is estimating the cost of capital for 2021 investment planning, not merely reporting the historical book cost of existing loans. DPE carries no public credit rating, so a synthetic BBB rating is assumed given its FY2020 total-liabilities-to-total-assets ratio of ~56% (moderate/rising leverage) and mid-single-digit EBIT margins. The BBB 10-year spread for FY2020 (2.50%, Exhibit 5) is added to the 10-year risk-free rate. The existing weighted book cost of debt (0.85%, Exhibit 3) is retained in the workbook as a historical cross-check.</t>
  </si>
  <si>
    <t>6. Lease liabilities (IFRS 16)</t>
  </si>
  <si>
    <t>Lease liabilities are excluded from both the cost of debt calculation and the book value of debt used for capital-structure weights, consistent with the case's own note that IFRS 16 lease liabilities distort the debt figures and were excluded from the FY2020 weighted cost of debt calculation.</t>
  </si>
  <si>
    <t>7. Market value of debt</t>
  </si>
  <si>
    <t>No market price is available for DPE's private bank loans and other borrowings, so, as is standard when a debt instrument is not publicly traded, the market value of debt is assumed to equal its book (interest-bearing) value: Bank Loans plus Other Bank Loans plus Loans from Other Entities, A$707.4 million (Exhibit 3).</t>
  </si>
  <si>
    <t>8. Market value of equity</t>
  </si>
  <si>
    <t>86.24 million shares outstanding × A$84.70 share price, both taken directly from the case narrative (as of Nov 1, 2020) = A$7,304.5 million.</t>
  </si>
  <si>
    <t>9. Book value of equity</t>
  </si>
  <si>
    <t>Total Shareholders' Equity, FY2020 (Exhibit 7) = A$393.4 million.</t>
  </si>
  <si>
    <t>10. Dividend Discount Model (DDM) cross-check</t>
  </si>
  <si>
    <t>The Dividend Discount Model (Re = D1/P0 + g) is used only as a cross-check for the cost of equity, not the primary method. DPE's historical dividend growth (roughly 27% a year from 2009 to 2020) is far too high to use as a perpetual growth rate, since it would imply g greater than Ke and break the Gordon Growth Model's own logic. A conservative 3% long-run growth rate is used for that cross-check only, roughly in line with long-term nominal GDP growth. CAPM stays the primary method, matching the case's own point that about 85% of firms and close to 100% of financial advisers surveyed use CAPM or a modified version of it.</t>
  </si>
  <si>
    <t>11. Target/industry capital structure</t>
  </si>
  <si>
    <t>The case states DPE's target and industry-average debt-to-equity ratio is 18%, used directly for the 'target' WACC scenario.</t>
  </si>
  <si>
    <t>EXHIBIT 1: DOMINO'S PIZZA ENTERPRISES LIMITED COMMON STOCK</t>
  </si>
  <si>
    <t>SELECTED DATA 2000-2019</t>
  </si>
  <si>
    <t>Year</t>
  </si>
  <si>
    <t xml:space="preserve">Shares </t>
  </si>
  <si>
    <t xml:space="preserve">P/E </t>
  </si>
  <si>
    <t>EPS</t>
  </si>
  <si>
    <t>Dividend</t>
  </si>
  <si>
    <t>Opening Stock</t>
  </si>
  <si>
    <t>Closing Stock</t>
  </si>
  <si>
    <t xml:space="preserve">Total </t>
  </si>
  <si>
    <t>Outstanding</t>
  </si>
  <si>
    <t>Ratio</t>
  </si>
  <si>
    <t>Yield</t>
  </si>
  <si>
    <t>per</t>
  </si>
  <si>
    <t>Price Jan. 1</t>
  </si>
  <si>
    <t>Price Dec. 31</t>
  </si>
  <si>
    <t>Return</t>
  </si>
  <si>
    <t>(Million)</t>
  </si>
  <si>
    <t>(X)</t>
  </si>
  <si>
    <t>(%)</t>
  </si>
  <si>
    <t>Share (A$)</t>
  </si>
  <si>
    <t>(A$)</t>
  </si>
  <si>
    <t>Arithmetic Average</t>
  </si>
  <si>
    <t>Note: EPS = earnings per share; P/E = price earnings; total return = (Dividend + Price Change) ÷ Previous Price; A$ = AUD = Australian dollars; US$1 = A$1.3615 on November 30, 2020</t>
  </si>
  <si>
    <t xml:space="preserve">Source: </t>
  </si>
  <si>
    <t>Domino’s Pizza Enterprises Limited, “Dividend Summary,” Bloomberg LP, accessed January 24, 2021.</t>
  </si>
  <si>
    <t>Domino’s Pizza Enterprises Limited, “Adjusted Highlights,” Bloomberg LP, accessed January 24, 2021.</t>
  </si>
  <si>
    <t>Domino’s Pizza Enterprises Limited, “Stock Prices of Shares,” Bloomberg LP, accessed January 24, 2021.</t>
  </si>
  <si>
    <t>EXHIBIT 2: DOMINO'S PIZZA ENTERPRISES LIMITED FINANCIAL RATIOS</t>
  </si>
  <si>
    <t>FY 2015</t>
  </si>
  <si>
    <t>FY 2016</t>
  </si>
  <si>
    <t>FY 2017</t>
  </si>
  <si>
    <t>FY 2018</t>
  </si>
  <si>
    <t>FY 2019</t>
  </si>
  <si>
    <t>FY 2020</t>
  </si>
  <si>
    <t>PROFITABILITY</t>
  </si>
  <si>
    <t>Return on Assets</t>
  </si>
  <si>
    <t>Return on Equity</t>
  </si>
  <si>
    <t>MARGIN ANALYSIS</t>
  </si>
  <si>
    <t>EBITDA Margin</t>
  </si>
  <si>
    <t>EBIT Margin</t>
  </si>
  <si>
    <t>Net Profit Margin</t>
  </si>
  <si>
    <t>LIQUIDITY RATIOS</t>
  </si>
  <si>
    <t>Current Ratio</t>
  </si>
  <si>
    <t>Quick Ratio</t>
  </si>
  <si>
    <t>DEBT RATIOS</t>
  </si>
  <si>
    <t>Total Assets ÷ Total Equity</t>
  </si>
  <si>
    <t>Total Liabilities ÷ Total Assets</t>
  </si>
  <si>
    <t>DuPONT ANALYSIS</t>
  </si>
  <si>
    <t>×</t>
  </si>
  <si>
    <t>Asset Turnover</t>
  </si>
  <si>
    <t>=</t>
  </si>
  <si>
    <t>Equity Multiplier</t>
  </si>
  <si>
    <t xml:space="preserve">Note: FY = fiscal year; EBITDA = earnings before interest, taxes, depreciation, and amortization; </t>
  </si>
  <si>
    <t>EBIT = earnings before interest and taxes</t>
  </si>
  <si>
    <t>Source:</t>
  </si>
  <si>
    <t>Domino’s Pizza Enterprises Limited, “Liquidity Ratios,” Bloomberg LP, accessed January 24, 2021.</t>
  </si>
  <si>
    <t>Domino’s Pizza Enterprises Limited, “Profitability Ratios,” Bloomberg LP, accessed January 24, 2021.</t>
  </si>
  <si>
    <t>Domino’s Pizza Enterprises Limited, “DuPont Analysis,” Bloomberg LP, accessed January 24, 2021.</t>
  </si>
  <si>
    <t>EXHIBIT 3: DOMINO'S PIZZA ENTERPRISES LIMITED COST OF DEBT</t>
  </si>
  <si>
    <t>2020 Annual Report</t>
  </si>
  <si>
    <t>Liability</t>
  </si>
  <si>
    <t>Interest Rate                                    (%)</t>
  </si>
  <si>
    <t>Value        (in A$ Thousand)</t>
  </si>
  <si>
    <t>Weight (%)</t>
  </si>
  <si>
    <t>Weight of Interest-Bearing Debt (%)</t>
  </si>
  <si>
    <t>Weighted Cost of Debt (%)</t>
  </si>
  <si>
    <t>Trade and Other Payables</t>
  </si>
  <si>
    <t>—</t>
  </si>
  <si>
    <t>Other Financial Liabilities</t>
  </si>
  <si>
    <t>Bank Loans</t>
  </si>
  <si>
    <t>Other Bank Loans</t>
  </si>
  <si>
    <t>Loans from Other Entities</t>
  </si>
  <si>
    <t>Market Access Right</t>
  </si>
  <si>
    <t>Put-Option Liability</t>
  </si>
  <si>
    <t>Contingent Consideration</t>
  </si>
  <si>
    <t>Deferred Consideration</t>
  </si>
  <si>
    <t>Interest Rates Swaps</t>
  </si>
  <si>
    <t>Lease Liabilities*</t>
  </si>
  <si>
    <t>Total</t>
  </si>
  <si>
    <t xml:space="preserve">Note: *Rental lease liability has increased materially as a result of IFRS 16 implementation and has not </t>
  </si>
  <si>
    <t xml:space="preserve">been included in the weighted cost of debt calculation. </t>
  </si>
  <si>
    <t xml:space="preserve">Domino’s Pizza Enterprises Ltd., Annual Report 2020, accessed January 10, 2021, </t>
  </si>
  <si>
    <t>https://investors.dominos.com.au/s/FY20-Annual-Report-nj2r.pdf.</t>
  </si>
  <si>
    <t>EXHIBIT 4: AUSTRALIAN GOVERNMENT TREASURY BOND YIELDS</t>
  </si>
  <si>
    <t>AS OF NOVEMBER 1, 2020</t>
  </si>
  <si>
    <t>Bond Duration</t>
  </si>
  <si>
    <t>Yield to Maturity</t>
  </si>
  <si>
    <t>1 Year</t>
  </si>
  <si>
    <t>2 Years</t>
  </si>
  <si>
    <t>3 Years</t>
  </si>
  <si>
    <t>5 Years</t>
  </si>
  <si>
    <t>7 Years</t>
  </si>
  <si>
    <t>10 Years</t>
  </si>
  <si>
    <t>20 Years</t>
  </si>
  <si>
    <t>30 Years</t>
  </si>
  <si>
    <t>Source: Australian Government, “Australian Government Treasury Bond Rates,” Bloomberg LP, accessed January 24, 2021.</t>
  </si>
  <si>
    <t>EXHIBIT 5: AVERAGE HISTORICAL AUSTRALIAN CORPORATE BOND SPREADS (%)</t>
  </si>
  <si>
    <t>AS OF FEBRUARY 27, 2020</t>
  </si>
  <si>
    <t>Rating</t>
  </si>
  <si>
    <t>Duration</t>
  </si>
  <si>
    <t>A</t>
  </si>
  <si>
    <t>3 years</t>
  </si>
  <si>
    <t>BBB</t>
  </si>
  <si>
    <t>5 years</t>
  </si>
  <si>
    <t>7 years</t>
  </si>
  <si>
    <t>10 years</t>
  </si>
  <si>
    <t>Note: FY = fiscal year.</t>
  </si>
  <si>
    <t>Source: “Aggregate Measures of Australian Corporate Bond Spreads 2005–2021,” Reserve Bank of Australia, accessed January 24, 2021.</t>
  </si>
  <si>
    <t>EXHIBIT 6: DOMINO'S PIZZA ENTERPRISES LIMITED INCOME STATEMENT</t>
  </si>
  <si>
    <t>(IN A$ MILLIONS)</t>
  </si>
  <si>
    <t>12 Months Ending</t>
  </si>
  <si>
    <t>06/28/2015</t>
  </si>
  <si>
    <t>07/03/2016</t>
  </si>
  <si>
    <t>07/02/2017</t>
  </si>
  <si>
    <t>07/01/2018</t>
  </si>
  <si>
    <t>06/30/2019</t>
  </si>
  <si>
    <t>06/28/2020</t>
  </si>
  <si>
    <t>Revenue</t>
  </si>
  <si>
    <t>  − Operating Expenses</t>
  </si>
  <si>
    <t>    + Selling, General, &amp; Admin</t>
  </si>
  <si>
    <t>    + Selling &amp; Marketing</t>
  </si>
  <si>
    <t>    + Research &amp; Development</t>
  </si>
  <si>
    <t>    + Depreciation &amp; Amortization</t>
  </si>
  <si>
    <t>    + Other Operating Expense</t>
  </si>
  <si>
    <t>Operating Income (Loss)</t>
  </si>
  <si>
    <t>  − Non-Operating (Income) Loss</t>
  </si>
  <si>
    <t>    + Interest Expense, Net</t>
  </si>
  <si>
    <t>    + Foreign Exch (Gain) Loss</t>
  </si>
  <si>
    <t>    + Other Non-Op (Income) Loss</t>
  </si>
  <si>
    <t>Pre-Tax Income (Loss), Adjusted</t>
  </si>
  <si>
    <t>  − Abnormal Losses (Gains)</t>
  </si>
  <si>
    <t>    + Merger/Acquisition Expense</t>
  </si>
  <si>
    <t>    + Disposal of Assets</t>
  </si>
  <si>
    <t>Pre-Tax Income (Loss), GAAP</t>
  </si>
  <si>
    <t>  − Income Tax Expense (Benefit)</t>
  </si>
  <si>
    <t>    + Current Income Tax</t>
  </si>
  <si>
    <t>    + Deferred Income Tax</t>
  </si>
  <si>
    <t>    + Tax Allowance/Credit</t>
  </si>
  <si>
    <t>Net Income, GAAP</t>
  </si>
  <si>
    <t>Diluted EPS, GAPP</t>
  </si>
  <si>
    <t>Dividends per Share</t>
  </si>
  <si>
    <t>Effective Tax Rate</t>
  </si>
  <si>
    <t>Note: This balance sheet was simplified for ease of discussion. GAAP = generally accepted accounting principles; EPS = earnings per share</t>
  </si>
  <si>
    <t>Domino’s Pizza Enterprises Limited, “Adjusted Income Statement,” Bloomberg LP, accessed January 24, 2021.</t>
  </si>
  <si>
    <t>EXHIBIT 7: DOMINO'S PIZZA ENTERPRISES LIMITED BALANCE SHEET</t>
  </si>
  <si>
    <t>FY2020</t>
  </si>
  <si>
    <t>Assets</t>
  </si>
  <si>
    <t>  + Cash, Cash Equivalents, &amp; ST Inv</t>
  </si>
  <si>
    <t>  + Accounts Receivable</t>
  </si>
  <si>
    <t>  + Inventories</t>
  </si>
  <si>
    <t>  + Other ST Assets</t>
  </si>
  <si>
    <t>Total Current Assets</t>
  </si>
  <si>
    <t>  + Property, Plant, &amp; Equip, Net</t>
  </si>
  <si>
    <t>  + LT Investments &amp; Receivables</t>
  </si>
  <si>
    <t>  + Other LT Assets</t>
  </si>
  <si>
    <t>Total Noncurrent Assets</t>
  </si>
  <si>
    <t>Total Assets</t>
  </si>
  <si>
    <t>Liabilities &amp; Shareholders' Equity</t>
  </si>
  <si>
    <t>  + Payables &amp; Accruals</t>
  </si>
  <si>
    <t>  + ST Debt</t>
  </si>
  <si>
    <t>Total Current Liabilities</t>
  </si>
  <si>
    <t>  + LT Debt</t>
  </si>
  <si>
    <t>Total Noncurrent Liabilities</t>
  </si>
  <si>
    <t>Total Liabilities</t>
  </si>
  <si>
    <t>  + Common Stock</t>
  </si>
  <si>
    <t>  + Retained Earnings</t>
  </si>
  <si>
    <t>  + Other Equity</t>
  </si>
  <si>
    <t>Total Equity</t>
  </si>
  <si>
    <t>Total Liabilities &amp; Equity</t>
  </si>
  <si>
    <t>Note: This balance sheet was simplified for ease of discussion. ST = short-term; Inv = investments; Equip = equipment; LT = long-term.</t>
  </si>
  <si>
    <t>Domino’s Pizza Enterprises Limited, “Adjusted Balance Sheet,” Bloomberg LP, accessed January 24, 2021.</t>
  </si>
  <si>
    <t>EXHIBIT 8: DOMINO'S PIZZA ENTERPRISES LIMITED COMPARABLE FIRM DATA</t>
  </si>
  <si>
    <t>AS OF NOVEMBER 1, 2020 (US$ MILLIONS)</t>
  </si>
  <si>
    <t>KFC Holdings</t>
  </si>
  <si>
    <t>McDonald's</t>
  </si>
  <si>
    <t>Restaurant Brands</t>
  </si>
  <si>
    <t>Matsuya Foods</t>
  </si>
  <si>
    <t xml:space="preserve">Yoshino </t>
  </si>
  <si>
    <t>Financial Summary</t>
  </si>
  <si>
    <t>Japan</t>
  </si>
  <si>
    <t>Corp Japan</t>
  </si>
  <si>
    <t>New Zealand</t>
  </si>
  <si>
    <t>Holding Co Ltd</t>
  </si>
  <si>
    <t>Co Ltd</t>
  </si>
  <si>
    <t xml:space="preserve">Book Value of Equity </t>
  </si>
  <si>
    <t>Book Value of Debt</t>
  </si>
  <si>
    <t>Market Data</t>
  </si>
  <si>
    <t>Beta</t>
  </si>
  <si>
    <t>Shares Outstanding (Million)</t>
  </si>
  <si>
    <t>Share Price (November 1, 2020)</t>
  </si>
  <si>
    <t>Dividend per Share</t>
  </si>
  <si>
    <t>Domino’s Pizza Enterprises Limited, “KFC Holdings Japan, Common Stock Data,” Bloomberg LP, accessed January 24, 2021.</t>
  </si>
  <si>
    <t>Domino’s Pizza Enterprises Limited, “McDonalds Japan, Common Stock Data,” Bloomberg LP, accessed January 24, 2021.</t>
  </si>
  <si>
    <t>Domino’s Pizza Enterprises Limited, “Restaurant Brands New Zealand, Common Stock Data,” Bloomberg LP, accessed January 24, 2021.</t>
  </si>
  <si>
    <t>Domino’s Pizza Enterprises Limited, “Matsuya Foods, Common Stock Data,” Bloomberg LP, accessed January 24, 2021.</t>
  </si>
  <si>
    <t>Domino’s Pizza Enterprises Limited, “Yoshino Food, Common Stock Data,” Bloomberg LP, accessed January 24, 2021.</t>
  </si>
  <si>
    <t>COST OF DEBT (Kd)</t>
  </si>
  <si>
    <t>Method A: historical / book cost of existing debt (cross-check, FY2020)</t>
  </si>
  <si>
    <t>Weighted cost of existing interest-bearing debt (pre-tax)</t>
  </si>
  <si>
    <t>Assumed corporate tax rate</t>
  </si>
  <si>
    <t>After-tax cost of debt (Method A)</t>
  </si>
  <si>
    <t>Method B: forward-looking bond build-up method (primary method used)</t>
  </si>
  <si>
    <t>Risk-free rate (10-yr Australian Govt Treasury bond, Nov 1, 2020)</t>
  </si>
  <si>
    <t>Assumed credit rating (synthetic, no public rating available)</t>
  </si>
  <si>
    <t>Credit spread (BBB, 10-year, FY2020, Exhibit 5)</t>
  </si>
  <si>
    <t>Pre-tax cost of debt (Kd) = Risk-free rate + Credit spread</t>
  </si>
  <si>
    <t>After-tax cost of debt, Kd x (1-T), used in WACC</t>
  </si>
  <si>
    <t>SUMMARY</t>
  </si>
  <si>
    <t>Method</t>
  </si>
  <si>
    <t>Pre-tax Kd</t>
  </si>
  <si>
    <t>After-tax Kd</t>
  </si>
  <si>
    <t>Basis</t>
  </si>
  <si>
    <t>A. Historical / book (existing loans)</t>
  </si>
  <si>
    <t>Exhibit 3 weighted cost of debt</t>
  </si>
  <si>
    <t>B. Forward-looking build-up (used in WACC)</t>
  </si>
  <si>
    <t>10-yr Rf + BBB credit spread</t>
  </si>
  <si>
    <t>COST OF EQUITY (Ke)</t>
  </si>
  <si>
    <t>Primary method: CAPM, Ke = Rf + Beta x MRP</t>
  </si>
  <si>
    <t>Risk-free rate (10-yr Australian Govt Treasury bond)</t>
  </si>
  <si>
    <t>Beta: raw 5-yr, low</t>
  </si>
  <si>
    <t>Beta: raw 5-yr, high</t>
  </si>
  <si>
    <t>Beta: adjusted 5-yr, low</t>
  </si>
  <si>
    <t>Beta: adjusted 5-yr, high</t>
  </si>
  <si>
    <t>Beta used (average of the four estimates)</t>
  </si>
  <si>
    <t>Market risk premium (MRP), Bloomberg Australia, 2020</t>
  </si>
  <si>
    <t>Cost of equity (Ke), CAPM</t>
  </si>
  <si>
    <t>Cross-check: Dividend Discount Model (Gordon Growth), Ke = D1/P0 + g</t>
  </si>
  <si>
    <t>Current dividend per share, D0 (FY2020, Exhibit 1 / case narrative)</t>
  </si>
  <si>
    <t>Historical dividend CAGR (2009-2020, Exhibit 1) is about 27% a year, far too high to use as a perpetual growth rate. A conservative 3% is substituted here for illustrative cross-check purposes only.</t>
  </si>
  <si>
    <t>Assumed sustainable long-run growth rate, g (see Assumptions #10)</t>
  </si>
  <si>
    <t>Expected dividend next period, D1 = D0 × (1+g)</t>
  </si>
  <si>
    <t>Current share price, P0 (Nov 2020, case narrative)</t>
  </si>
  <si>
    <t>Cost of equity (Ke), DDM cross-check</t>
  </si>
  <si>
    <t>SELECTED COST OF EQUITY (used in WACC)</t>
  </si>
  <si>
    <t>Ke used</t>
  </si>
  <si>
    <t>WACC: BOOK VALUE WEIGHTS</t>
  </si>
  <si>
    <t>CAPITAL STRUCTURE (BOOK VALUES, FY2020, A$ MILLION)</t>
  </si>
  <si>
    <t>Book value of debt: Bank Loans</t>
  </si>
  <si>
    <t>Book value of debt: Other Bank Loans</t>
  </si>
  <si>
    <t>Book value of debt: Loans from Other Entities</t>
  </si>
  <si>
    <t>Total book value of interest-bearing debt (excl. lease liabilities)</t>
  </si>
  <si>
    <t>Book value of equity (Total Shareholders' Equity, FY2020)</t>
  </si>
  <si>
    <t>Total book value of capital (D + E)</t>
  </si>
  <si>
    <t>WEIGHTS</t>
  </si>
  <si>
    <t>Weight of debt = D / (D+E)</t>
  </si>
  <si>
    <t>Weight of equity = E / (D+E)</t>
  </si>
  <si>
    <t>COMPONENT COSTS</t>
  </si>
  <si>
    <t>After-tax cost of debt, Kd(1-T)</t>
  </si>
  <si>
    <t>Cost of equity, Ke</t>
  </si>
  <si>
    <t>WACC (BOOK VALUE)</t>
  </si>
  <si>
    <t>WACC = Wd × Kd(1-T) + We × Ke</t>
  </si>
  <si>
    <t>WACC: MARKET VALUE WEIGHTS</t>
  </si>
  <si>
    <t>CAPITAL STRUCTURE (MARKET VALUES, NOV 2020, A$ MILLION)</t>
  </si>
  <si>
    <t>Shares outstanding (million)</t>
  </si>
  <si>
    <t>Share price, Nov 2020 (A$)</t>
  </si>
  <si>
    <t>Market value of equity = Shares × Price</t>
  </si>
  <si>
    <t>Market value of debt (assumed = book value of interest-bearing debt)</t>
  </si>
  <si>
    <t>Total market value of capital (D + E)</t>
  </si>
  <si>
    <t>WACC (MARKET VALUE)</t>
  </si>
  <si>
    <t>SCENARIO: TARGET DEBT-TO-EQUITY RATIO OF 18%</t>
  </si>
  <si>
    <t>TARGET CAPITAL STRUCTURE</t>
  </si>
  <si>
    <t>Target D/E ratio</t>
  </si>
  <si>
    <t>Weight of debt = (D/E) / (1 + D/E)</t>
  </si>
  <si>
    <t>Weight of equity = 1 / (1 + D/E)</t>
  </si>
  <si>
    <t>WACC (TARGET STRUCTURE)</t>
  </si>
  <si>
    <t>SCENARIO SUMMARY: LOW, HIGH &amp; ACTUAL WEIGHTS OF DEBT AND EQUITY</t>
  </si>
  <si>
    <t>Scenario</t>
  </si>
  <si>
    <t>Weight of Debt</t>
  </si>
  <si>
    <t>Weight of Equity</t>
  </si>
  <si>
    <t>Kd (after-tax)</t>
  </si>
  <si>
    <t>Ke</t>
  </si>
  <si>
    <t>WACC</t>
  </si>
  <si>
    <t>Low debt weight</t>
  </si>
  <si>
    <t>Market value weights (equity valued at market price)</t>
  </si>
  <si>
    <t>Actual / target weight</t>
  </si>
  <si>
    <t>Company's target &amp; industry-average D/E of 18%</t>
  </si>
  <si>
    <t>High debt weight</t>
  </si>
  <si>
    <t>Book value weights (equity valued at accounting book value)</t>
  </si>
  <si>
    <t>INTERPRETATION</t>
  </si>
  <si>
    <t>The after-tax cost of debt here (about 2.3%) sits far below the cost of equity (about 6.8%), a direct result of the ultra-low interest rates that followed the RBA's pandemic rate cuts. That is why WACC falls as the debt weight rises across these three scenarios: about 6.4% at market value (low debt) weights, about 6.1% at the 18% target D/E, and about 3.9% at book value (high debt) weights. This is a snapshot effect of unusually cheap debt in November 2020, not a general rule. It ignores that raising leverage further would likely push up DPE's equity beta, and therefore Ke, and could pressure its credit spread, and therefore Kd, if leverage rose enough to threaten its assumed BBB profile. The market value WACC (about 6.4%) is the most defensible single figure for evaluating new projects, since equity investors price their required return off the market value of their claim, not its book value. The book value WACC is included mainly as a lower-bound cross-check.</t>
  </si>
  <si>
    <t>CASE DISCUSSION QUESTIONS: WRITTEN ANSWERS</t>
  </si>
  <si>
    <t>Q1. What is the cost of capital, and why is it important?</t>
  </si>
  <si>
    <t>The cost of capital is the minimum return a firm must earn on its investments to compensate everyone who supplies it money, lenders and shareholders alike, each bearing a different kind of risk. In practice it is the discount rate used to judge whether a project creates value: a project that earns more than the cost of capital adds to shareholder wealth (a positive NPV), while one that earns less destroys it. For DPE this is not an abstract exercise. The firm invests around A$99 million a year across nine countries, and the case itself points out that a difference of only a few percentage points in the cost of capital can shift capital spending by millions of dollars. Getting the estimate right matters directly for how DPE plans its 2021 investments, during a stretch when COVID-19 has made most of its usual assumptions less certain than normal.</t>
  </si>
  <si>
    <t>Q2. How should Coney estimate the cost of debt?</t>
  </si>
  <si>
    <t>Q3. How should Coney estimate the cost of equity?</t>
  </si>
  <si>
    <t>CAPM (Ke = Rf + Beta x MRP) is the right primary method here, since the case notes that around 85% of leading corporations and virtually all financial advisers surveyed use CAPM or some modified version of it. That requires three inputs. First, a risk-free rate: again the 10-year government bond yield (0.81%) rather than the 1-year rate, for the same reasons as under cost of debt. Second, a beta: DPE was given four different estimates (raw and adjusted, each with a low and high figure), and since none of them is obviously the correct one, averaging all four to about 0.95 gives a reasonable single estimate, though a sensitivity range could just as easily be shown instead. Third, a market risk premium: the Bloomberg Australian MRP of 6.25% fits better than the generic 4-5% global average the case mentions, because it is specific to DPE's home market. Together these give a cost of equity of roughly 6.8%. A dividend discount model check (Ke = D1/P0 + g) is possible using DPE's dividend history in Exhibit 1, but the company's historical dividend growth, close to 27% a year, is nowhere near sustainable as a perpetuity assumption. It only works as a rough sanity check once the growth rate is scaled down heavily, not as the primary estimate.</t>
  </si>
  <si>
    <t>Q4. What is the WACC of Domino's Pizza?</t>
  </si>
  <si>
    <t>Using market values for the capital structure (equity worth roughly A$7,305 million at its November 2020 market price against about A$707 million of interest-bearing debt, or roughly 91% equity and 9% debt), an after-tax cost of debt near 2.3% and a CAPM cost of equity near 6.8%, DPE's WACC comes out to about 6.4%. On a book value basis, using accounting equity of about A$393 million against the same debt (roughly 36% equity, 64% debt), WACC drops to about 3.9%, because book equity is so much smaller relative to debt than market equity is. At the company's own stated target D/E ratio of 18%, WACC lands around 6.1%. The market value figure of about 6.4% is the one worth using for new investment decisions, since it reflects what investors currently require given how the market actually prices DPE, not what its accounting books happen to say.</t>
  </si>
  <si>
    <t>WACC works as the discount rate applied to a project's expected future cash flows when calculating NPV, or as the benchmark a project's IRR has to clear: a project only adds value if its NPV at WACC is positive, or equivalently if its IRR beats WACC. For DPE this matters directly heading into 2021, since capital committed to store expansion, technology like Project 3Ten, or COVID-19 safety measures across Australia, New Zealand, Japan, and Europe should only go ahead if the expected return clears this bar. That said, the case is right to flag that not every project carries the same risk as the existing business. A low-risk project, routine store maintenance say, probably deserves a hurdle rate below the corporate WACC, while a bigger risk, like entering a new country or a large technology bet, probably deserves a higher one. Applying a single company-wide WACC to every project regardless of its risk tends to push a firm toward over-investing in risky projects and under-investing in safe ones.</t>
  </si>
  <si>
    <t>DPE's WACC estimate turns out to be very sensitive to two things: whether book or market values are used to weight debt and equity, and the unusual, pandemic-driven collapse in risk-free rates through late 2020, which has pushed the after-tax cost of debt (about 2.3%) well below the cost of equity (about 6.8%). That combination produces a wide range of possible WACC figures, from about 3.9% to about 6.4%, depending purely on which capital structure assumption is used. For 2021 planning, the market value WACC of about 6.4% is the one to use as the primary hurdle rate, since it reflects what equity and debt investors actually require given how the market currently prices DPE. It is worth remembering this is a snapshot, not a fixed number. As rates normalize after COVID-19, and if DPE keeps adding leverage the way it has since 2010 (its debt-to-assets ratio climbed from 9.39% to 55.86% over that decade), both Kd and Ke are likely to shift, and the WACC estimate should be revisited rather than treated as permanent.</t>
  </si>
  <si>
    <t>Coney's team should be careful about taking the book cost of DPE's existing loans (a weighted 0.85%, per Exhibit 3) at face value, since that number reflects rates locked in when the debt was originally taken out, not what it would cost to borrow today. By November 2020 the RBA had just cut the cash rate to a record 0.10% and government bond yields had fallen sharply, so a forward-looking estimate makes more sense for 2021 planning. The usual approach is to start with a long-tenor government bond yield as the risk-free base (the case points to the 10-year or 30-year rate, since the 1-year rate was distorted by emergency stimulus) and add a credit spread that matches DPE's likely credit quality; Exhibit 5 gives spreads by rating and tenor. DPE has no public credit rating, so the team has to assume a reasonable synthetic one based on its leverage, coverage, and margins. This submission uses the 10-year yield of 0.81% plus a BBB spread of 2.50%, for a pre-tax cost of debt of 3.31%. Because interest is tax deductible, that figure is then multiplied by (1- tax rate) to get the after-tax cost of debt used in WACC, which works out to 2.32% at an assumed 30% tax rate. Lease liabilities under IFRS 16 are left out of the calculation, since the case notes they distort the figures.</t>
  </si>
  <si>
    <t>Q4a and Q4b. Book value WACC and market value WACC</t>
  </si>
  <si>
    <t>The full step-by-step math for both is in the 'Q4a - WACC - Book Value' and 'Q4b - WACC - Market Value' tabs. Book value WACC comes out to about 3.90%; market value WACC to about 6.37%, both built from the same cost of debt and cost of equity figures on the 'Q2 - Cost of Debt' and 'Q3 - Cost of Equity' tabs.</t>
  </si>
  <si>
    <t>See the 'Q4c - Scenario - Target DE 18pct' tab. At the target and industry average D/E of 18% (a 15.25% weight on debt, 84.75% on equity), WACC works out to about 6.08%, sitting between the market value and book value results. That makes sense, since 18% D/E implies more leverage than DPE currently carries at market value but far less than its book value would suggest.</t>
  </si>
  <si>
    <t>Q4c. Scenario at a debt-to-equity ratio of 18%</t>
  </si>
  <si>
    <t>See the 'Q4d - Scenario Summary' tab. The low debt weight (about 8.8%) comes from market value weights; the high debt weight (about 64.3%) comes from book value weights; and the company's own actual/target weight (15.25% debt) comes from its stated 18% D/E goal. WACC ranges from about 3.9% at the high debt weight down to about 6.4% at the low debt weight. The sheet lays out the assumptions behind each scenario and explains why WACC falls as leverage rises in this particular, unusually low interest rate snapshot.</t>
  </si>
  <si>
    <t>Q4d. Scenarios with low, high, and actual weights of equity and debt</t>
  </si>
  <si>
    <t>Q5. How is WACC used in evaluating future projects?</t>
  </si>
  <si>
    <t>Overall interpretation of results</t>
  </si>
  <si>
    <t>3 internally consistent weighting bases are compared below, spanning the realistic range of DPE's capital structure.</t>
  </si>
  <si>
    <t>Excludes lease liabilities (IFRS 16). Reference in  -  Assumptions #6.</t>
  </si>
  <si>
    <t>4 beta figures given in case narrative; Reference in -  Assumptions tab #2.</t>
  </si>
  <si>
    <t>Reference in -  Assumptions tab (#1,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</si>
</sst>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0_);_(\(#,##0\);_(&quot; - &quot;??_);_(@_)"/>
    <numFmt numFmtId="165" formatCode="#,##0.0"/>
    <numFmt numFmtId="166" formatCode="#,##0.000"/>
    <numFmt numFmtId="167" formatCode="0.000%"/>
  </numFmts>
  <fonts count="34" x14ac:knownFonts="1">
    <font>
      <sz val="11"/>
      <color theme="1"/>
      <name val="Calibri"/>
      <family val="2"/>
      <scheme val="minor"/>
    </font>
    <font>
      <sz val="11"/>
      <color theme="1"/>
      <name val="Calibri"/>
      <family val="2"/>
      <scheme val="minor"/>
    </font>
    <font>
      <b/>
      <sz val="16"/>
      <color indexed="9"/>
      <name val="Arial"/>
      <family val="2"/>
    </font>
    <font>
      <b/>
      <sz val="10"/>
      <color theme="1"/>
      <name val="Arial"/>
      <family val="2"/>
    </font>
    <font>
      <sz val="10"/>
      <color theme="1"/>
      <name val="Arial"/>
      <family val="2"/>
    </font>
    <font>
      <sz val="10"/>
      <name val="Arial"/>
      <family val="2"/>
    </font>
    <font>
      <b/>
      <sz val="10"/>
      <name val="Arial"/>
      <family val="2"/>
    </font>
    <font>
      <i/>
      <sz val="10"/>
      <color theme="1"/>
      <name val="Arial"/>
      <family val="2"/>
    </font>
    <font>
      <b/>
      <sz val="10"/>
      <color indexed="9"/>
      <name val="Arial"/>
      <family val="2"/>
    </font>
    <font>
      <sz val="10"/>
      <color indexed="8"/>
      <name val="Arial"/>
      <family val="2"/>
    </font>
    <font>
      <b/>
      <sz val="10"/>
      <color indexed="8"/>
      <name val="Arial"/>
      <family val="2"/>
    </font>
    <font>
      <sz val="8.5"/>
      <color theme="1"/>
      <name val="Arial"/>
      <family val="2"/>
    </font>
    <font>
      <b/>
      <sz val="10"/>
      <color rgb="FF000000"/>
      <name val="Arial"/>
      <family val="2"/>
    </font>
    <font>
      <sz val="10"/>
      <name val="Calibri"/>
      <family val="2"/>
    </font>
    <font>
      <i/>
      <sz val="10"/>
      <name val="Arial"/>
      <family val="2"/>
    </font>
    <font>
      <sz val="10"/>
      <color theme="1"/>
      <name val="Calibri"/>
      <family val="2"/>
      <scheme val="minor"/>
    </font>
    <font>
      <sz val="10"/>
      <color rgb="FF333333"/>
      <name val="Arial"/>
      <family val="2"/>
    </font>
    <font>
      <i/>
      <sz val="10"/>
      <color indexed="8"/>
      <name val="Arial"/>
      <family val="2"/>
    </font>
    <font>
      <b/>
      <sz val="9"/>
      <color theme="1"/>
      <name val="Arial"/>
      <family val="2"/>
    </font>
    <font>
      <b/>
      <sz val="13"/>
      <color rgb="FFFFFFFF"/>
      <name val="Calibri"/>
      <family val="2"/>
    </font>
    <font>
      <b/>
      <i/>
      <sz val="10"/>
      <color rgb="FF1F4E78"/>
      <name val="Calibri"/>
      <family val="2"/>
    </font>
    <font>
      <b/>
      <sz val="10"/>
      <color rgb="FFFFFFFF"/>
      <name val="Calibri"/>
      <family val="2"/>
    </font>
    <font>
      <i/>
      <sz val="9"/>
      <color rgb="FF7F7F7F"/>
      <name val="Calibri"/>
      <family val="2"/>
    </font>
    <font>
      <b/>
      <sz val="11"/>
      <color rgb="FF375623"/>
      <name val="Calibri"/>
      <family val="2"/>
    </font>
    <font>
      <b/>
      <sz val="14"/>
      <color rgb="FF375623"/>
      <name val="Calibri"/>
      <family val="2"/>
    </font>
    <font>
      <b/>
      <sz val="11"/>
      <color theme="1"/>
      <name val="Calibri"/>
      <family val="2"/>
      <scheme val="minor"/>
    </font>
    <font>
      <b/>
      <sz val="13"/>
      <color theme="1"/>
      <name val="Calibri"/>
      <family val="2"/>
    </font>
    <font>
      <b/>
      <sz val="11"/>
      <color theme="1"/>
      <name val="Calibri"/>
      <family val="2"/>
    </font>
    <font>
      <i/>
      <sz val="9"/>
      <color theme="1"/>
      <name val="Calibri"/>
      <family val="2"/>
    </font>
    <font>
      <b/>
      <sz val="10"/>
      <color theme="1"/>
      <name val="Calibri"/>
      <family val="2"/>
    </font>
    <font>
      <b/>
      <i/>
      <sz val="10"/>
      <color theme="1"/>
      <name val="Calibri"/>
      <family val="2"/>
    </font>
    <font>
      <b/>
      <sz val="11"/>
      <color rgb="FF375623"/>
      <name val="Calibri"/>
      <family val="2"/>
      <scheme val="minor"/>
    </font>
    <font>
      <b/>
      <i/>
      <sz val="11"/>
      <color theme="1"/>
      <name val="Calibri"/>
      <family val="2"/>
      <scheme val="minor"/>
    </font>
    <font>
      <sz val="9"/>
      <color theme="1"/>
      <name val="Calibri"/>
      <family val="2"/>
    </font>
  </fonts>
  <fills count="8">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1F4E78"/>
        <bgColor rgb="FF1F4E78"/>
      </patternFill>
    </fill>
    <fill>
      <patternFill patternType="solid">
        <fgColor rgb="FF2E75B6"/>
        <bgColor rgb="FF2E75B6"/>
      </patternFill>
    </fill>
    <fill>
      <patternFill patternType="solid">
        <fgColor rgb="FFFFF2CC"/>
        <bgColor rgb="FFFFF2CC"/>
      </patternFill>
    </fill>
    <fill>
      <patternFill patternType="solid">
        <fgColor rgb="FFE2EFDA"/>
        <bgColor rgb="FFE2EFDA"/>
      </patternFill>
    </fill>
  </fills>
  <borders count="17">
    <border>
      <left/>
      <right/>
      <top/>
      <bottom/>
      <diagonal/>
    </border>
    <border>
      <left/>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1">
    <xf numFmtId="0" fontId="0" fillId="0" borderId="0"/>
    <xf numFmtId="9" fontId="1" fillId="0" borderId="0"/>
    <xf numFmtId="0" fontId="2" fillId="2" borderId="1">
      <alignment horizontal="left" vertical="center" readingOrder="1"/>
    </xf>
    <xf numFmtId="0" fontId="5" fillId="0" borderId="0"/>
    <xf numFmtId="0" fontId="8" fillId="2" borderId="10">
      <alignment horizontal="left"/>
    </xf>
    <xf numFmtId="4" fontId="9" fillId="3" borderId="12">
      <alignment horizontal="right"/>
    </xf>
    <xf numFmtId="4" fontId="10" fillId="3" borderId="12">
      <alignment horizontal="right"/>
    </xf>
    <xf numFmtId="0" fontId="8" fillId="2" borderId="13">
      <alignment horizontal="right"/>
    </xf>
    <xf numFmtId="165" fontId="10" fillId="3" borderId="12">
      <alignment horizontal="right"/>
    </xf>
    <xf numFmtId="165" fontId="9" fillId="3" borderId="12">
      <alignment horizontal="right"/>
    </xf>
    <xf numFmtId="165" fontId="17" fillId="3" borderId="12">
      <alignment horizontal="right"/>
    </xf>
  </cellStyleXfs>
  <cellXfs count="159">
    <xf numFmtId="0" fontId="0" fillId="0" borderId="0" xfId="0"/>
    <xf numFmtId="2" fontId="3" fillId="0" borderId="0" xfId="2" applyNumberFormat="1" applyFont="1" applyFill="1" applyBorder="1" applyAlignment="1">
      <alignment horizontal="center" vertical="center" readingOrder="1"/>
    </xf>
    <xf numFmtId="2" fontId="3" fillId="0" borderId="0" xfId="2" applyNumberFormat="1" applyFont="1" applyFill="1" applyBorder="1" applyAlignment="1">
      <alignment vertical="center" readingOrder="1"/>
    </xf>
    <xf numFmtId="0" fontId="4" fillId="0" borderId="0" xfId="0" applyFont="1"/>
    <xf numFmtId="0" fontId="4" fillId="0" borderId="0" xfId="0" applyFont="1" applyAlignment="1">
      <alignment horizontal="center"/>
    </xf>
    <xf numFmtId="0" fontId="3" fillId="0" borderId="0" xfId="0" applyFont="1" applyAlignment="1">
      <alignment horizontal="center"/>
    </xf>
    <xf numFmtId="0" fontId="7" fillId="0" borderId="0" xfId="0" applyFont="1"/>
    <xf numFmtId="0" fontId="3" fillId="0" borderId="0" xfId="4" applyFont="1" applyFill="1" applyBorder="1" applyAlignment="1">
      <alignment horizontal="center"/>
    </xf>
    <xf numFmtId="0" fontId="3" fillId="0" borderId="4"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12"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9" xfId="0" applyFont="1" applyBorder="1" applyAlignment="1">
      <alignment horizontal="center"/>
    </xf>
    <xf numFmtId="0" fontId="4" fillId="0" borderId="10" xfId="0" applyFont="1" applyBorder="1" applyAlignment="1">
      <alignment horizontal="center"/>
    </xf>
    <xf numFmtId="2" fontId="4" fillId="0" borderId="10" xfId="0" applyNumberFormat="1" applyFont="1" applyBorder="1" applyAlignment="1">
      <alignment horizontal="center"/>
    </xf>
    <xf numFmtId="0" fontId="4" fillId="0" borderId="12" xfId="0" applyFont="1" applyBorder="1" applyAlignment="1">
      <alignment horizontal="center"/>
    </xf>
    <xf numFmtId="2" fontId="4" fillId="0" borderId="12" xfId="0" applyNumberFormat="1" applyFont="1" applyBorder="1" applyAlignment="1">
      <alignment horizontal="center"/>
    </xf>
    <xf numFmtId="0" fontId="4" fillId="0" borderId="13" xfId="0" applyFont="1" applyBorder="1" applyAlignment="1">
      <alignment horizontal="center"/>
    </xf>
    <xf numFmtId="4" fontId="9" fillId="3" borderId="13" xfId="5" applyBorder="1" applyAlignment="1">
      <alignment horizontal="center"/>
    </xf>
    <xf numFmtId="4" fontId="9" fillId="3" borderId="13" xfId="6" applyFont="1" applyBorder="1" applyAlignment="1">
      <alignment horizontal="center"/>
    </xf>
    <xf numFmtId="2" fontId="4" fillId="0" borderId="13" xfId="0" applyNumberFormat="1" applyFont="1" applyBorder="1" applyAlignment="1">
      <alignment horizontal="center"/>
    </xf>
    <xf numFmtId="2" fontId="4" fillId="0" borderId="0" xfId="0" applyNumberFormat="1" applyFont="1" applyAlignment="1">
      <alignment horizontal="center"/>
    </xf>
    <xf numFmtId="10" fontId="4" fillId="0" borderId="0" xfId="0" applyNumberFormat="1" applyFont="1" applyAlignment="1">
      <alignment horizontal="center"/>
    </xf>
    <xf numFmtId="10" fontId="4" fillId="0" borderId="0" xfId="1" applyNumberFormat="1" applyFont="1" applyAlignment="1">
      <alignment horizontal="center"/>
    </xf>
    <xf numFmtId="0" fontId="4" fillId="0" borderId="0" xfId="0" applyFont="1" applyAlignment="1">
      <alignment horizontal="left"/>
    </xf>
    <xf numFmtId="0" fontId="4" fillId="0" borderId="0" xfId="1" applyNumberFormat="1" applyFont="1" applyAlignment="1">
      <alignment horizontal="center"/>
    </xf>
    <xf numFmtId="0" fontId="11" fillId="0" borderId="0" xfId="0" applyFont="1"/>
    <xf numFmtId="0" fontId="7" fillId="0" borderId="0" xfId="0" applyFont="1" applyAlignment="1">
      <alignment horizontal="center"/>
    </xf>
    <xf numFmtId="0" fontId="11" fillId="0" borderId="0" xfId="0" applyFont="1" applyAlignment="1">
      <alignment vertical="center"/>
    </xf>
    <xf numFmtId="0" fontId="6" fillId="0" borderId="15" xfId="0" applyFont="1" applyBorder="1" applyAlignment="1">
      <alignment horizontal="left"/>
    </xf>
    <xf numFmtId="0" fontId="3" fillId="0" borderId="15" xfId="0" applyFont="1" applyBorder="1" applyAlignment="1">
      <alignment horizontal="right"/>
    </xf>
    <xf numFmtId="0" fontId="12" fillId="0" borderId="15" xfId="0" applyFont="1" applyBorder="1" applyAlignment="1">
      <alignment horizontal="right"/>
    </xf>
    <xf numFmtId="0" fontId="5" fillId="0" borderId="15" xfId="0" applyFont="1" applyBorder="1" applyAlignment="1">
      <alignment horizontal="left"/>
    </xf>
    <xf numFmtId="10" fontId="9" fillId="0" borderId="15" xfId="1" applyNumberFormat="1" applyFont="1" applyBorder="1" applyAlignment="1">
      <alignment horizontal="right"/>
    </xf>
    <xf numFmtId="164" fontId="5" fillId="0" borderId="15" xfId="0" applyNumberFormat="1" applyFont="1" applyBorder="1"/>
    <xf numFmtId="0" fontId="4" fillId="0" borderId="15" xfId="0" applyFont="1" applyBorder="1" applyAlignment="1">
      <alignment horizontal="right"/>
    </xf>
    <xf numFmtId="10" fontId="4" fillId="0" borderId="15" xfId="1" applyNumberFormat="1" applyFont="1" applyBorder="1" applyAlignment="1">
      <alignment horizontal="right"/>
    </xf>
    <xf numFmtId="4" fontId="9" fillId="0" borderId="15" xfId="5" applyFill="1" applyBorder="1">
      <alignment horizontal="right"/>
    </xf>
    <xf numFmtId="9" fontId="4" fillId="0" borderId="15" xfId="1" applyFont="1" applyBorder="1" applyAlignment="1">
      <alignment horizontal="right"/>
    </xf>
    <xf numFmtId="10" fontId="4" fillId="0" borderId="15" xfId="0" applyNumberFormat="1" applyFont="1" applyBorder="1" applyAlignment="1">
      <alignment horizontal="right"/>
    </xf>
    <xf numFmtId="0" fontId="13" fillId="0" borderId="15" xfId="0" applyFont="1" applyBorder="1" applyAlignment="1">
      <alignment horizontal="left"/>
    </xf>
    <xf numFmtId="0" fontId="5" fillId="0" borderId="15" xfId="0" quotePrefix="1" applyFont="1" applyBorder="1" applyAlignment="1">
      <alignment horizontal="left"/>
    </xf>
    <xf numFmtId="0" fontId="14" fillId="0" borderId="15" xfId="0" applyFont="1" applyBorder="1" applyAlignment="1">
      <alignment horizontal="left"/>
    </xf>
    <xf numFmtId="9" fontId="4" fillId="0" borderId="15" xfId="0" applyNumberFormat="1" applyFont="1" applyBorder="1" applyAlignment="1">
      <alignment horizontal="right"/>
    </xf>
    <xf numFmtId="0" fontId="3" fillId="0" borderId="10" xfId="0" applyFont="1" applyBorder="1" applyAlignment="1">
      <alignment horizontal="center" vertical="top"/>
    </xf>
    <xf numFmtId="0" fontId="3" fillId="0" borderId="10" xfId="0" applyFont="1" applyBorder="1" applyAlignment="1">
      <alignment horizontal="center" vertical="top" wrapText="1"/>
    </xf>
    <xf numFmtId="0" fontId="4" fillId="0" borderId="15" xfId="0" applyFont="1" applyBorder="1"/>
    <xf numFmtId="3" fontId="4" fillId="0" borderId="15" xfId="0" applyNumberFormat="1" applyFont="1" applyBorder="1"/>
    <xf numFmtId="2" fontId="4" fillId="0" borderId="15" xfId="0" applyNumberFormat="1" applyFont="1" applyBorder="1"/>
    <xf numFmtId="2" fontId="4" fillId="0" borderId="15" xfId="1" applyNumberFormat="1" applyFont="1" applyBorder="1" applyAlignment="1">
      <alignment horizontal="right"/>
    </xf>
    <xf numFmtId="0" fontId="3" fillId="0" borderId="15" xfId="0" applyFont="1" applyBorder="1"/>
    <xf numFmtId="3" fontId="3" fillId="0" borderId="15" xfId="0" applyNumberFormat="1" applyFont="1" applyBorder="1"/>
    <xf numFmtId="4" fontId="3" fillId="0" borderId="15" xfId="0" applyNumberFormat="1" applyFont="1" applyBorder="1"/>
    <xf numFmtId="0" fontId="15" fillId="0" borderId="0" xfId="0" applyFont="1"/>
    <xf numFmtId="10" fontId="4" fillId="0" borderId="0" xfId="0" applyNumberFormat="1" applyFont="1"/>
    <xf numFmtId="0" fontId="3" fillId="0" borderId="2" xfId="0" applyFont="1" applyBorder="1"/>
    <xf numFmtId="0" fontId="3" fillId="0" borderId="3" xfId="0" applyFont="1" applyBorder="1" applyAlignment="1">
      <alignment horizontal="right"/>
    </xf>
    <xf numFmtId="0" fontId="4" fillId="0" borderId="4" xfId="0" applyFont="1" applyBorder="1"/>
    <xf numFmtId="10" fontId="4" fillId="0" borderId="5" xfId="0" applyNumberFormat="1" applyFont="1" applyBorder="1"/>
    <xf numFmtId="0" fontId="4" fillId="0" borderId="6" xfId="0" applyFont="1" applyBorder="1"/>
    <xf numFmtId="10" fontId="4" fillId="0" borderId="7" xfId="0" applyNumberFormat="1" applyFont="1" applyBorder="1"/>
    <xf numFmtId="0" fontId="4" fillId="0" borderId="8" xfId="0" applyFont="1" applyBorder="1"/>
    <xf numFmtId="10" fontId="4" fillId="0" borderId="9" xfId="0" applyNumberFormat="1" applyFont="1" applyBorder="1"/>
    <xf numFmtId="0" fontId="4" fillId="0" borderId="0" xfId="0" applyFont="1" applyAlignment="1">
      <alignment vertical="center"/>
    </xf>
    <xf numFmtId="0" fontId="3" fillId="0" borderId="15" xfId="0" applyFont="1" applyBorder="1" applyAlignment="1">
      <alignment horizontal="center"/>
    </xf>
    <xf numFmtId="0" fontId="6" fillId="0" borderId="13" xfId="7" applyFont="1" applyFill="1">
      <alignment horizontal="right"/>
    </xf>
    <xf numFmtId="0" fontId="6" fillId="0" borderId="15" xfId="7" applyFont="1" applyFill="1" applyBorder="1">
      <alignment horizontal="right"/>
    </xf>
    <xf numFmtId="165" fontId="10" fillId="0" borderId="15" xfId="8" applyFill="1" applyBorder="1">
      <alignment horizontal="right"/>
    </xf>
    <xf numFmtId="0" fontId="16" fillId="0" borderId="15" xfId="0" applyFont="1" applyBorder="1"/>
    <xf numFmtId="165" fontId="9" fillId="0" borderId="15" xfId="9" applyFill="1" applyBorder="1">
      <alignment horizontal="right"/>
    </xf>
    <xf numFmtId="165" fontId="17" fillId="0" borderId="15" xfId="10" applyFill="1" applyBorder="1">
      <alignment horizontal="right"/>
    </xf>
    <xf numFmtId="4" fontId="10" fillId="0" borderId="15" xfId="6" applyFill="1" applyBorder="1">
      <alignment horizontal="right"/>
    </xf>
    <xf numFmtId="166" fontId="9" fillId="0" borderId="15" xfId="5" applyNumberFormat="1" applyFill="1" applyBorder="1">
      <alignment horizontal="right"/>
    </xf>
    <xf numFmtId="4" fontId="9" fillId="3" borderId="15" xfId="5" applyBorder="1">
      <alignment horizontal="right"/>
    </xf>
    <xf numFmtId="0" fontId="7" fillId="0" borderId="0" xfId="0" applyFont="1" applyAlignment="1">
      <alignment vertical="center"/>
    </xf>
    <xf numFmtId="165" fontId="3" fillId="0" borderId="15" xfId="0" applyNumberFormat="1" applyFont="1" applyBorder="1"/>
    <xf numFmtId="167" fontId="4" fillId="0" borderId="0" xfId="1" applyNumberFormat="1" applyFont="1"/>
    <xf numFmtId="165" fontId="10" fillId="0" borderId="12" xfId="8" applyFill="1">
      <alignment horizontal="right"/>
    </xf>
    <xf numFmtId="0" fontId="18" fillId="0" borderId="11" xfId="0" applyFont="1" applyBorder="1" applyAlignment="1">
      <alignment horizontal="right"/>
    </xf>
    <xf numFmtId="0" fontId="18" fillId="0" borderId="5" xfId="0" applyFont="1" applyBorder="1" applyAlignment="1">
      <alignment horizontal="right"/>
    </xf>
    <xf numFmtId="0" fontId="3" fillId="0" borderId="8" xfId="0" applyFont="1" applyBorder="1"/>
    <xf numFmtId="0" fontId="18" fillId="0" borderId="14" xfId="0" applyFont="1" applyBorder="1" applyAlignment="1">
      <alignment horizontal="right"/>
    </xf>
    <xf numFmtId="0" fontId="18" fillId="0" borderId="9" xfId="0" applyFont="1" applyBorder="1" applyAlignment="1">
      <alignment horizontal="right"/>
    </xf>
    <xf numFmtId="4" fontId="4" fillId="0" borderId="0" xfId="0" applyNumberFormat="1" applyFont="1"/>
    <xf numFmtId="4" fontId="4" fillId="0" borderId="7" xfId="0" applyNumberFormat="1" applyFont="1" applyBorder="1"/>
    <xf numFmtId="2" fontId="4" fillId="0" borderId="0" xfId="0" applyNumberFormat="1" applyFont="1"/>
    <xf numFmtId="0" fontId="4" fillId="0" borderId="7" xfId="0" applyFont="1" applyBorder="1"/>
    <xf numFmtId="0" fontId="3" fillId="0" borderId="6" xfId="0" applyFont="1" applyBorder="1"/>
    <xf numFmtId="0" fontId="4" fillId="0" borderId="11" xfId="0" applyFont="1" applyBorder="1"/>
    <xf numFmtId="0" fontId="4" fillId="0" borderId="5" xfId="0" applyFont="1" applyBorder="1"/>
    <xf numFmtId="3" fontId="4" fillId="0" borderId="0" xfId="0" applyNumberFormat="1" applyFont="1"/>
    <xf numFmtId="0" fontId="4" fillId="0" borderId="14" xfId="0" applyFont="1" applyBorder="1"/>
    <xf numFmtId="2" fontId="4" fillId="0" borderId="14" xfId="0" applyNumberFormat="1" applyFont="1" applyBorder="1"/>
    <xf numFmtId="0" fontId="4" fillId="0" borderId="9" xfId="0" applyFont="1" applyBorder="1"/>
    <xf numFmtId="0" fontId="19" fillId="4" borderId="0" xfId="0" applyFont="1" applyFill="1"/>
    <xf numFmtId="0" fontId="0" fillId="4" borderId="0" xfId="0" applyFill="1"/>
    <xf numFmtId="0" fontId="20" fillId="0" borderId="0" xfId="0" applyFont="1"/>
    <xf numFmtId="0" fontId="21" fillId="5" borderId="16" xfId="0" applyFont="1" applyFill="1" applyBorder="1" applyAlignment="1">
      <alignment horizontal="center" vertical="center" wrapText="1"/>
    </xf>
    <xf numFmtId="0" fontId="0" fillId="0" borderId="16" xfId="0" applyBorder="1"/>
    <xf numFmtId="10" fontId="0" fillId="0" borderId="16" xfId="0" applyNumberFormat="1" applyBorder="1"/>
    <xf numFmtId="0" fontId="22" fillId="0" borderId="0" xfId="0" applyFont="1" applyAlignment="1">
      <alignment vertical="top" wrapText="1"/>
    </xf>
    <xf numFmtId="0" fontId="3" fillId="0" borderId="0" xfId="4" applyFont="1" applyFill="1" applyBorder="1" applyAlignment="1">
      <alignment horizontal="center"/>
    </xf>
    <xf numFmtId="0" fontId="4" fillId="0" borderId="0" xfId="0" applyFont="1"/>
    <xf numFmtId="2" fontId="3" fillId="0" borderId="0" xfId="2" applyNumberFormat="1" applyFont="1" applyFill="1" applyBorder="1" applyAlignment="1">
      <alignment horizontal="center" vertical="center" readingOrder="1"/>
    </xf>
    <xf numFmtId="2" fontId="12" fillId="0" borderId="0" xfId="0" applyNumberFormat="1" applyFont="1" applyAlignment="1">
      <alignment horizontal="center" vertical="center" readingOrder="1"/>
    </xf>
    <xf numFmtId="0" fontId="11" fillId="0" borderId="0" xfId="0" applyFont="1" applyAlignment="1">
      <alignment horizontal="left" wrapText="1"/>
    </xf>
    <xf numFmtId="0" fontId="0" fillId="0" borderId="0" xfId="0" applyBorder="1"/>
    <xf numFmtId="0" fontId="0" fillId="0" borderId="15" xfId="0" applyBorder="1"/>
    <xf numFmtId="0" fontId="0" fillId="0" borderId="15" xfId="0" applyFont="1" applyBorder="1"/>
    <xf numFmtId="0" fontId="0" fillId="0" borderId="15" xfId="0" applyFont="1" applyFill="1" applyBorder="1"/>
    <xf numFmtId="0" fontId="0" fillId="0" borderId="13" xfId="0" applyFont="1" applyFill="1" applyBorder="1"/>
    <xf numFmtId="0" fontId="0" fillId="0" borderId="0" xfId="0" applyFont="1" applyFill="1" applyBorder="1"/>
    <xf numFmtId="0" fontId="26" fillId="0" borderId="0" xfId="0" applyFont="1" applyFill="1" applyBorder="1"/>
    <xf numFmtId="0" fontId="0" fillId="0" borderId="0" xfId="0" applyFont="1" applyFill="1" applyBorder="1"/>
    <xf numFmtId="0" fontId="29" fillId="0" borderId="0" xfId="0" applyFont="1" applyFill="1" applyBorder="1" applyAlignment="1">
      <alignment vertical="top" wrapText="1"/>
    </xf>
    <xf numFmtId="0" fontId="0" fillId="0" borderId="0" xfId="0" applyFont="1" applyFill="1" applyBorder="1" applyAlignment="1">
      <alignment vertical="top" wrapText="1"/>
    </xf>
    <xf numFmtId="0" fontId="28" fillId="0" borderId="0" xfId="0" applyFont="1" applyFill="1" applyBorder="1" applyAlignment="1">
      <alignment vertical="top" wrapText="1"/>
    </xf>
    <xf numFmtId="0" fontId="0" fillId="0" borderId="3" xfId="0" applyBorder="1"/>
    <xf numFmtId="0" fontId="29" fillId="0" borderId="0" xfId="0" applyFont="1" applyFill="1" applyBorder="1"/>
    <xf numFmtId="10" fontId="0" fillId="0" borderId="0" xfId="0" applyNumberFormat="1" applyFont="1" applyFill="1" applyBorder="1"/>
    <xf numFmtId="0" fontId="33" fillId="0" borderId="0" xfId="0" applyFont="1" applyFill="1" applyBorder="1" applyAlignment="1">
      <alignment vertical="top" wrapText="1"/>
    </xf>
    <xf numFmtId="10" fontId="0" fillId="6" borderId="0" xfId="0" applyNumberFormat="1" applyFill="1" applyBorder="1"/>
    <xf numFmtId="10" fontId="23" fillId="7" borderId="0" xfId="0" applyNumberFormat="1" applyFont="1" applyFill="1" applyBorder="1"/>
    <xf numFmtId="10" fontId="0" fillId="0" borderId="0" xfId="0" applyNumberFormat="1" applyBorder="1"/>
    <xf numFmtId="0" fontId="0" fillId="6" borderId="0" xfId="0" applyFill="1" applyBorder="1"/>
    <xf numFmtId="0" fontId="29" fillId="0" borderId="0" xfId="0" applyFont="1" applyFill="1" applyBorder="1" applyAlignment="1">
      <alignment horizontal="center" vertical="center" wrapText="1"/>
    </xf>
    <xf numFmtId="0" fontId="0" fillId="0" borderId="13" xfId="0" applyBorder="1"/>
    <xf numFmtId="4" fontId="23" fillId="7" borderId="0" xfId="0" applyNumberFormat="1" applyFont="1" applyFill="1" applyBorder="1"/>
    <xf numFmtId="4" fontId="0" fillId="0" borderId="0" xfId="0" applyNumberFormat="1" applyBorder="1"/>
    <xf numFmtId="0" fontId="0" fillId="0" borderId="3" xfId="0" applyFont="1" applyFill="1" applyBorder="1"/>
    <xf numFmtId="0" fontId="30" fillId="0" borderId="0" xfId="0" applyFont="1" applyFill="1" applyBorder="1"/>
    <xf numFmtId="4" fontId="0" fillId="0" borderId="0" xfId="0" applyNumberFormat="1" applyFont="1" applyFill="1" applyBorder="1"/>
    <xf numFmtId="10" fontId="24" fillId="7" borderId="0" xfId="0" applyNumberFormat="1" applyFont="1" applyFill="1" applyBorder="1"/>
    <xf numFmtId="4" fontId="0" fillId="6" borderId="0" xfId="0" applyNumberFormat="1" applyFill="1" applyBorder="1"/>
    <xf numFmtId="0" fontId="0" fillId="0" borderId="3" xfId="0" applyFont="1" applyBorder="1"/>
    <xf numFmtId="0" fontId="0" fillId="0" borderId="10" xfId="0" applyFont="1" applyBorder="1"/>
    <xf numFmtId="0" fontId="25" fillId="0" borderId="0" xfId="0" applyFont="1" applyFill="1" applyBorder="1"/>
    <xf numFmtId="0" fontId="0" fillId="0" borderId="0" xfId="0" applyFont="1" applyBorder="1"/>
    <xf numFmtId="0" fontId="25" fillId="0" borderId="0" xfId="0" applyFont="1" applyFill="1" applyBorder="1" applyAlignment="1">
      <alignment horizontal="center" vertical="center" wrapText="1"/>
    </xf>
    <xf numFmtId="10" fontId="31" fillId="7" borderId="0" xfId="0" applyNumberFormat="1" applyFont="1" applyFill="1" applyBorder="1"/>
    <xf numFmtId="0" fontId="32" fillId="0" borderId="0" xfId="0" applyFont="1" applyFill="1" applyBorder="1"/>
    <xf numFmtId="0" fontId="0" fillId="0" borderId="0" xfId="0" applyFont="1" applyBorder="1" applyAlignment="1">
      <alignment vertical="top" wrapText="1"/>
    </xf>
    <xf numFmtId="0" fontId="0" fillId="0" borderId="0" xfId="0" applyFont="1" applyBorder="1"/>
    <xf numFmtId="0" fontId="26" fillId="0" borderId="0" xfId="0" applyFont="1" applyFill="1" applyBorder="1"/>
    <xf numFmtId="0" fontId="27" fillId="0" borderId="0" xfId="0" applyFont="1" applyFill="1" applyBorder="1" applyAlignment="1">
      <alignment vertical="top" wrapText="1"/>
    </xf>
    <xf numFmtId="0" fontId="0" fillId="0" borderId="8" xfId="0" applyFont="1" applyFill="1" applyBorder="1"/>
    <xf numFmtId="0" fontId="29" fillId="0" borderId="14" xfId="0" applyFont="1" applyFill="1" applyBorder="1" applyAlignment="1">
      <alignment vertical="top" wrapText="1"/>
    </xf>
    <xf numFmtId="0" fontId="0" fillId="0" borderId="14" xfId="0" applyFont="1" applyFill="1" applyBorder="1" applyAlignment="1">
      <alignment vertical="top" wrapText="1"/>
    </xf>
    <xf numFmtId="0" fontId="0" fillId="0" borderId="14" xfId="0" applyFont="1" applyFill="1" applyBorder="1"/>
    <xf numFmtId="0" fontId="0" fillId="0" borderId="5" xfId="0" applyFont="1" applyFill="1" applyBorder="1"/>
    <xf numFmtId="0" fontId="0" fillId="0" borderId="10" xfId="0" applyFont="1" applyFill="1" applyBorder="1"/>
    <xf numFmtId="0" fontId="0" fillId="0" borderId="7" xfId="0" applyFont="1" applyFill="1" applyBorder="1"/>
    <xf numFmtId="0" fontId="0" fillId="0" borderId="12" xfId="0" applyFont="1" applyFill="1" applyBorder="1"/>
  </cellXfs>
  <cellStyles count="11">
    <cellStyle name="blp_title_header_row_left" xfId="2" xr:uid="{00000000-0005-0000-0000-000002000000}"/>
    <cellStyle name="fa_column_header_bottom" xfId="7" xr:uid="{00000000-0005-0000-0000-000007000000}"/>
    <cellStyle name="fa_column_header_top_left" xfId="4" xr:uid="{00000000-0005-0000-0000-000004000000}"/>
    <cellStyle name="fa_data_bold_1_grouped" xfId="8" xr:uid="{00000000-0005-0000-0000-000008000000}"/>
    <cellStyle name="fa_data_bold_2_grouped" xfId="6" xr:uid="{00000000-0005-0000-0000-000006000000}"/>
    <cellStyle name="fa_data_italic_1_grouped" xfId="10" xr:uid="{00000000-0005-0000-0000-00000A000000}"/>
    <cellStyle name="fa_data_standard_1_grouped" xfId="9" xr:uid="{00000000-0005-0000-0000-000009000000}"/>
    <cellStyle name="fa_data_standard_2_grouped" xfId="5" xr:uid="{00000000-0005-0000-0000-000005000000}"/>
    <cellStyle name="Normal" xfId="0" builtinId="0"/>
    <cellStyle name="Normal 2 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minos%20Pizza_weighted%20averge%20cost%20of%20capital_main%20case-Excel%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Exhibit TN-1 - WACC 2020"/>
      <sheetName val="Worksheet - Intensive Subject"/>
      <sheetName val="Exhibit 1 - Common Stock Data"/>
      <sheetName val="Exhibit 2 - Financial Ratios"/>
      <sheetName val="Exhibit 3 - Debt "/>
      <sheetName val="Exhibit 4 Treasury Bond Yield "/>
      <sheetName val="Exhibit 5 - Aggregate Aus Corp"/>
      <sheetName val="Exhibit 6 - Income Statement"/>
      <sheetName val="Exhibit 7 - Balance Sheet"/>
      <sheetName val="Exhibit 8 - Peer Fir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C7">
            <v>701.67499999999995</v>
          </cell>
          <cell r="D7">
            <v>928.72799999999995</v>
          </cell>
          <cell r="E7">
            <v>1071.338</v>
          </cell>
          <cell r="F7">
            <v>1150.202</v>
          </cell>
          <cell r="G7">
            <v>1430.4939999999999</v>
          </cell>
          <cell r="H7">
            <v>1900.9639999999999</v>
          </cell>
        </row>
        <row r="28">
          <cell r="C28">
            <v>64.048000000000002</v>
          </cell>
          <cell r="D28">
            <v>82.427000000000007</v>
          </cell>
          <cell r="E28">
            <v>102.857</v>
          </cell>
          <cell r="F28">
            <v>121.46599999999999</v>
          </cell>
          <cell r="G28">
            <v>115.91200000000001</v>
          </cell>
          <cell r="H28">
            <v>138.483</v>
          </cell>
        </row>
      </sheetData>
      <sheetData sheetId="9">
        <row r="18">
          <cell r="C18">
            <v>630.6</v>
          </cell>
          <cell r="D18">
            <v>1128.0320000000002</v>
          </cell>
          <cell r="E18">
            <v>1132.7929999999999</v>
          </cell>
          <cell r="F18">
            <v>1302.4109999999998</v>
          </cell>
          <cell r="G18">
            <v>1438.413</v>
          </cell>
          <cell r="H18">
            <v>2471.105</v>
          </cell>
        </row>
        <row r="32">
          <cell r="C32">
            <v>305.05599999999998</v>
          </cell>
          <cell r="D32">
            <v>394.54500000000002</v>
          </cell>
          <cell r="E32">
            <v>415.06400000000002</v>
          </cell>
          <cell r="F32">
            <v>307.66399999999999</v>
          </cell>
          <cell r="G32">
            <v>346.00700000000001</v>
          </cell>
          <cell r="H32">
            <v>393.37299999999999</v>
          </cell>
        </row>
      </sheetData>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27"/>
  <sheetViews>
    <sheetView workbookViewId="0"/>
  </sheetViews>
  <sheetFormatPr defaultColWidth="12.54296875" defaultRowHeight="12.5" x14ac:dyDescent="0.25"/>
  <cols>
    <col min="1" max="1" width="3.81640625" style="3" customWidth="1"/>
    <col min="2" max="2" width="6.7265625" style="3" customWidth="1"/>
    <col min="3" max="3" width="11.54296875" style="3" customWidth="1"/>
    <col min="4" max="4" width="9.26953125" style="3" customWidth="1"/>
    <col min="5" max="5" width="8.1796875" style="3" customWidth="1"/>
    <col min="6" max="6" width="8.453125" style="3" customWidth="1"/>
    <col min="7" max="7" width="9.54296875" style="3" customWidth="1"/>
    <col min="8" max="8" width="13.54296875" style="3" customWidth="1"/>
    <col min="9" max="9" width="12.54296875" style="3" customWidth="1"/>
    <col min="10" max="10" width="9.7265625" style="3" customWidth="1"/>
    <col min="11" max="11" width="12.54296875" style="3" customWidth="1"/>
    <col min="12" max="16384" width="12.54296875" style="3"/>
  </cols>
  <sheetData>
    <row r="2" spans="2:10" ht="13" x14ac:dyDescent="0.25">
      <c r="B2" s="109" t="s">
        <v>23</v>
      </c>
      <c r="C2" s="108"/>
      <c r="D2" s="108"/>
      <c r="E2" s="108"/>
      <c r="F2" s="108"/>
      <c r="G2" s="108"/>
      <c r="H2" s="108"/>
      <c r="I2" s="108"/>
      <c r="J2" s="108"/>
    </row>
    <row r="3" spans="2:10" ht="13" x14ac:dyDescent="0.3">
      <c r="B3" s="107" t="s">
        <v>24</v>
      </c>
      <c r="C3" s="108"/>
      <c r="D3" s="108"/>
      <c r="E3" s="108"/>
      <c r="F3" s="108"/>
      <c r="G3" s="108"/>
      <c r="H3" s="108"/>
      <c r="I3" s="108"/>
      <c r="J3" s="108"/>
    </row>
    <row r="4" spans="2:10" ht="13" x14ac:dyDescent="0.3">
      <c r="B4" s="7"/>
      <c r="C4" s="4"/>
      <c r="D4" s="4"/>
      <c r="E4" s="4"/>
      <c r="F4" s="4"/>
      <c r="G4" s="4"/>
    </row>
    <row r="5" spans="2:10" ht="13" x14ac:dyDescent="0.3">
      <c r="B5" s="8" t="s">
        <v>25</v>
      </c>
      <c r="C5" s="9" t="s">
        <v>26</v>
      </c>
      <c r="D5" s="10" t="s">
        <v>27</v>
      </c>
      <c r="E5" s="9" t="s">
        <v>28</v>
      </c>
      <c r="F5" s="9" t="s">
        <v>29</v>
      </c>
      <c r="G5" s="9" t="s">
        <v>29</v>
      </c>
      <c r="H5" s="9" t="s">
        <v>30</v>
      </c>
      <c r="I5" s="9" t="s">
        <v>31</v>
      </c>
      <c r="J5" s="11" t="s">
        <v>32</v>
      </c>
    </row>
    <row r="6" spans="2:10" ht="13" x14ac:dyDescent="0.3">
      <c r="B6" s="12"/>
      <c r="C6" s="13" t="s">
        <v>33</v>
      </c>
      <c r="D6" s="5" t="s">
        <v>34</v>
      </c>
      <c r="E6" s="13"/>
      <c r="F6" s="13" t="s">
        <v>35</v>
      </c>
      <c r="G6" s="13" t="s">
        <v>36</v>
      </c>
      <c r="H6" s="13" t="s">
        <v>37</v>
      </c>
      <c r="I6" s="13" t="s">
        <v>38</v>
      </c>
      <c r="J6" s="14" t="s">
        <v>39</v>
      </c>
    </row>
    <row r="7" spans="2:10" ht="13" x14ac:dyDescent="0.3">
      <c r="B7" s="15"/>
      <c r="C7" s="16" t="s">
        <v>40</v>
      </c>
      <c r="D7" s="17" t="s">
        <v>41</v>
      </c>
      <c r="E7" s="16"/>
      <c r="F7" s="16" t="s">
        <v>42</v>
      </c>
      <c r="G7" s="16" t="s">
        <v>43</v>
      </c>
      <c r="H7" s="16" t="s">
        <v>44</v>
      </c>
      <c r="I7" s="16" t="s">
        <v>44</v>
      </c>
      <c r="J7" s="18" t="s">
        <v>42</v>
      </c>
    </row>
    <row r="8" spans="2:10" x14ac:dyDescent="0.25">
      <c r="B8" s="19">
        <v>2009</v>
      </c>
      <c r="C8" s="19">
        <v>69.709999999999994</v>
      </c>
      <c r="D8" s="20">
        <v>14.16</v>
      </c>
      <c r="E8" s="19">
        <v>0.23</v>
      </c>
      <c r="F8" s="4">
        <v>3.5</v>
      </c>
      <c r="G8" s="20">
        <v>0.12</v>
      </c>
      <c r="H8" s="20">
        <v>2.6242000000000001</v>
      </c>
      <c r="I8" s="20">
        <v>5.2678000000000003</v>
      </c>
      <c r="J8" s="20">
        <v>105.31</v>
      </c>
    </row>
    <row r="9" spans="2:10" x14ac:dyDescent="0.25">
      <c r="B9" s="21">
        <v>2010</v>
      </c>
      <c r="C9" s="21">
        <v>69.989999999999995</v>
      </c>
      <c r="D9" s="22">
        <v>20.84</v>
      </c>
      <c r="E9" s="21">
        <v>0.25</v>
      </c>
      <c r="F9" s="4">
        <v>2.56</v>
      </c>
      <c r="G9" s="22">
        <v>0.17</v>
      </c>
      <c r="H9" s="22">
        <v>5.2385999999999999</v>
      </c>
      <c r="I9" s="22">
        <v>6.1165000000000003</v>
      </c>
      <c r="J9" s="22">
        <v>20</v>
      </c>
    </row>
    <row r="10" spans="2:10" x14ac:dyDescent="0.25">
      <c r="B10" s="21">
        <v>2011</v>
      </c>
      <c r="C10" s="21">
        <v>70.12</v>
      </c>
      <c r="D10" s="22">
        <v>19.87</v>
      </c>
      <c r="E10" s="21">
        <v>0.28999999999999998</v>
      </c>
      <c r="F10" s="4">
        <v>3.57</v>
      </c>
      <c r="G10" s="22">
        <v>0.21</v>
      </c>
      <c r="H10" s="22">
        <v>6.1165000000000003</v>
      </c>
      <c r="I10" s="22">
        <v>7.7066999999999997</v>
      </c>
      <c r="J10" s="22">
        <v>29.43</v>
      </c>
    </row>
    <row r="11" spans="2:10" x14ac:dyDescent="0.25">
      <c r="B11" s="21">
        <v>2012</v>
      </c>
      <c r="C11" s="21">
        <v>71.650000000000006</v>
      </c>
      <c r="D11" s="22">
        <v>25.84</v>
      </c>
      <c r="E11" s="21">
        <v>0.37</v>
      </c>
      <c r="F11" s="4">
        <v>2.44</v>
      </c>
      <c r="G11" s="22">
        <v>0.26</v>
      </c>
      <c r="H11" s="22">
        <v>7.6090999999999998</v>
      </c>
      <c r="I11" s="22">
        <v>10.243</v>
      </c>
      <c r="J11" s="22">
        <v>38.03</v>
      </c>
    </row>
    <row r="12" spans="2:10" x14ac:dyDescent="0.25">
      <c r="B12" s="21">
        <v>2013</v>
      </c>
      <c r="C12" s="21">
        <v>71.95</v>
      </c>
      <c r="D12" s="22">
        <v>29.57</v>
      </c>
      <c r="E12" s="21">
        <v>0.43</v>
      </c>
      <c r="F12" s="4">
        <v>6.48</v>
      </c>
      <c r="G12" s="22">
        <v>0.3</v>
      </c>
      <c r="H12" s="22">
        <v>10.243</v>
      </c>
      <c r="I12" s="22">
        <v>16.170000000000002</v>
      </c>
      <c r="J12" s="22">
        <v>60.79</v>
      </c>
    </row>
    <row r="13" spans="2:10" x14ac:dyDescent="0.25">
      <c r="B13" s="21">
        <v>2014</v>
      </c>
      <c r="C13" s="21">
        <v>85.93</v>
      </c>
      <c r="D13" s="22">
        <v>43.21</v>
      </c>
      <c r="E13" s="21">
        <v>0.54</v>
      </c>
      <c r="F13" s="4">
        <v>1.52</v>
      </c>
      <c r="G13" s="22">
        <v>0.37</v>
      </c>
      <c r="H13" s="22">
        <v>16.399999999999999</v>
      </c>
      <c r="I13" s="22">
        <v>25.2</v>
      </c>
      <c r="J13" s="22">
        <v>55.91</v>
      </c>
    </row>
    <row r="14" spans="2:10" x14ac:dyDescent="0.25">
      <c r="B14" s="21">
        <v>2015</v>
      </c>
      <c r="C14" s="21">
        <v>86.56</v>
      </c>
      <c r="D14" s="22">
        <v>48.73</v>
      </c>
      <c r="E14" s="21">
        <v>0.72</v>
      </c>
      <c r="F14" s="4">
        <v>1.21</v>
      </c>
      <c r="G14" s="22">
        <v>0.52</v>
      </c>
      <c r="H14" s="22">
        <v>25.23</v>
      </c>
      <c r="I14" s="22">
        <v>57.75</v>
      </c>
      <c r="J14" s="22">
        <v>130.96</v>
      </c>
    </row>
    <row r="15" spans="2:10" x14ac:dyDescent="0.25">
      <c r="B15" s="21">
        <v>2016</v>
      </c>
      <c r="C15" s="21">
        <v>87.65</v>
      </c>
      <c r="D15" s="22">
        <v>72.900000000000006</v>
      </c>
      <c r="E15" s="21">
        <v>1.02</v>
      </c>
      <c r="F15" s="4">
        <v>0.9</v>
      </c>
      <c r="G15" s="22">
        <v>0.74</v>
      </c>
      <c r="H15" s="22">
        <v>57.67</v>
      </c>
      <c r="I15" s="22">
        <v>64.989999999999995</v>
      </c>
      <c r="J15" s="22">
        <v>13.98</v>
      </c>
    </row>
    <row r="16" spans="2:10" x14ac:dyDescent="0.25">
      <c r="B16" s="21">
        <v>2017</v>
      </c>
      <c r="C16" s="21">
        <v>88.87</v>
      </c>
      <c r="D16" s="22">
        <v>44.9</v>
      </c>
      <c r="E16" s="21">
        <v>1.37</v>
      </c>
      <c r="F16" s="4">
        <v>1.67</v>
      </c>
      <c r="G16" s="22">
        <v>0.93</v>
      </c>
      <c r="H16" s="22">
        <v>65.349999999999994</v>
      </c>
      <c r="I16" s="22">
        <v>46.7</v>
      </c>
      <c r="J16" s="22">
        <v>-27.12</v>
      </c>
    </row>
    <row r="17" spans="2:10" x14ac:dyDescent="0.25">
      <c r="B17" s="21">
        <v>2018</v>
      </c>
      <c r="C17" s="21">
        <v>85.37</v>
      </c>
      <c r="D17" s="22">
        <v>37.46</v>
      </c>
      <c r="E17" s="21">
        <v>1.57</v>
      </c>
      <c r="F17" s="4">
        <v>1.97</v>
      </c>
      <c r="G17" s="22">
        <v>1.08</v>
      </c>
      <c r="H17" s="22">
        <v>45.96</v>
      </c>
      <c r="I17" s="22">
        <v>40.65</v>
      </c>
      <c r="J17" s="22">
        <v>-9.1999999999999993</v>
      </c>
    </row>
    <row r="18" spans="2:10" x14ac:dyDescent="0.25">
      <c r="B18" s="21">
        <v>2019</v>
      </c>
      <c r="C18" s="21">
        <v>85.63</v>
      </c>
      <c r="D18" s="22">
        <v>27.78</v>
      </c>
      <c r="E18" s="21">
        <v>1.67</v>
      </c>
      <c r="F18" s="4">
        <v>2.99</v>
      </c>
      <c r="G18" s="22">
        <v>1.1599999999999999</v>
      </c>
      <c r="H18" s="22">
        <v>40.700000000000003</v>
      </c>
      <c r="I18" s="22">
        <v>52.36</v>
      </c>
      <c r="J18" s="22">
        <v>31.5</v>
      </c>
    </row>
    <row r="19" spans="2:10" x14ac:dyDescent="0.25">
      <c r="B19" s="23">
        <v>2020</v>
      </c>
      <c r="C19" s="24">
        <v>86.238290000000006</v>
      </c>
      <c r="D19" s="25">
        <v>42.131759000000002</v>
      </c>
      <c r="E19" s="24">
        <v>1.7130000000000001</v>
      </c>
      <c r="F19" s="23">
        <v>1.76</v>
      </c>
      <c r="G19" s="26">
        <v>1.72</v>
      </c>
      <c r="H19" s="26">
        <v>51.67</v>
      </c>
      <c r="I19" s="26">
        <v>84.73</v>
      </c>
      <c r="J19" s="26">
        <v>67.31</v>
      </c>
    </row>
    <row r="20" spans="2:10" x14ac:dyDescent="0.25">
      <c r="B20" s="4"/>
      <c r="C20" s="4"/>
      <c r="D20" s="27"/>
      <c r="E20" s="4"/>
      <c r="F20" s="28"/>
      <c r="G20" s="27"/>
      <c r="J20" s="29"/>
    </row>
    <row r="21" spans="2:10" x14ac:dyDescent="0.25">
      <c r="B21" s="30"/>
      <c r="C21" s="4"/>
      <c r="D21" s="27"/>
      <c r="E21" s="4"/>
      <c r="F21" s="28"/>
      <c r="G21" s="27"/>
      <c r="H21" s="30" t="s">
        <v>45</v>
      </c>
      <c r="I21" s="4"/>
      <c r="J21" s="31">
        <f>AVERAGE(J8:J19)</f>
        <v>43.07500000000001</v>
      </c>
    </row>
    <row r="22" spans="2:10" x14ac:dyDescent="0.25">
      <c r="B22" s="4"/>
      <c r="C22" s="4"/>
      <c r="D22" s="4"/>
      <c r="E22" s="4"/>
      <c r="F22" s="4"/>
      <c r="G22" s="4"/>
      <c r="H22" s="4"/>
      <c r="I22" s="4"/>
    </row>
    <row r="23" spans="2:10" s="6" customFormat="1" ht="13" x14ac:dyDescent="0.3">
      <c r="B23" s="32" t="s">
        <v>46</v>
      </c>
      <c r="C23" s="3"/>
      <c r="D23" s="4"/>
      <c r="E23" s="33"/>
      <c r="F23" s="33"/>
      <c r="G23" s="33"/>
      <c r="H23" s="33"/>
      <c r="I23" s="33"/>
    </row>
    <row r="24" spans="2:10" s="6" customFormat="1" ht="13" x14ac:dyDescent="0.3">
      <c r="B24" s="32" t="s">
        <v>47</v>
      </c>
      <c r="C24" s="3"/>
      <c r="D24" s="4"/>
      <c r="E24" s="33"/>
      <c r="F24" s="33"/>
      <c r="G24" s="33"/>
      <c r="H24" s="33"/>
      <c r="I24" s="33"/>
    </row>
    <row r="25" spans="2:10" s="6" customFormat="1" ht="13" x14ac:dyDescent="0.3">
      <c r="B25" s="34" t="s">
        <v>48</v>
      </c>
      <c r="D25" s="33"/>
      <c r="E25" s="33"/>
      <c r="F25" s="33"/>
      <c r="G25" s="33"/>
      <c r="H25" s="33"/>
      <c r="I25" s="33"/>
    </row>
    <row r="26" spans="2:10" x14ac:dyDescent="0.25">
      <c r="B26" s="34" t="s">
        <v>49</v>
      </c>
      <c r="C26" s="4"/>
      <c r="D26" s="4"/>
      <c r="E26" s="4"/>
      <c r="F26" s="4"/>
      <c r="G26" s="4"/>
      <c r="H26" s="4"/>
      <c r="I26" s="4"/>
    </row>
    <row r="27" spans="2:10" x14ac:dyDescent="0.25">
      <c r="B27" s="34" t="s">
        <v>50</v>
      </c>
      <c r="C27" s="4"/>
      <c r="D27" s="4"/>
      <c r="E27" s="4"/>
      <c r="F27" s="4"/>
      <c r="G27" s="4"/>
      <c r="H27" s="4"/>
      <c r="I27" s="4"/>
    </row>
  </sheetData>
  <mergeCells count="2">
    <mergeCell ref="B3:J3"/>
    <mergeCell ref="B2: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39"/>
  <sheetViews>
    <sheetView workbookViewId="0">
      <selection activeCell="K19" sqref="K19"/>
    </sheetView>
  </sheetViews>
  <sheetFormatPr defaultColWidth="12.54296875" defaultRowHeight="12.5" x14ac:dyDescent="0.25"/>
  <cols>
    <col min="1" max="1" width="3.81640625" style="3" customWidth="1"/>
    <col min="2" max="2" width="21" style="3" customWidth="1"/>
    <col min="3" max="8" width="8.453125" style="3" customWidth="1"/>
    <col min="9" max="9" width="12.54296875" style="3" customWidth="1"/>
    <col min="10" max="16384" width="12.54296875" style="3"/>
  </cols>
  <sheetData>
    <row r="2" spans="2:8" ht="13" x14ac:dyDescent="0.25">
      <c r="B2" s="110" t="s">
        <v>51</v>
      </c>
      <c r="C2" s="108"/>
      <c r="D2" s="108"/>
      <c r="E2" s="108"/>
      <c r="F2" s="108"/>
      <c r="G2" s="108"/>
      <c r="H2" s="108"/>
    </row>
    <row r="3" spans="2:8" ht="13" x14ac:dyDescent="0.3">
      <c r="B3" s="7"/>
    </row>
    <row r="4" spans="2:8" ht="13" x14ac:dyDescent="0.3">
      <c r="B4" s="35"/>
      <c r="C4" s="36" t="s">
        <v>52</v>
      </c>
      <c r="D4" s="36" t="s">
        <v>53</v>
      </c>
      <c r="E4" s="36" t="s">
        <v>54</v>
      </c>
      <c r="F4" s="36" t="s">
        <v>55</v>
      </c>
      <c r="G4" s="36" t="s">
        <v>56</v>
      </c>
      <c r="H4" s="37" t="s">
        <v>57</v>
      </c>
    </row>
    <row r="5" spans="2:8" ht="13" x14ac:dyDescent="0.3">
      <c r="B5" s="35" t="s">
        <v>58</v>
      </c>
      <c r="C5" s="36"/>
      <c r="D5" s="36"/>
      <c r="E5" s="36"/>
      <c r="F5" s="36"/>
      <c r="G5" s="36"/>
      <c r="H5" s="36"/>
    </row>
    <row r="6" spans="2:8" x14ac:dyDescent="0.25">
      <c r="B6" s="38" t="s">
        <v>59</v>
      </c>
      <c r="C6" s="39">
        <f t="shared" ref="C6:H6" si="0">C27</f>
        <v>0.10767913970427904</v>
      </c>
      <c r="D6" s="39">
        <f t="shared" si="0"/>
        <v>9.3739935522564224E-2</v>
      </c>
      <c r="E6" s="39">
        <f t="shared" si="0"/>
        <v>9.0990701381823483E-2</v>
      </c>
      <c r="F6" s="39">
        <f t="shared" si="0"/>
        <v>9.9758346420889529E-2</v>
      </c>
      <c r="G6" s="39">
        <f t="shared" si="0"/>
        <v>8.4581839493210048E-2</v>
      </c>
      <c r="H6" s="39">
        <f t="shared" si="0"/>
        <v>6.5563945450834424E-2</v>
      </c>
    </row>
    <row r="7" spans="2:8" x14ac:dyDescent="0.25">
      <c r="B7" s="38" t="s">
        <v>60</v>
      </c>
      <c r="C7" s="39">
        <f t="shared" ref="C7:H7" si="1">C31</f>
        <v>0.22259016540411716</v>
      </c>
      <c r="D7" s="39">
        <f t="shared" si="1"/>
        <v>0.26800909135178291</v>
      </c>
      <c r="E7" s="39">
        <f t="shared" si="1"/>
        <v>0.24833189481723292</v>
      </c>
      <c r="F7" s="39">
        <f t="shared" si="1"/>
        <v>0.42229954664951747</v>
      </c>
      <c r="G7" s="39">
        <f t="shared" si="1"/>
        <v>0.35162183854935519</v>
      </c>
      <c r="H7" s="39">
        <f t="shared" si="1"/>
        <v>0.41186200736523404</v>
      </c>
    </row>
    <row r="8" spans="2:8" x14ac:dyDescent="0.25">
      <c r="B8" s="40"/>
      <c r="C8" s="41"/>
      <c r="D8" s="41"/>
      <c r="E8" s="41"/>
      <c r="F8" s="41"/>
      <c r="G8" s="41"/>
      <c r="H8" s="41"/>
    </row>
    <row r="9" spans="2:8" ht="13" x14ac:dyDescent="0.3">
      <c r="B9" s="35" t="s">
        <v>61</v>
      </c>
      <c r="C9" s="36"/>
      <c r="D9" s="36"/>
      <c r="E9" s="36"/>
      <c r="F9" s="36"/>
      <c r="G9" s="36"/>
      <c r="H9" s="36"/>
    </row>
    <row r="10" spans="2:8" x14ac:dyDescent="0.25">
      <c r="B10" s="38" t="s">
        <v>62</v>
      </c>
      <c r="C10" s="39">
        <f>1810.083%/100</f>
        <v>0.18100830000000001</v>
      </c>
      <c r="D10" s="39">
        <f>1784.7529%/100</f>
        <v>0.17847528999999998</v>
      </c>
      <c r="E10" s="39">
        <f>1873.8531%/100</f>
        <v>0.18738531000000003</v>
      </c>
      <c r="F10" s="39">
        <f>2039.1114%/100</f>
        <v>0.20391114000000002</v>
      </c>
      <c r="G10" s="39">
        <f>1616.8261%/100</f>
        <v>0.16168261</v>
      </c>
      <c r="H10" s="39">
        <v>0.17879999999999999</v>
      </c>
    </row>
    <row r="11" spans="2:8" x14ac:dyDescent="0.25">
      <c r="B11" s="38" t="s">
        <v>63</v>
      </c>
      <c r="C11" s="39">
        <f>1429.3084%/100</f>
        <v>0.14293083999999998</v>
      </c>
      <c r="D11" s="39">
        <f>1390.2456%/100</f>
        <v>0.13902455999999999</v>
      </c>
      <c r="E11" s="39">
        <f>1448.0117%/100</f>
        <v>0.14480117000000001</v>
      </c>
      <c r="F11" s="39">
        <f>1596.3718%/100</f>
        <v>0.15963717999999999</v>
      </c>
      <c r="G11" s="39">
        <f>1204.514%/100</f>
        <v>0.12045139999999999</v>
      </c>
      <c r="H11" s="39">
        <v>0.11310000000000001</v>
      </c>
    </row>
    <row r="12" spans="2:8" x14ac:dyDescent="0.25">
      <c r="B12" s="38" t="s">
        <v>64</v>
      </c>
      <c r="C12" s="42">
        <f>'[1]Exhibit 6 - Income Statement'!C28/'[1]Exhibit 6 - Income Statement'!C7</f>
        <v>9.1278725905868108E-2</v>
      </c>
      <c r="D12" s="42">
        <f>'[1]Exhibit 6 - Income Statement'!D28/'[1]Exhibit 6 - Income Statement'!D7</f>
        <v>8.8752573412236968E-2</v>
      </c>
      <c r="E12" s="42">
        <f>'[1]Exhibit 6 - Income Statement'!E28/'[1]Exhibit 6 - Income Statement'!E7</f>
        <v>9.6007982541457509E-2</v>
      </c>
      <c r="F12" s="42">
        <f>'[1]Exhibit 6 - Income Statement'!F28/'[1]Exhibit 6 - Income Statement'!F7</f>
        <v>0.10560405911309491</v>
      </c>
      <c r="G12" s="42">
        <f>'[1]Exhibit 6 - Income Statement'!G28/'[1]Exhibit 6 - Income Statement'!G7</f>
        <v>8.1029350699828182E-2</v>
      </c>
      <c r="H12" s="42">
        <f>'[1]Exhibit 6 - Income Statement'!H28/'[1]Exhibit 6 - Income Statement'!H7</f>
        <v>7.2848828278704911E-2</v>
      </c>
    </row>
    <row r="13" spans="2:8" x14ac:dyDescent="0.25">
      <c r="B13" s="40"/>
      <c r="C13" s="41"/>
      <c r="D13" s="41"/>
      <c r="E13" s="41"/>
      <c r="F13" s="41"/>
      <c r="G13" s="41"/>
      <c r="H13" s="41"/>
    </row>
    <row r="14" spans="2:8" ht="13" x14ac:dyDescent="0.3">
      <c r="B14" s="35" t="s">
        <v>65</v>
      </c>
      <c r="C14" s="36"/>
      <c r="D14" s="36"/>
      <c r="E14" s="36"/>
      <c r="F14" s="36"/>
      <c r="G14" s="36"/>
      <c r="H14" s="36"/>
    </row>
    <row r="15" spans="2:8" x14ac:dyDescent="0.25">
      <c r="B15" s="38" t="s">
        <v>66</v>
      </c>
      <c r="C15" s="43">
        <v>0.88878299999999999</v>
      </c>
      <c r="D15" s="43">
        <v>0.69196199999999997</v>
      </c>
      <c r="E15" s="43">
        <v>0.81611199999999995</v>
      </c>
      <c r="F15" s="43">
        <v>1.142028</v>
      </c>
      <c r="G15" s="43">
        <v>1.0764180000000001</v>
      </c>
      <c r="H15" s="43">
        <v>0.97</v>
      </c>
    </row>
    <row r="16" spans="2:8" x14ac:dyDescent="0.25">
      <c r="B16" s="38" t="s">
        <v>67</v>
      </c>
      <c r="C16" s="43">
        <v>0.62946999999999997</v>
      </c>
      <c r="D16" s="43">
        <v>0.46938200000000002</v>
      </c>
      <c r="E16" s="43">
        <v>0.50785599999999997</v>
      </c>
      <c r="F16" s="43">
        <v>0.76477399999999995</v>
      </c>
      <c r="G16" s="43">
        <v>0.78112700000000002</v>
      </c>
      <c r="H16" s="43">
        <v>0.78</v>
      </c>
    </row>
    <row r="17" spans="2:8" x14ac:dyDescent="0.25">
      <c r="B17" s="40"/>
      <c r="C17" s="41"/>
      <c r="D17" s="41"/>
      <c r="E17" s="41"/>
      <c r="F17" s="41"/>
      <c r="G17" s="41"/>
      <c r="H17" s="41"/>
    </row>
    <row r="18" spans="2:8" ht="13" x14ac:dyDescent="0.3">
      <c r="B18" s="35" t="s">
        <v>68</v>
      </c>
      <c r="C18" s="36"/>
      <c r="D18" s="36"/>
      <c r="E18" s="36"/>
      <c r="F18" s="36"/>
      <c r="G18" s="36"/>
      <c r="H18" s="36"/>
    </row>
    <row r="19" spans="2:8" x14ac:dyDescent="0.25">
      <c r="B19" s="38" t="s">
        <v>69</v>
      </c>
      <c r="C19" s="44">
        <f>'[1]Exhibit 7 - Balance Sheet'!C18/'[1]Exhibit 7 - Balance Sheet'!C32</f>
        <v>2.0671614392111612</v>
      </c>
      <c r="D19" s="44">
        <f>'[1]Exhibit 7 - Balance Sheet'!D18/'[1]Exhibit 7 - Balance Sheet'!D32</f>
        <v>2.8590705749661005</v>
      </c>
      <c r="E19" s="44">
        <f>'[1]Exhibit 7 - Balance Sheet'!E18/'[1]Exhibit 7 - Balance Sheet'!E32</f>
        <v>2.7292007979492316</v>
      </c>
      <c r="F19" s="44">
        <f>'[1]Exhibit 7 - Balance Sheet'!F18/'[1]Exhibit 7 - Balance Sheet'!F32</f>
        <v>4.2332252067190179</v>
      </c>
      <c r="G19" s="44">
        <f>'[1]Exhibit 7 - Balance Sheet'!G18/'[1]Exhibit 7 - Balance Sheet'!G32</f>
        <v>4.157178901004893</v>
      </c>
      <c r="H19" s="44">
        <f>'[1]Exhibit 7 - Balance Sheet'!H18/'[1]Exhibit 7 - Balance Sheet'!H32</f>
        <v>6.2818368317093451</v>
      </c>
    </row>
    <row r="20" spans="2:8" x14ac:dyDescent="0.25">
      <c r="B20" s="38" t="s">
        <v>70</v>
      </c>
      <c r="C20" s="39">
        <f>19.79575/100</f>
        <v>0.19795750000000001</v>
      </c>
      <c r="D20" s="39">
        <f>28.52685/100</f>
        <v>0.28526849999999998</v>
      </c>
      <c r="E20" s="39">
        <f>29.064445/100</f>
        <v>0.29064445</v>
      </c>
      <c r="F20" s="39">
        <f>45.953159/100</f>
        <v>0.45953158999999999</v>
      </c>
      <c r="G20" s="39">
        <f>45.289427/100</f>
        <v>0.45289427000000004</v>
      </c>
      <c r="H20" s="39">
        <v>0.55859999999999999</v>
      </c>
    </row>
    <row r="21" spans="2:8" x14ac:dyDescent="0.25">
      <c r="B21" s="38"/>
      <c r="C21" s="41"/>
      <c r="D21" s="41"/>
      <c r="E21" s="41"/>
      <c r="F21" s="41"/>
      <c r="G21" s="41"/>
      <c r="H21" s="41"/>
    </row>
    <row r="22" spans="2:8" ht="13" x14ac:dyDescent="0.3">
      <c r="B22" s="35" t="s">
        <v>71</v>
      </c>
      <c r="C22" s="36"/>
      <c r="D22" s="36"/>
      <c r="E22" s="36"/>
      <c r="F22" s="36"/>
      <c r="G22" s="36"/>
      <c r="H22" s="36"/>
    </row>
    <row r="23" spans="2:8" x14ac:dyDescent="0.25">
      <c r="B23" s="38" t="s">
        <v>64</v>
      </c>
      <c r="C23" s="45">
        <f>'[1]Exhibit 6 - Income Statement'!C28/'[1]Exhibit 6 - Income Statement'!C7</f>
        <v>9.1278725905868108E-2</v>
      </c>
      <c r="D23" s="45">
        <f>'[1]Exhibit 6 - Income Statement'!D28/'[1]Exhibit 6 - Income Statement'!D7</f>
        <v>8.8752573412236968E-2</v>
      </c>
      <c r="E23" s="45">
        <f>'[1]Exhibit 6 - Income Statement'!E28/'[1]Exhibit 6 - Income Statement'!E7</f>
        <v>9.6007982541457509E-2</v>
      </c>
      <c r="F23" s="45">
        <f>'[1]Exhibit 6 - Income Statement'!F28/'[1]Exhibit 6 - Income Statement'!F7</f>
        <v>0.10560405911309491</v>
      </c>
      <c r="G23" s="45">
        <f>'[1]Exhibit 6 - Income Statement'!G28/'[1]Exhibit 6 - Income Statement'!G7</f>
        <v>8.1029350699828182E-2</v>
      </c>
      <c r="H23" s="45">
        <f>'[1]Exhibit 6 - Income Statement'!H28/'[1]Exhibit 6 - Income Statement'!H7</f>
        <v>7.2848828278704911E-2</v>
      </c>
    </row>
    <row r="24" spans="2:8" ht="13" x14ac:dyDescent="0.3">
      <c r="B24" s="46" t="s">
        <v>72</v>
      </c>
      <c r="C24" s="41"/>
      <c r="D24" s="41"/>
      <c r="E24" s="41"/>
      <c r="F24" s="41"/>
      <c r="G24" s="41"/>
      <c r="H24" s="41"/>
    </row>
    <row r="25" spans="2:8" x14ac:dyDescent="0.25">
      <c r="B25" s="38" t="s">
        <v>73</v>
      </c>
      <c r="C25" s="43">
        <v>1.1796739999999999</v>
      </c>
      <c r="D25" s="43">
        <v>1.0561940000000001</v>
      </c>
      <c r="E25" s="43">
        <v>0.94774099999999994</v>
      </c>
      <c r="F25" s="43">
        <v>0.94464499999999996</v>
      </c>
      <c r="G25" s="43">
        <v>1.0438419999999999</v>
      </c>
      <c r="H25" s="43">
        <v>0.9</v>
      </c>
    </row>
    <row r="26" spans="2:8" x14ac:dyDescent="0.25">
      <c r="B26" s="47" t="s">
        <v>74</v>
      </c>
      <c r="C26" s="41"/>
      <c r="D26" s="41"/>
      <c r="E26" s="41"/>
      <c r="F26" s="41"/>
      <c r="G26" s="41"/>
      <c r="H26" s="41"/>
    </row>
    <row r="27" spans="2:8" ht="13" x14ac:dyDescent="0.3">
      <c r="B27" s="48" t="s">
        <v>59</v>
      </c>
      <c r="C27" s="42">
        <f t="shared" ref="C27:H27" si="2">C23*C25</f>
        <v>0.10767913970427904</v>
      </c>
      <c r="D27" s="42">
        <f t="shared" si="2"/>
        <v>9.3739935522564224E-2</v>
      </c>
      <c r="E27" s="42">
        <f t="shared" si="2"/>
        <v>9.0990701381823483E-2</v>
      </c>
      <c r="F27" s="42">
        <f t="shared" si="2"/>
        <v>9.9758346420889529E-2</v>
      </c>
      <c r="G27" s="42">
        <f t="shared" si="2"/>
        <v>8.4581839493210048E-2</v>
      </c>
      <c r="H27" s="42">
        <f t="shared" si="2"/>
        <v>6.5563945450834424E-2</v>
      </c>
    </row>
    <row r="28" spans="2:8" ht="13" x14ac:dyDescent="0.3">
      <c r="B28" s="46" t="s">
        <v>72</v>
      </c>
      <c r="C28" s="41"/>
      <c r="D28" s="41"/>
      <c r="E28" s="41"/>
      <c r="F28" s="41"/>
      <c r="G28" s="41"/>
      <c r="H28" s="41"/>
    </row>
    <row r="29" spans="2:8" x14ac:dyDescent="0.25">
      <c r="B29" s="38" t="s">
        <v>75</v>
      </c>
      <c r="C29" s="49">
        <f t="shared" ref="C29:H29" si="3">C19</f>
        <v>2.0671614392111612</v>
      </c>
      <c r="D29" s="49">
        <f t="shared" si="3"/>
        <v>2.8590705749661005</v>
      </c>
      <c r="E29" s="49">
        <f t="shared" si="3"/>
        <v>2.7292007979492316</v>
      </c>
      <c r="F29" s="49">
        <f t="shared" si="3"/>
        <v>4.2332252067190179</v>
      </c>
      <c r="G29" s="49">
        <f t="shared" si="3"/>
        <v>4.157178901004893</v>
      </c>
      <c r="H29" s="49">
        <f t="shared" si="3"/>
        <v>6.2818368317093451</v>
      </c>
    </row>
    <row r="30" spans="2:8" x14ac:dyDescent="0.25">
      <c r="B30" s="47" t="s">
        <v>74</v>
      </c>
      <c r="C30" s="41"/>
      <c r="D30" s="41"/>
      <c r="E30" s="41"/>
      <c r="F30" s="41"/>
      <c r="G30" s="41"/>
      <c r="H30" s="41"/>
    </row>
    <row r="31" spans="2:8" ht="13" x14ac:dyDescent="0.3">
      <c r="B31" s="48" t="s">
        <v>60</v>
      </c>
      <c r="C31" s="39">
        <f t="shared" ref="C31:H31" si="4">C27*C29</f>
        <v>0.22259016540411716</v>
      </c>
      <c r="D31" s="39">
        <f t="shared" si="4"/>
        <v>0.26800909135178291</v>
      </c>
      <c r="E31" s="39">
        <f t="shared" si="4"/>
        <v>0.24833189481723292</v>
      </c>
      <c r="F31" s="39">
        <f t="shared" si="4"/>
        <v>0.42229954664951747</v>
      </c>
      <c r="G31" s="39">
        <f t="shared" si="4"/>
        <v>0.35162183854935519</v>
      </c>
      <c r="H31" s="39">
        <f t="shared" si="4"/>
        <v>0.41186200736523404</v>
      </c>
    </row>
    <row r="33" spans="2:2" x14ac:dyDescent="0.25">
      <c r="B33" s="32" t="s">
        <v>76</v>
      </c>
    </row>
    <row r="34" spans="2:2" x14ac:dyDescent="0.25">
      <c r="B34" s="32" t="s">
        <v>77</v>
      </c>
    </row>
    <row r="35" spans="2:2" x14ac:dyDescent="0.25">
      <c r="B35" s="32" t="s">
        <v>78</v>
      </c>
    </row>
    <row r="36" spans="2:2" x14ac:dyDescent="0.25">
      <c r="B36" s="34" t="s">
        <v>79</v>
      </c>
    </row>
    <row r="37" spans="2:2" x14ac:dyDescent="0.25">
      <c r="B37" s="34" t="s">
        <v>80</v>
      </c>
    </row>
    <row r="38" spans="2:2" x14ac:dyDescent="0.25">
      <c r="B38" s="34" t="s">
        <v>81</v>
      </c>
    </row>
    <row r="39" spans="2:2" x14ac:dyDescent="0.25">
      <c r="B39" s="32"/>
    </row>
  </sheetData>
  <mergeCells count="1">
    <mergeCell ref="B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K27"/>
  <sheetViews>
    <sheetView workbookViewId="0">
      <selection activeCell="C29" sqref="C29"/>
    </sheetView>
  </sheetViews>
  <sheetFormatPr defaultColWidth="12.54296875" defaultRowHeight="12.5" x14ac:dyDescent="0.25"/>
  <cols>
    <col min="1" max="1" width="3.26953125" style="3" customWidth="1"/>
    <col min="2" max="2" width="21.54296875" style="3" customWidth="1"/>
    <col min="3" max="3" width="11.81640625" style="3" customWidth="1"/>
    <col min="4" max="4" width="11.26953125" style="3" customWidth="1"/>
    <col min="5" max="5" width="9.81640625" style="3" customWidth="1"/>
    <col min="6" max="6" width="15.453125" style="3" customWidth="1"/>
    <col min="7" max="7" width="14.7265625" style="3" customWidth="1"/>
    <col min="8" max="8" width="12.54296875" style="3" customWidth="1"/>
    <col min="9" max="16384" width="12.54296875" style="3"/>
  </cols>
  <sheetData>
    <row r="2" spans="2:11" ht="13" x14ac:dyDescent="0.25">
      <c r="B2" s="109" t="s">
        <v>82</v>
      </c>
      <c r="C2" s="108"/>
      <c r="D2" s="108"/>
      <c r="E2" s="108"/>
      <c r="F2" s="108"/>
      <c r="G2" s="109"/>
      <c r="H2" s="108"/>
      <c r="I2" s="108"/>
      <c r="J2" s="108"/>
      <c r="K2" s="108"/>
    </row>
    <row r="3" spans="2:11" ht="13" x14ac:dyDescent="0.25">
      <c r="B3" s="109" t="s">
        <v>83</v>
      </c>
      <c r="C3" s="108"/>
      <c r="D3" s="108"/>
      <c r="E3" s="108"/>
      <c r="F3" s="108"/>
      <c r="G3" s="2"/>
      <c r="H3" s="2"/>
    </row>
    <row r="5" spans="2:11" s="4" customFormat="1" ht="51" customHeight="1" x14ac:dyDescent="0.25">
      <c r="B5" s="50" t="s">
        <v>84</v>
      </c>
      <c r="C5" s="51" t="s">
        <v>85</v>
      </c>
      <c r="D5" s="51" t="s">
        <v>86</v>
      </c>
      <c r="E5" s="51" t="s">
        <v>87</v>
      </c>
      <c r="F5" s="51" t="s">
        <v>88</v>
      </c>
      <c r="G5" s="51" t="s">
        <v>89</v>
      </c>
    </row>
    <row r="6" spans="2:11" x14ac:dyDescent="0.25">
      <c r="B6" s="52" t="s">
        <v>90</v>
      </c>
      <c r="C6" s="41" t="s">
        <v>91</v>
      </c>
      <c r="D6" s="53">
        <v>323618</v>
      </c>
      <c r="E6" s="54">
        <f t="shared" ref="E6:E16" si="0">(D6/$D$17)*100</f>
        <v>16.575037824427049</v>
      </c>
      <c r="F6" s="41" t="s">
        <v>91</v>
      </c>
      <c r="G6" s="41" t="s">
        <v>91</v>
      </c>
    </row>
    <row r="7" spans="2:11" x14ac:dyDescent="0.25">
      <c r="B7" s="52" t="s">
        <v>92</v>
      </c>
      <c r="C7" s="41" t="s">
        <v>91</v>
      </c>
      <c r="D7" s="53">
        <v>12269</v>
      </c>
      <c r="E7" s="54">
        <f t="shared" si="0"/>
        <v>0.62839254635989183</v>
      </c>
      <c r="F7" s="41" t="s">
        <v>91</v>
      </c>
      <c r="G7" s="41" t="s">
        <v>91</v>
      </c>
    </row>
    <row r="8" spans="2:11" x14ac:dyDescent="0.25">
      <c r="B8" s="52" t="s">
        <v>93</v>
      </c>
      <c r="C8" s="54">
        <v>1.81</v>
      </c>
      <c r="D8" s="53">
        <v>621263</v>
      </c>
      <c r="E8" s="54">
        <f t="shared" si="0"/>
        <v>31.819792854281971</v>
      </c>
      <c r="F8" s="55">
        <f>D8*100/($D$8+$D$9+$D$10+$D$16)</f>
        <v>42.099888323277007</v>
      </c>
      <c r="G8" s="55">
        <f>C8*F8/100</f>
        <v>0.76200797865131376</v>
      </c>
    </row>
    <row r="9" spans="2:11" x14ac:dyDescent="0.25">
      <c r="B9" s="52" t="s">
        <v>94</v>
      </c>
      <c r="C9" s="54">
        <v>0.77</v>
      </c>
      <c r="D9" s="53">
        <v>50195</v>
      </c>
      <c r="E9" s="54">
        <f t="shared" si="0"/>
        <v>2.5708830275111887</v>
      </c>
      <c r="F9" s="55">
        <f>D9*100/($D$8+$D$9+$D$10+$D$16)</f>
        <v>3.4014642661592425</v>
      </c>
      <c r="G9" s="55">
        <f>F9*C9/100</f>
        <v>2.6191274849426169E-2</v>
      </c>
    </row>
    <row r="10" spans="2:11" x14ac:dyDescent="0.25">
      <c r="B10" s="52" t="s">
        <v>95</v>
      </c>
      <c r="C10" s="54">
        <v>2.7</v>
      </c>
      <c r="D10" s="53">
        <v>35978</v>
      </c>
      <c r="E10" s="54">
        <f t="shared" si="0"/>
        <v>1.8427179911106195</v>
      </c>
      <c r="F10" s="55">
        <f>D10*100/($D$8+$D$9+$D$10+$D$16)</f>
        <v>2.4380492353397196</v>
      </c>
      <c r="G10" s="55">
        <f>F10*C10/100</f>
        <v>6.5827329354172431E-2</v>
      </c>
    </row>
    <row r="11" spans="2:11" x14ac:dyDescent="0.25">
      <c r="B11" s="52" t="s">
        <v>96</v>
      </c>
      <c r="C11" s="41" t="s">
        <v>91</v>
      </c>
      <c r="D11" s="53">
        <v>24690</v>
      </c>
      <c r="E11" s="54">
        <f t="shared" si="0"/>
        <v>1.2645702151459557</v>
      </c>
      <c r="F11" s="41" t="s">
        <v>91</v>
      </c>
      <c r="G11" s="41" t="s">
        <v>91</v>
      </c>
    </row>
    <row r="12" spans="2:11" x14ac:dyDescent="0.25">
      <c r="B12" s="52" t="s">
        <v>97</v>
      </c>
      <c r="C12" s="41" t="s">
        <v>91</v>
      </c>
      <c r="D12" s="53">
        <v>112980</v>
      </c>
      <c r="E12" s="54">
        <f t="shared" si="0"/>
        <v>5.7865995507164874</v>
      </c>
      <c r="F12" s="41" t="s">
        <v>91</v>
      </c>
      <c r="G12" s="41" t="s">
        <v>91</v>
      </c>
    </row>
    <row r="13" spans="2:11" x14ac:dyDescent="0.25">
      <c r="B13" s="52" t="s">
        <v>98</v>
      </c>
      <c r="C13" s="41" t="s">
        <v>91</v>
      </c>
      <c r="D13" s="53">
        <v>633</v>
      </c>
      <c r="E13" s="54">
        <f t="shared" si="0"/>
        <v>3.242093747215026E-2</v>
      </c>
      <c r="F13" s="41" t="s">
        <v>91</v>
      </c>
      <c r="G13" s="41" t="s">
        <v>91</v>
      </c>
    </row>
    <row r="14" spans="2:11" x14ac:dyDescent="0.25">
      <c r="B14" s="52" t="s">
        <v>99</v>
      </c>
      <c r="C14" s="41" t="s">
        <v>91</v>
      </c>
      <c r="D14" s="53">
        <v>1253</v>
      </c>
      <c r="E14" s="54">
        <f t="shared" si="0"/>
        <v>6.417604210522003E-2</v>
      </c>
      <c r="F14" s="41" t="s">
        <v>91</v>
      </c>
      <c r="G14" s="41" t="s">
        <v>91</v>
      </c>
    </row>
    <row r="15" spans="2:11" x14ac:dyDescent="0.25">
      <c r="B15" s="52" t="s">
        <v>100</v>
      </c>
      <c r="C15" s="41" t="s">
        <v>91</v>
      </c>
      <c r="D15" s="53">
        <v>1311</v>
      </c>
      <c r="E15" s="54">
        <f t="shared" si="0"/>
        <v>6.7146680925733004E-2</v>
      </c>
      <c r="F15" s="41" t="s">
        <v>91</v>
      </c>
      <c r="G15" s="41" t="s">
        <v>91</v>
      </c>
    </row>
    <row r="16" spans="2:11" x14ac:dyDescent="0.25">
      <c r="B16" s="52" t="s">
        <v>101</v>
      </c>
      <c r="C16" s="54">
        <v>0.97</v>
      </c>
      <c r="D16" s="53">
        <v>768252</v>
      </c>
      <c r="E16" s="54">
        <f t="shared" si="0"/>
        <v>39.348262329943736</v>
      </c>
      <c r="F16" s="55">
        <f>D16*100/($D$8+$D$9+$D$10+$D$16)</f>
        <v>52.06059817522403</v>
      </c>
      <c r="G16" s="55">
        <v>0</v>
      </c>
    </row>
    <row r="17" spans="2:7" ht="13" x14ac:dyDescent="0.3">
      <c r="B17" s="56" t="s">
        <v>102</v>
      </c>
      <c r="C17" s="56"/>
      <c r="D17" s="57">
        <f>SUM(D6:D16)</f>
        <v>1952442</v>
      </c>
      <c r="E17" s="57"/>
      <c r="F17" s="57"/>
      <c r="G17" s="58">
        <f>SUM(G8:G16)</f>
        <v>0.8540265828549124</v>
      </c>
    </row>
    <row r="19" spans="2:7" x14ac:dyDescent="0.25">
      <c r="B19" s="32" t="s">
        <v>103</v>
      </c>
    </row>
    <row r="20" spans="2:7" x14ac:dyDescent="0.25">
      <c r="B20" s="32" t="s">
        <v>104</v>
      </c>
    </row>
    <row r="21" spans="2:7" x14ac:dyDescent="0.25">
      <c r="B21" s="111" t="s">
        <v>78</v>
      </c>
      <c r="C21" s="108"/>
      <c r="D21" s="108"/>
      <c r="E21" s="108"/>
      <c r="F21" s="108"/>
    </row>
    <row r="22" spans="2:7" x14ac:dyDescent="0.25">
      <c r="B22" s="34" t="s">
        <v>105</v>
      </c>
      <c r="C22" s="32"/>
      <c r="D22" s="32"/>
      <c r="E22" s="32"/>
      <c r="F22" s="32"/>
    </row>
    <row r="23" spans="2:7" x14ac:dyDescent="0.25">
      <c r="B23" s="34" t="s">
        <v>106</v>
      </c>
      <c r="C23" s="32"/>
      <c r="D23" s="32"/>
      <c r="E23" s="32"/>
      <c r="F23" s="32"/>
    </row>
    <row r="24" spans="2:7" x14ac:dyDescent="0.25">
      <c r="B24" s="32"/>
      <c r="C24" s="32"/>
      <c r="D24" s="32"/>
      <c r="E24" s="32"/>
      <c r="F24" s="32"/>
    </row>
    <row r="25" spans="2:7" x14ac:dyDescent="0.25">
      <c r="B25" s="32"/>
      <c r="C25" s="32"/>
      <c r="D25" s="32"/>
      <c r="E25" s="32"/>
      <c r="F25" s="32"/>
    </row>
    <row r="26" spans="2:7" x14ac:dyDescent="0.25">
      <c r="B26" s="32"/>
      <c r="C26" s="32"/>
      <c r="D26" s="32"/>
      <c r="E26" s="32"/>
      <c r="F26" s="32"/>
    </row>
    <row r="27" spans="2:7" ht="13" x14ac:dyDescent="0.3">
      <c r="B27" s="59"/>
    </row>
  </sheetData>
  <mergeCells count="4">
    <mergeCell ref="B2:F2"/>
    <mergeCell ref="B21:F21"/>
    <mergeCell ref="G2:K2"/>
    <mergeCell ref="B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2:K33"/>
  <sheetViews>
    <sheetView workbookViewId="0">
      <selection activeCell="J23" sqref="J23"/>
    </sheetView>
  </sheetViews>
  <sheetFormatPr defaultColWidth="12.54296875" defaultRowHeight="12.5" x14ac:dyDescent="0.25"/>
  <cols>
    <col min="1" max="1" width="3.81640625" style="3" customWidth="1"/>
    <col min="2" max="2" width="7" style="3" customWidth="1"/>
    <col min="3" max="3" width="8" style="3" customWidth="1"/>
    <col min="4" max="4" width="12.1796875" style="3" customWidth="1"/>
    <col min="5" max="5" width="13.26953125" style="3" customWidth="1"/>
    <col min="6" max="6" width="15" style="3" customWidth="1"/>
    <col min="7" max="14" width="12.54296875" style="3" customWidth="1"/>
    <col min="15" max="15" width="11" style="3" customWidth="1"/>
    <col min="16" max="16" width="13.1796875" style="3" customWidth="1"/>
    <col min="17" max="17" width="12.54296875" style="3" customWidth="1"/>
    <col min="18" max="16384" width="12.54296875" style="3"/>
  </cols>
  <sheetData>
    <row r="2" spans="3:11" ht="13" x14ac:dyDescent="0.25">
      <c r="C2" s="2"/>
      <c r="D2" s="109" t="s">
        <v>107</v>
      </c>
      <c r="E2" s="108"/>
      <c r="F2" s="108"/>
      <c r="G2" s="108"/>
      <c r="H2" s="108"/>
      <c r="I2" s="2"/>
    </row>
    <row r="3" spans="3:11" ht="13" x14ac:dyDescent="0.25">
      <c r="C3" s="2"/>
      <c r="D3" s="109" t="s">
        <v>108</v>
      </c>
      <c r="E3" s="108"/>
      <c r="F3" s="108"/>
      <c r="G3" s="108"/>
      <c r="H3" s="108"/>
      <c r="I3" s="2"/>
    </row>
    <row r="4" spans="3:11" x14ac:dyDescent="0.25">
      <c r="K4" s="60"/>
    </row>
    <row r="5" spans="3:11" ht="13" x14ac:dyDescent="0.3">
      <c r="E5" s="61" t="s">
        <v>109</v>
      </c>
      <c r="F5" s="62" t="s">
        <v>110</v>
      </c>
      <c r="K5" s="60"/>
    </row>
    <row r="6" spans="3:11" x14ac:dyDescent="0.25">
      <c r="E6" s="63" t="s">
        <v>111</v>
      </c>
      <c r="F6" s="64">
        <v>6.9999999999999999E-4</v>
      </c>
      <c r="K6" s="60"/>
    </row>
    <row r="7" spans="3:11" x14ac:dyDescent="0.25">
      <c r="E7" s="65" t="s">
        <v>112</v>
      </c>
      <c r="F7" s="66">
        <v>1.1000000000000001E-3</v>
      </c>
      <c r="K7" s="60"/>
    </row>
    <row r="8" spans="3:11" x14ac:dyDescent="0.25">
      <c r="E8" s="65" t="s">
        <v>113</v>
      </c>
      <c r="F8" s="66">
        <v>1.1999999999999999E-3</v>
      </c>
    </row>
    <row r="9" spans="3:11" x14ac:dyDescent="0.25">
      <c r="E9" s="65" t="s">
        <v>114</v>
      </c>
      <c r="F9" s="66">
        <v>2.8E-3</v>
      </c>
      <c r="K9" s="60"/>
    </row>
    <row r="10" spans="3:11" x14ac:dyDescent="0.25">
      <c r="E10" s="65" t="s">
        <v>115</v>
      </c>
      <c r="F10" s="66">
        <v>4.8999999999999998E-3</v>
      </c>
    </row>
    <row r="11" spans="3:11" x14ac:dyDescent="0.25">
      <c r="E11" s="65" t="s">
        <v>116</v>
      </c>
      <c r="F11" s="66">
        <v>8.0999999999999996E-3</v>
      </c>
      <c r="K11" s="60"/>
    </row>
    <row r="12" spans="3:11" x14ac:dyDescent="0.25">
      <c r="E12" s="65" t="s">
        <v>117</v>
      </c>
      <c r="F12" s="66">
        <v>1.43E-2</v>
      </c>
    </row>
    <row r="13" spans="3:11" x14ac:dyDescent="0.25">
      <c r="E13" s="67" t="s">
        <v>118</v>
      </c>
      <c r="F13" s="68">
        <v>1.7899999999999999E-2</v>
      </c>
    </row>
    <row r="14" spans="3:11" x14ac:dyDescent="0.25">
      <c r="K14" s="60"/>
    </row>
    <row r="15" spans="3:11" x14ac:dyDescent="0.25">
      <c r="D15" s="32" t="s">
        <v>119</v>
      </c>
    </row>
    <row r="16" spans="3:11" x14ac:dyDescent="0.25">
      <c r="D16" s="69"/>
    </row>
    <row r="18" spans="4:11" ht="13" x14ac:dyDescent="0.3">
      <c r="D18" s="6"/>
      <c r="E18" s="6"/>
      <c r="F18" s="6"/>
      <c r="G18" s="6"/>
      <c r="H18" s="6"/>
      <c r="I18" s="6"/>
    </row>
    <row r="23" spans="4:11" x14ac:dyDescent="0.25">
      <c r="K23" s="60"/>
    </row>
    <row r="33" spans="11:11" x14ac:dyDescent="0.25">
      <c r="K33" s="60"/>
    </row>
  </sheetData>
  <mergeCells count="2">
    <mergeCell ref="D2:H2"/>
    <mergeCell ref="D3:H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16"/>
  <sheetViews>
    <sheetView showGridLines="0" workbookViewId="0"/>
  </sheetViews>
  <sheetFormatPr defaultRowHeight="14.5" x14ac:dyDescent="0.35"/>
  <cols>
    <col min="1" max="1" width="3" customWidth="1"/>
    <col min="2" max="2" width="14" customWidth="1"/>
    <col min="3" max="3" width="10" customWidth="1"/>
    <col min="4" max="10" width="9" customWidth="1"/>
  </cols>
  <sheetData>
    <row r="2" spans="2:9" ht="20" customHeight="1" x14ac:dyDescent="0.4">
      <c r="B2" s="100" t="s">
        <v>120</v>
      </c>
      <c r="C2" s="101"/>
      <c r="D2" s="101"/>
      <c r="E2" s="101"/>
      <c r="F2" s="101"/>
      <c r="G2" s="101"/>
      <c r="H2" s="101"/>
    </row>
    <row r="3" spans="2:9" x14ac:dyDescent="0.35">
      <c r="B3" s="102" t="s">
        <v>121</v>
      </c>
    </row>
    <row r="5" spans="2:9" x14ac:dyDescent="0.35">
      <c r="B5" s="103" t="s">
        <v>122</v>
      </c>
      <c r="C5" s="103" t="s">
        <v>123</v>
      </c>
      <c r="D5" s="103" t="s">
        <v>57</v>
      </c>
      <c r="E5" s="103" t="s">
        <v>56</v>
      </c>
      <c r="F5" s="103" t="s">
        <v>55</v>
      </c>
      <c r="G5" s="103" t="s">
        <v>54</v>
      </c>
      <c r="H5" s="103" t="s">
        <v>53</v>
      </c>
      <c r="I5" s="103" t="s">
        <v>52</v>
      </c>
    </row>
    <row r="6" spans="2:9" x14ac:dyDescent="0.35">
      <c r="B6" s="104" t="s">
        <v>124</v>
      </c>
      <c r="C6" s="104" t="s">
        <v>125</v>
      </c>
      <c r="D6" s="105">
        <v>1.2800000000000001E-2</v>
      </c>
      <c r="E6" s="105">
        <v>2.69E-2</v>
      </c>
      <c r="F6" s="105">
        <v>2.8199999999999999E-2</v>
      </c>
      <c r="G6" s="105">
        <v>2.87E-2</v>
      </c>
      <c r="H6" s="105">
        <v>3.8600000000000002E-2</v>
      </c>
      <c r="I6" s="105">
        <v>2.8199999999999999E-2</v>
      </c>
    </row>
    <row r="7" spans="2:9" x14ac:dyDescent="0.35">
      <c r="B7" s="104" t="s">
        <v>126</v>
      </c>
      <c r="C7" s="104" t="s">
        <v>125</v>
      </c>
      <c r="D7" s="105">
        <v>1.6299999999999999E-2</v>
      </c>
      <c r="E7" s="105">
        <v>3.1899999999999998E-2</v>
      </c>
      <c r="F7" s="105">
        <v>3.1899999999999998E-2</v>
      </c>
      <c r="G7" s="105">
        <v>3.5299999999999998E-2</v>
      </c>
      <c r="H7" s="105">
        <v>5.2200000000000003E-2</v>
      </c>
      <c r="I7" s="105">
        <v>3.6799999999999999E-2</v>
      </c>
    </row>
    <row r="8" spans="2:9" x14ac:dyDescent="0.35">
      <c r="B8" s="104" t="s">
        <v>124</v>
      </c>
      <c r="C8" s="104" t="s">
        <v>127</v>
      </c>
      <c r="D8" s="105">
        <v>1.4E-2</v>
      </c>
      <c r="E8" s="105">
        <v>2.92E-2</v>
      </c>
      <c r="F8" s="105">
        <v>3.1300000000000001E-2</v>
      </c>
      <c r="G8" s="105">
        <v>3.2300000000000002E-2</v>
      </c>
      <c r="H8" s="105">
        <v>4.0800000000000003E-2</v>
      </c>
      <c r="I8" s="105">
        <v>3.1600000000000003E-2</v>
      </c>
    </row>
    <row r="9" spans="2:9" x14ac:dyDescent="0.35">
      <c r="B9" s="104" t="s">
        <v>126</v>
      </c>
      <c r="C9" s="104" t="s">
        <v>127</v>
      </c>
      <c r="D9" s="105">
        <v>1.8100000000000002E-2</v>
      </c>
      <c r="E9" s="105">
        <v>3.5099999999999999E-2</v>
      </c>
      <c r="F9" s="105">
        <v>3.5400000000000001E-2</v>
      </c>
      <c r="G9" s="105">
        <v>3.85E-2</v>
      </c>
      <c r="H9" s="105">
        <v>5.5500000000000001E-2</v>
      </c>
      <c r="I9" s="105">
        <v>3.9600000000000003E-2</v>
      </c>
    </row>
    <row r="10" spans="2:9" x14ac:dyDescent="0.35">
      <c r="B10" s="104" t="s">
        <v>124</v>
      </c>
      <c r="C10" s="104" t="s">
        <v>128</v>
      </c>
      <c r="D10" s="105">
        <v>1.6400000000000001E-2</v>
      </c>
      <c r="E10" s="105">
        <v>3.2500000000000001E-2</v>
      </c>
      <c r="F10" s="105">
        <v>3.4599999999999999E-2</v>
      </c>
      <c r="G10" s="105">
        <v>3.5999999999999997E-2</v>
      </c>
      <c r="H10" s="105">
        <v>4.3200000000000002E-2</v>
      </c>
      <c r="I10" s="105">
        <v>3.4500000000000003E-2</v>
      </c>
    </row>
    <row r="11" spans="2:9" x14ac:dyDescent="0.35">
      <c r="B11" s="104" t="s">
        <v>126</v>
      </c>
      <c r="C11" s="104" t="s">
        <v>128</v>
      </c>
      <c r="D11" s="105">
        <v>6.8000000000000005E-2</v>
      </c>
      <c r="E11" s="105">
        <v>6.8400000000000002E-2</v>
      </c>
      <c r="F11" s="105">
        <v>6.88E-2</v>
      </c>
      <c r="G11" s="105">
        <v>6.7799999999999999E-2</v>
      </c>
      <c r="H11" s="105">
        <v>6.59E-2</v>
      </c>
      <c r="I11" s="105">
        <v>6.6199999999999995E-2</v>
      </c>
    </row>
    <row r="12" spans="2:9" x14ac:dyDescent="0.35">
      <c r="B12" s="104" t="s">
        <v>124</v>
      </c>
      <c r="C12" s="104" t="s">
        <v>129</v>
      </c>
      <c r="D12" s="105">
        <v>1.8200000000000001E-2</v>
      </c>
      <c r="E12" s="105">
        <v>3.2500000000000001E-2</v>
      </c>
      <c r="F12" s="105">
        <v>3.4599999999999999E-2</v>
      </c>
      <c r="G12" s="105">
        <v>3.5999999999999997E-2</v>
      </c>
      <c r="H12" s="105">
        <v>4.3200000000000002E-2</v>
      </c>
      <c r="I12" s="105">
        <v>3.4500000000000003E-2</v>
      </c>
    </row>
    <row r="13" spans="2:9" x14ac:dyDescent="0.35">
      <c r="B13" s="104" t="s">
        <v>126</v>
      </c>
      <c r="C13" s="104" t="s">
        <v>129</v>
      </c>
      <c r="D13" s="105">
        <v>2.5000000000000001E-2</v>
      </c>
      <c r="E13" s="105">
        <v>4.3200000000000002E-2</v>
      </c>
      <c r="F13" s="105">
        <v>4.2900000000000001E-2</v>
      </c>
      <c r="G13" s="105">
        <v>4.6300000000000001E-2</v>
      </c>
      <c r="H13" s="105">
        <v>5.57E-2</v>
      </c>
      <c r="I13" s="105">
        <v>4.3700000000000003E-2</v>
      </c>
    </row>
    <row r="15" spans="2:9" ht="24" x14ac:dyDescent="0.35">
      <c r="B15" s="106" t="s">
        <v>130</v>
      </c>
    </row>
    <row r="16" spans="2:9" ht="108" x14ac:dyDescent="0.35">
      <c r="B16" s="106" t="s">
        <v>131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35"/>
  <sheetViews>
    <sheetView workbookViewId="0">
      <selection activeCell="B2" sqref="B2:H2"/>
    </sheetView>
  </sheetViews>
  <sheetFormatPr defaultColWidth="12.54296875" defaultRowHeight="12.5" x14ac:dyDescent="0.25"/>
  <cols>
    <col min="1" max="1" width="3.81640625" style="3" customWidth="1"/>
    <col min="2" max="2" width="31.453125" style="3" customWidth="1"/>
    <col min="3" max="8" width="12" style="3" customWidth="1"/>
    <col min="9" max="9" width="12.54296875" style="3" customWidth="1"/>
    <col min="10" max="16384" width="12.54296875" style="3"/>
  </cols>
  <sheetData>
    <row r="2" spans="2:8" ht="13" x14ac:dyDescent="0.25">
      <c r="B2" s="109" t="s">
        <v>132</v>
      </c>
      <c r="C2" s="108"/>
      <c r="D2" s="108"/>
      <c r="E2" s="108"/>
      <c r="F2" s="108"/>
      <c r="G2" s="108"/>
      <c r="H2" s="108"/>
    </row>
    <row r="3" spans="2:8" ht="13" x14ac:dyDescent="0.3">
      <c r="B3" s="107" t="s">
        <v>133</v>
      </c>
      <c r="C3" s="108"/>
      <c r="D3" s="108"/>
      <c r="E3" s="108"/>
      <c r="F3" s="108"/>
      <c r="G3" s="108"/>
      <c r="H3" s="108"/>
    </row>
    <row r="4" spans="2:8" ht="13" x14ac:dyDescent="0.3">
      <c r="B4" s="7"/>
      <c r="C4" s="4"/>
      <c r="D4" s="4"/>
      <c r="E4" s="4"/>
      <c r="F4" s="4"/>
      <c r="G4" s="4"/>
    </row>
    <row r="5" spans="2:8" ht="14.15" customHeight="1" x14ac:dyDescent="0.3">
      <c r="B5" s="52"/>
      <c r="C5" s="70" t="s">
        <v>52</v>
      </c>
      <c r="D5" s="70" t="s">
        <v>53</v>
      </c>
      <c r="E5" s="70" t="s">
        <v>54</v>
      </c>
      <c r="F5" s="70" t="s">
        <v>55</v>
      </c>
      <c r="G5" s="70" t="s">
        <v>56</v>
      </c>
      <c r="H5" s="70" t="s">
        <v>57</v>
      </c>
    </row>
    <row r="6" spans="2:8" ht="14.15" customHeight="1" x14ac:dyDescent="0.3">
      <c r="B6" s="56" t="s">
        <v>134</v>
      </c>
      <c r="C6" s="71" t="s">
        <v>135</v>
      </c>
      <c r="D6" s="71" t="s">
        <v>136</v>
      </c>
      <c r="E6" s="71" t="s">
        <v>137</v>
      </c>
      <c r="F6" s="71" t="s">
        <v>138</v>
      </c>
      <c r="G6" s="71" t="s">
        <v>139</v>
      </c>
      <c r="H6" s="72" t="s">
        <v>140</v>
      </c>
    </row>
    <row r="7" spans="2:8" ht="14.15" customHeight="1" x14ac:dyDescent="0.3">
      <c r="B7" s="56" t="s">
        <v>141</v>
      </c>
      <c r="C7" s="73">
        <v>701.67499999999995</v>
      </c>
      <c r="D7" s="73">
        <v>928.72799999999995</v>
      </c>
      <c r="E7" s="73">
        <v>1071.338</v>
      </c>
      <c r="F7" s="73">
        <v>1150.202</v>
      </c>
      <c r="G7" s="73">
        <v>1430.4939999999999</v>
      </c>
      <c r="H7" s="73">
        <v>1900.9639999999999</v>
      </c>
    </row>
    <row r="8" spans="2:8" ht="14.15" customHeight="1" x14ac:dyDescent="0.25">
      <c r="B8" s="74" t="s">
        <v>142</v>
      </c>
      <c r="C8" s="75">
        <v>608.52099999999996</v>
      </c>
      <c r="D8" s="75">
        <v>798.125</v>
      </c>
      <c r="E8" s="75">
        <v>907.13599999999997</v>
      </c>
      <c r="F8" s="75">
        <v>967.79499999999996</v>
      </c>
      <c r="G8" s="75">
        <v>1233.21</v>
      </c>
      <c r="H8" s="75">
        <v>1696.174</v>
      </c>
    </row>
    <row r="9" spans="2:8" ht="14.15" customHeight="1" x14ac:dyDescent="0.25">
      <c r="B9" s="74" t="s">
        <v>143</v>
      </c>
      <c r="C9" s="75">
        <v>43.732999999999997</v>
      </c>
      <c r="D9" s="75" t="s">
        <v>91</v>
      </c>
      <c r="E9" s="75" t="s">
        <v>91</v>
      </c>
      <c r="F9" s="75" t="s">
        <v>91</v>
      </c>
      <c r="G9" s="75" t="s">
        <v>91</v>
      </c>
      <c r="H9" s="75" t="s">
        <v>91</v>
      </c>
    </row>
    <row r="10" spans="2:8" ht="14.15" customHeight="1" x14ac:dyDescent="0.3">
      <c r="B10" s="74" t="s">
        <v>144</v>
      </c>
      <c r="C10" s="76">
        <v>43.732999999999997</v>
      </c>
      <c r="D10" s="76">
        <v>48.250999999999998</v>
      </c>
      <c r="E10" s="76">
        <v>49.22</v>
      </c>
      <c r="F10" s="76">
        <v>49.704000000000001</v>
      </c>
      <c r="G10" s="76">
        <v>150.999</v>
      </c>
      <c r="H10" s="76">
        <v>181.84200000000001</v>
      </c>
    </row>
    <row r="11" spans="2:8" ht="14.15" customHeight="1" x14ac:dyDescent="0.25">
      <c r="B11" s="74" t="s">
        <v>145</v>
      </c>
      <c r="C11" s="75">
        <v>0</v>
      </c>
      <c r="D11" s="75">
        <v>0</v>
      </c>
      <c r="E11" s="75">
        <v>0</v>
      </c>
      <c r="F11" s="75">
        <v>0</v>
      </c>
      <c r="G11" s="75">
        <v>0</v>
      </c>
      <c r="H11" s="75">
        <v>0</v>
      </c>
    </row>
    <row r="12" spans="2:8" ht="14.15" customHeight="1" x14ac:dyDescent="0.25">
      <c r="B12" s="74" t="s">
        <v>146</v>
      </c>
      <c r="C12" s="75">
        <v>27.48</v>
      </c>
      <c r="D12" s="75">
        <v>38.128999999999998</v>
      </c>
      <c r="E12" s="75">
        <v>46.369</v>
      </c>
      <c r="F12" s="75">
        <v>53.536999999999999</v>
      </c>
      <c r="G12" s="75">
        <v>62.784999999999997</v>
      </c>
      <c r="H12" s="75">
        <v>125.498</v>
      </c>
    </row>
    <row r="13" spans="2:8" ht="14.15" customHeight="1" x14ac:dyDescent="0.25">
      <c r="B13" s="74" t="s">
        <v>147</v>
      </c>
      <c r="C13" s="75">
        <v>537.30799999999999</v>
      </c>
      <c r="D13" s="75">
        <v>711.745</v>
      </c>
      <c r="E13" s="75">
        <v>811.54700000000003</v>
      </c>
      <c r="F13" s="75">
        <v>864.55399999999997</v>
      </c>
      <c r="G13" s="75">
        <v>1019.426</v>
      </c>
      <c r="H13" s="75">
        <v>1388.8340000000001</v>
      </c>
    </row>
    <row r="14" spans="2:8" ht="14.15" customHeight="1" x14ac:dyDescent="0.3">
      <c r="B14" s="56" t="s">
        <v>148</v>
      </c>
      <c r="C14" s="73">
        <v>93.153999999999996</v>
      </c>
      <c r="D14" s="73">
        <v>130.70099999999999</v>
      </c>
      <c r="E14" s="73">
        <v>164.434</v>
      </c>
      <c r="F14" s="73">
        <v>183.857</v>
      </c>
      <c r="G14" s="73">
        <v>197.28399999999999</v>
      </c>
      <c r="H14" s="73">
        <v>204.79</v>
      </c>
    </row>
    <row r="15" spans="2:8" ht="14.15" customHeight="1" x14ac:dyDescent="0.25">
      <c r="B15" s="74" t="s">
        <v>149</v>
      </c>
      <c r="C15" s="75">
        <v>1.6890000000000001</v>
      </c>
      <c r="D15" s="75">
        <v>1.8069999999999999</v>
      </c>
      <c r="E15" s="75">
        <v>3.7040000000000002</v>
      </c>
      <c r="F15" s="75">
        <v>6.5259999999999998</v>
      </c>
      <c r="G15" s="75">
        <v>9.0879999999999992</v>
      </c>
      <c r="H15" s="75">
        <v>10.207000000000001</v>
      </c>
    </row>
    <row r="16" spans="2:8" ht="14.15" customHeight="1" x14ac:dyDescent="0.25">
      <c r="B16" s="74" t="s">
        <v>150</v>
      </c>
      <c r="C16" s="75">
        <v>1.6890000000000001</v>
      </c>
      <c r="D16" s="75">
        <v>1.8069999999999999</v>
      </c>
      <c r="E16" s="75">
        <v>2.6640000000000001</v>
      </c>
      <c r="F16" s="75">
        <v>5.3890000000000002</v>
      </c>
      <c r="G16" s="75">
        <v>7.976</v>
      </c>
      <c r="H16" s="75">
        <v>6.9340000000000002</v>
      </c>
    </row>
    <row r="17" spans="2:8" ht="14.15" customHeight="1" x14ac:dyDescent="0.25">
      <c r="B17" s="74" t="s">
        <v>151</v>
      </c>
      <c r="C17" s="75">
        <v>0</v>
      </c>
      <c r="D17" s="75">
        <v>0</v>
      </c>
      <c r="E17" s="75">
        <v>0</v>
      </c>
      <c r="F17" s="75">
        <v>0</v>
      </c>
      <c r="G17" s="75">
        <v>0</v>
      </c>
      <c r="H17" s="75">
        <v>0</v>
      </c>
    </row>
    <row r="18" spans="2:8" ht="14.15" customHeight="1" x14ac:dyDescent="0.25">
      <c r="B18" s="74" t="s">
        <v>152</v>
      </c>
      <c r="C18" s="75">
        <v>0</v>
      </c>
      <c r="D18" s="75">
        <v>0</v>
      </c>
      <c r="E18" s="75">
        <v>1.04</v>
      </c>
      <c r="F18" s="75">
        <v>1.137</v>
      </c>
      <c r="G18" s="75">
        <v>1.1120000000000001</v>
      </c>
      <c r="H18" s="75">
        <v>3.2730000000000001</v>
      </c>
    </row>
    <row r="19" spans="2:8" ht="14.15" customHeight="1" x14ac:dyDescent="0.3">
      <c r="B19" s="56" t="s">
        <v>153</v>
      </c>
      <c r="C19" s="73">
        <v>91.465000000000003</v>
      </c>
      <c r="D19" s="73">
        <v>128.89400000000001</v>
      </c>
      <c r="E19" s="73">
        <v>160.72999999999999</v>
      </c>
      <c r="F19" s="73">
        <v>177.33099999999999</v>
      </c>
      <c r="G19" s="73">
        <v>188.196</v>
      </c>
      <c r="H19" s="73">
        <v>194.583</v>
      </c>
    </row>
    <row r="20" spans="2:8" ht="14.15" customHeight="1" x14ac:dyDescent="0.25">
      <c r="B20" s="74" t="s">
        <v>154</v>
      </c>
      <c r="C20" s="75">
        <v>-6.375</v>
      </c>
      <c r="D20" s="75">
        <v>3.0750000000000002</v>
      </c>
      <c r="E20" s="75">
        <v>10.050000000000001</v>
      </c>
      <c r="F20" s="75">
        <v>2.855</v>
      </c>
      <c r="G20" s="75">
        <v>28.783000000000001</v>
      </c>
      <c r="H20" s="75">
        <v>-8.8529999999999998</v>
      </c>
    </row>
    <row r="21" spans="2:8" ht="14.15" customHeight="1" x14ac:dyDescent="0.25">
      <c r="B21" s="74" t="s">
        <v>155</v>
      </c>
      <c r="C21" s="75" t="s">
        <v>91</v>
      </c>
      <c r="D21" s="75">
        <v>12.734999999999999</v>
      </c>
      <c r="E21" s="75">
        <v>28.384</v>
      </c>
      <c r="F21" s="75">
        <v>20.934000000000001</v>
      </c>
      <c r="G21" s="75">
        <v>46.216000000000001</v>
      </c>
      <c r="H21" s="75" t="s">
        <v>91</v>
      </c>
    </row>
    <row r="22" spans="2:8" ht="14.15" customHeight="1" x14ac:dyDescent="0.25">
      <c r="B22" s="74" t="s">
        <v>156</v>
      </c>
      <c r="C22" s="75">
        <v>-6.375</v>
      </c>
      <c r="D22" s="75">
        <v>-9.66</v>
      </c>
      <c r="E22" s="75">
        <v>-18.334</v>
      </c>
      <c r="F22" s="75">
        <v>-18.079000000000001</v>
      </c>
      <c r="G22" s="75" t="s">
        <v>91</v>
      </c>
      <c r="H22" s="75">
        <v>-21.27</v>
      </c>
    </row>
    <row r="23" spans="2:8" ht="14.15" customHeight="1" x14ac:dyDescent="0.3">
      <c r="B23" s="56" t="s">
        <v>157</v>
      </c>
      <c r="C23" s="73">
        <v>97.84</v>
      </c>
      <c r="D23" s="73">
        <v>125.819</v>
      </c>
      <c r="E23" s="73">
        <v>150.68</v>
      </c>
      <c r="F23" s="73">
        <v>174.476</v>
      </c>
      <c r="G23" s="73">
        <v>159.41300000000001</v>
      </c>
      <c r="H23" s="73">
        <v>203.43600000000001</v>
      </c>
    </row>
    <row r="24" spans="2:8" ht="14.15" customHeight="1" x14ac:dyDescent="0.25">
      <c r="B24" s="74" t="s">
        <v>158</v>
      </c>
      <c r="C24" s="75">
        <v>29.419</v>
      </c>
      <c r="D24" s="75">
        <v>39.226999999999997</v>
      </c>
      <c r="E24" s="75">
        <v>44.875999999999998</v>
      </c>
      <c r="F24" s="75">
        <v>52.783000000000001</v>
      </c>
      <c r="G24" s="75">
        <v>45.033999999999999</v>
      </c>
      <c r="H24" s="75">
        <v>60.515000000000001</v>
      </c>
    </row>
    <row r="25" spans="2:8" ht="14.15" customHeight="1" x14ac:dyDescent="0.25">
      <c r="B25" s="74" t="s">
        <v>159</v>
      </c>
      <c r="C25" s="75">
        <v>29.277999999999999</v>
      </c>
      <c r="D25" s="75">
        <v>28.466999999999999</v>
      </c>
      <c r="E25" s="75">
        <v>31.837</v>
      </c>
      <c r="F25" s="75">
        <v>46.335000000000001</v>
      </c>
      <c r="G25" s="75">
        <v>49.773000000000003</v>
      </c>
      <c r="H25" s="75">
        <v>55.350999999999999</v>
      </c>
    </row>
    <row r="26" spans="2:8" ht="14.15" customHeight="1" x14ac:dyDescent="0.25">
      <c r="B26" s="74" t="s">
        <v>160</v>
      </c>
      <c r="C26" s="75">
        <v>0.14099999999999999</v>
      </c>
      <c r="D26" s="75">
        <v>10.999000000000001</v>
      </c>
      <c r="E26" s="75">
        <v>11.943</v>
      </c>
      <c r="F26" s="75">
        <v>7.2839999999999998</v>
      </c>
      <c r="G26" s="75">
        <v>-5.069</v>
      </c>
      <c r="H26" s="75">
        <v>4.93</v>
      </c>
    </row>
    <row r="27" spans="2:8" ht="14.15" customHeight="1" x14ac:dyDescent="0.25">
      <c r="B27" s="74" t="s">
        <v>161</v>
      </c>
      <c r="C27" s="75" t="s">
        <v>91</v>
      </c>
      <c r="D27" s="75">
        <v>-0.23899999999999999</v>
      </c>
      <c r="E27" s="75">
        <v>1.0960000000000001</v>
      </c>
      <c r="F27" s="75">
        <v>-0.83599999999999997</v>
      </c>
      <c r="G27" s="75">
        <v>0.33</v>
      </c>
      <c r="H27" s="75">
        <v>0.23400000000000001</v>
      </c>
    </row>
    <row r="28" spans="2:8" ht="14.15" customHeight="1" x14ac:dyDescent="0.3">
      <c r="B28" s="56" t="s">
        <v>162</v>
      </c>
      <c r="C28" s="73">
        <v>64.048000000000002</v>
      </c>
      <c r="D28" s="73">
        <v>82.427000000000007</v>
      </c>
      <c r="E28" s="73">
        <v>102.857</v>
      </c>
      <c r="F28" s="73">
        <v>121.46599999999999</v>
      </c>
      <c r="G28" s="73">
        <v>115.91200000000001</v>
      </c>
      <c r="H28" s="73">
        <v>138.483</v>
      </c>
    </row>
    <row r="29" spans="2:8" ht="14.15" customHeight="1" x14ac:dyDescent="0.3">
      <c r="B29" s="56" t="s">
        <v>163</v>
      </c>
      <c r="C29" s="77">
        <v>0.72799999999999998</v>
      </c>
      <c r="D29" s="77">
        <v>0.92200000000000004</v>
      </c>
      <c r="E29" s="77">
        <v>1.147</v>
      </c>
      <c r="F29" s="77">
        <v>1.39</v>
      </c>
      <c r="G29" s="77">
        <v>1.3540000000000001</v>
      </c>
      <c r="H29" s="77">
        <v>1.6080000000000001</v>
      </c>
    </row>
    <row r="30" spans="2:8" ht="14.15" customHeight="1" x14ac:dyDescent="0.3">
      <c r="B30" s="56" t="s">
        <v>164</v>
      </c>
      <c r="C30" s="78">
        <v>0.51800000000000002</v>
      </c>
      <c r="D30" s="78">
        <v>0.73499999999999999</v>
      </c>
      <c r="E30" s="78">
        <v>0.93300000000000005</v>
      </c>
      <c r="F30" s="78">
        <v>1.0780000000000001</v>
      </c>
      <c r="G30" s="78">
        <v>1.155</v>
      </c>
      <c r="H30" s="43">
        <v>1.7230000000000001</v>
      </c>
    </row>
    <row r="31" spans="2:8" ht="14.15" customHeight="1" x14ac:dyDescent="0.3">
      <c r="B31" s="56" t="s">
        <v>165</v>
      </c>
      <c r="C31" s="79">
        <v>30.068479</v>
      </c>
      <c r="D31" s="79">
        <v>31.177326000000001</v>
      </c>
      <c r="E31" s="79">
        <v>29.782319999999999</v>
      </c>
      <c r="F31" s="79">
        <v>30.252298</v>
      </c>
      <c r="G31" s="79">
        <v>28.249891999999999</v>
      </c>
      <c r="H31" s="43">
        <v>34.590000000000003</v>
      </c>
    </row>
    <row r="32" spans="2:8" ht="14.15" customHeight="1" x14ac:dyDescent="0.25"/>
    <row r="33" spans="2:9" ht="14.15" customHeight="1" x14ac:dyDescent="0.25">
      <c r="B33" s="34" t="s">
        <v>166</v>
      </c>
      <c r="C33" s="80"/>
      <c r="D33" s="80"/>
      <c r="E33" s="80"/>
      <c r="F33" s="80"/>
      <c r="G33" s="80"/>
    </row>
    <row r="34" spans="2:9" ht="14.15" customHeight="1" x14ac:dyDescent="0.25">
      <c r="B34" s="34" t="s">
        <v>47</v>
      </c>
    </row>
    <row r="35" spans="2:9" x14ac:dyDescent="0.25">
      <c r="B35" s="34" t="s">
        <v>167</v>
      </c>
      <c r="I35" s="28"/>
    </row>
  </sheetData>
  <mergeCells count="2">
    <mergeCell ref="B3:H3"/>
    <mergeCell ref="B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I37"/>
  <sheetViews>
    <sheetView workbookViewId="0">
      <selection activeCell="B1" sqref="B1"/>
    </sheetView>
  </sheetViews>
  <sheetFormatPr defaultColWidth="12.54296875" defaultRowHeight="12.5" x14ac:dyDescent="0.25"/>
  <cols>
    <col min="1" max="1" width="3.81640625" style="3" customWidth="1"/>
    <col min="2" max="2" width="37.81640625" style="3" customWidth="1"/>
    <col min="3" max="8" width="11.81640625" style="3" customWidth="1"/>
    <col min="9" max="9" width="12.54296875" style="3" customWidth="1"/>
    <col min="10" max="16384" width="12.54296875" style="3"/>
  </cols>
  <sheetData>
    <row r="2" spans="2:8" ht="13" x14ac:dyDescent="0.25">
      <c r="B2" s="109" t="s">
        <v>168</v>
      </c>
      <c r="C2" s="108"/>
      <c r="D2" s="108"/>
      <c r="E2" s="108"/>
      <c r="F2" s="108"/>
      <c r="G2" s="108"/>
      <c r="H2" s="108"/>
    </row>
    <row r="3" spans="2:8" ht="13" x14ac:dyDescent="0.25">
      <c r="B3" s="109" t="s">
        <v>133</v>
      </c>
      <c r="C3" s="108"/>
      <c r="D3" s="108"/>
      <c r="E3" s="108"/>
      <c r="F3" s="108"/>
      <c r="G3" s="108"/>
      <c r="H3" s="108"/>
    </row>
    <row r="4" spans="2:8" ht="13" x14ac:dyDescent="0.25">
      <c r="B4" s="1"/>
    </row>
    <row r="5" spans="2:8" ht="14.15" customHeight="1" x14ac:dyDescent="0.3">
      <c r="B5" s="70"/>
      <c r="C5" s="70" t="s">
        <v>52</v>
      </c>
      <c r="D5" s="70" t="s">
        <v>53</v>
      </c>
      <c r="E5" s="70" t="s">
        <v>54</v>
      </c>
      <c r="F5" s="70" t="s">
        <v>55</v>
      </c>
      <c r="G5" s="70" t="s">
        <v>56</v>
      </c>
      <c r="H5" s="70" t="s">
        <v>169</v>
      </c>
    </row>
    <row r="6" spans="2:8" ht="14.15" customHeight="1" x14ac:dyDescent="0.3">
      <c r="B6" s="56" t="s">
        <v>134</v>
      </c>
      <c r="C6" s="71" t="s">
        <v>135</v>
      </c>
      <c r="D6" s="71" t="s">
        <v>136</v>
      </c>
      <c r="E6" s="71" t="s">
        <v>137</v>
      </c>
      <c r="F6" s="71" t="s">
        <v>138</v>
      </c>
      <c r="G6" s="71" t="s">
        <v>139</v>
      </c>
      <c r="H6" s="72" t="s">
        <v>140</v>
      </c>
    </row>
    <row r="7" spans="2:8" ht="14.15" customHeight="1" x14ac:dyDescent="0.3">
      <c r="B7" s="56" t="s">
        <v>170</v>
      </c>
      <c r="C7" s="52"/>
      <c r="D7" s="52"/>
      <c r="E7" s="52"/>
      <c r="F7" s="52"/>
      <c r="G7" s="52"/>
      <c r="H7" s="52"/>
    </row>
    <row r="8" spans="2:8" ht="14.15" customHeight="1" x14ac:dyDescent="0.25">
      <c r="B8" s="74" t="s">
        <v>171</v>
      </c>
      <c r="C8" s="75">
        <v>43.173999999999999</v>
      </c>
      <c r="D8" s="75">
        <v>60.334000000000003</v>
      </c>
      <c r="E8" s="75">
        <v>50.454000000000001</v>
      </c>
      <c r="F8" s="75">
        <v>75.995999999999995</v>
      </c>
      <c r="G8" s="75">
        <v>101.404</v>
      </c>
      <c r="H8" s="75">
        <v>245.678</v>
      </c>
    </row>
    <row r="9" spans="2:8" ht="14.15" customHeight="1" x14ac:dyDescent="0.25">
      <c r="B9" s="74" t="s">
        <v>172</v>
      </c>
      <c r="C9" s="75">
        <v>39.369</v>
      </c>
      <c r="D9" s="75">
        <v>64.638999999999996</v>
      </c>
      <c r="E9" s="75">
        <v>66.427000000000007</v>
      </c>
      <c r="F9" s="75">
        <v>77.757999999999996</v>
      </c>
      <c r="G9" s="75">
        <v>91.122</v>
      </c>
      <c r="H9" s="75">
        <v>188.62200000000001</v>
      </c>
    </row>
    <row r="10" spans="2:8" ht="14.15" customHeight="1" x14ac:dyDescent="0.25">
      <c r="B10" s="74" t="s">
        <v>173</v>
      </c>
      <c r="C10" s="75">
        <v>12.282</v>
      </c>
      <c r="D10" s="75">
        <v>16.675000000000001</v>
      </c>
      <c r="E10" s="75">
        <v>21.097999999999999</v>
      </c>
      <c r="F10" s="75">
        <v>19.271000000000001</v>
      </c>
      <c r="G10" s="75">
        <v>22.11</v>
      </c>
      <c r="H10" s="75">
        <v>27.911999999999999</v>
      </c>
    </row>
    <row r="11" spans="2:8" ht="14.15" customHeight="1" x14ac:dyDescent="0.25">
      <c r="B11" s="74" t="s">
        <v>174</v>
      </c>
      <c r="C11" s="75">
        <v>21.722000000000001</v>
      </c>
      <c r="D11" s="75">
        <v>42.587000000000003</v>
      </c>
      <c r="E11" s="75">
        <v>49.845999999999997</v>
      </c>
      <c r="F11" s="75">
        <v>56.573999999999998</v>
      </c>
      <c r="G11" s="75">
        <v>50.670999999999999</v>
      </c>
      <c r="H11" s="75">
        <v>60.186999999999998</v>
      </c>
    </row>
    <row r="12" spans="2:8" ht="14.15" customHeight="1" x14ac:dyDescent="0.3">
      <c r="B12" s="56" t="s">
        <v>175</v>
      </c>
      <c r="C12" s="81">
        <f t="shared" ref="C12:H12" si="0">SUM(C8:C11)</f>
        <v>116.547</v>
      </c>
      <c r="D12" s="81">
        <f t="shared" si="0"/>
        <v>184.23500000000001</v>
      </c>
      <c r="E12" s="81">
        <f t="shared" si="0"/>
        <v>187.82499999999999</v>
      </c>
      <c r="F12" s="81">
        <f t="shared" si="0"/>
        <v>229.59899999999999</v>
      </c>
      <c r="G12" s="81">
        <f t="shared" si="0"/>
        <v>265.30700000000002</v>
      </c>
      <c r="H12" s="81">
        <f t="shared" si="0"/>
        <v>522.399</v>
      </c>
    </row>
    <row r="13" spans="2:8" ht="14.15" customHeight="1" x14ac:dyDescent="0.3">
      <c r="B13" s="56"/>
      <c r="C13" s="56"/>
      <c r="D13" s="56"/>
      <c r="E13" s="56"/>
      <c r="F13" s="56"/>
      <c r="G13" s="56"/>
      <c r="H13" s="56"/>
    </row>
    <row r="14" spans="2:8" ht="14.15" customHeight="1" x14ac:dyDescent="0.25">
      <c r="B14" s="74" t="s">
        <v>176</v>
      </c>
      <c r="C14" s="75">
        <v>121.61199999999999</v>
      </c>
      <c r="D14" s="75">
        <v>188.05</v>
      </c>
      <c r="E14" s="75">
        <v>198.67400000000001</v>
      </c>
      <c r="F14" s="75">
        <v>200.10300000000001</v>
      </c>
      <c r="G14" s="75">
        <v>253.15199999999999</v>
      </c>
      <c r="H14" s="75">
        <v>651.83000000000004</v>
      </c>
    </row>
    <row r="15" spans="2:8" ht="14.15" customHeight="1" x14ac:dyDescent="0.25">
      <c r="B15" s="74" t="s">
        <v>177</v>
      </c>
      <c r="C15" s="75">
        <v>0</v>
      </c>
      <c r="D15" s="75">
        <v>0</v>
      </c>
      <c r="E15" s="75">
        <v>0</v>
      </c>
      <c r="F15" s="75">
        <v>0</v>
      </c>
      <c r="G15" s="75">
        <v>0</v>
      </c>
      <c r="H15" s="75">
        <v>333.834</v>
      </c>
    </row>
    <row r="16" spans="2:8" ht="14.15" customHeight="1" x14ac:dyDescent="0.25">
      <c r="B16" s="74" t="s">
        <v>178</v>
      </c>
      <c r="C16" s="75">
        <v>392.44099999999997</v>
      </c>
      <c r="D16" s="75">
        <v>755.74699999999996</v>
      </c>
      <c r="E16" s="75">
        <v>746.29399999999998</v>
      </c>
      <c r="F16" s="75">
        <v>872.70899999999995</v>
      </c>
      <c r="G16" s="75">
        <v>919.95399999999995</v>
      </c>
      <c r="H16" s="75">
        <v>963.04200000000003</v>
      </c>
    </row>
    <row r="17" spans="2:9" ht="14.15" customHeight="1" x14ac:dyDescent="0.3">
      <c r="B17" s="56" t="s">
        <v>179</v>
      </c>
      <c r="C17" s="81">
        <f t="shared" ref="C17:H17" si="1">SUM(C14:C16)</f>
        <v>514.053</v>
      </c>
      <c r="D17" s="81">
        <f t="shared" si="1"/>
        <v>943.79700000000003</v>
      </c>
      <c r="E17" s="81">
        <f t="shared" si="1"/>
        <v>944.96799999999996</v>
      </c>
      <c r="F17" s="81">
        <f t="shared" si="1"/>
        <v>1072.8119999999999</v>
      </c>
      <c r="G17" s="81">
        <f t="shared" si="1"/>
        <v>1173.106</v>
      </c>
      <c r="H17" s="81">
        <f t="shared" si="1"/>
        <v>1948.7060000000001</v>
      </c>
    </row>
    <row r="18" spans="2:9" ht="14.15" customHeight="1" x14ac:dyDescent="0.3">
      <c r="B18" s="56" t="s">
        <v>180</v>
      </c>
      <c r="C18" s="81">
        <f t="shared" ref="C18:H18" si="2">SUM(C12+C17)</f>
        <v>630.6</v>
      </c>
      <c r="D18" s="81">
        <f t="shared" si="2"/>
        <v>1128.0320000000002</v>
      </c>
      <c r="E18" s="81">
        <f t="shared" si="2"/>
        <v>1132.7929999999999</v>
      </c>
      <c r="F18" s="81">
        <f t="shared" si="2"/>
        <v>1302.4109999999998</v>
      </c>
      <c r="G18" s="81">
        <f t="shared" si="2"/>
        <v>1438.413</v>
      </c>
      <c r="H18" s="81">
        <f t="shared" si="2"/>
        <v>2471.105</v>
      </c>
    </row>
    <row r="19" spans="2:9" ht="14.15" customHeight="1" x14ac:dyDescent="0.3">
      <c r="B19" s="56"/>
      <c r="C19" s="52"/>
      <c r="D19" s="52"/>
      <c r="E19" s="52"/>
      <c r="F19" s="52"/>
      <c r="G19" s="52"/>
      <c r="H19" s="52"/>
    </row>
    <row r="20" spans="2:9" ht="14.15" customHeight="1" x14ac:dyDescent="0.3">
      <c r="B20" s="56" t="s">
        <v>181</v>
      </c>
      <c r="C20" s="52"/>
      <c r="D20" s="52"/>
      <c r="E20" s="52"/>
      <c r="F20" s="52"/>
      <c r="G20" s="52"/>
      <c r="H20" s="52"/>
    </row>
    <row r="21" spans="2:9" ht="14.15" customHeight="1" x14ac:dyDescent="0.25">
      <c r="B21" s="74" t="s">
        <v>182</v>
      </c>
      <c r="C21" s="75">
        <v>85.763000000000005</v>
      </c>
      <c r="D21" s="75">
        <v>92.16</v>
      </c>
      <c r="E21" s="75">
        <v>93.236000000000004</v>
      </c>
      <c r="F21" s="75">
        <v>117.569</v>
      </c>
      <c r="G21" s="75">
        <v>151.81399999999999</v>
      </c>
      <c r="H21" s="75">
        <v>254.297</v>
      </c>
    </row>
    <row r="22" spans="2:9" ht="14.15" customHeight="1" x14ac:dyDescent="0.25">
      <c r="B22" s="74" t="s">
        <v>183</v>
      </c>
      <c r="C22" s="75">
        <v>1.92</v>
      </c>
      <c r="D22" s="75">
        <v>36.284999999999997</v>
      </c>
      <c r="E22" s="75">
        <v>17.91</v>
      </c>
      <c r="F22" s="75">
        <v>3.7</v>
      </c>
      <c r="G22" s="75">
        <v>5.3730000000000002</v>
      </c>
      <c r="H22" s="75">
        <v>155.398</v>
      </c>
    </row>
    <row r="23" spans="2:9" ht="14.15" customHeight="1" x14ac:dyDescent="0.3">
      <c r="B23" s="56" t="s">
        <v>184</v>
      </c>
      <c r="C23" s="81">
        <f t="shared" ref="C23:H23" si="3">SUM(C21:C22)</f>
        <v>87.683000000000007</v>
      </c>
      <c r="D23" s="81">
        <f t="shared" si="3"/>
        <v>128.44499999999999</v>
      </c>
      <c r="E23" s="81">
        <f t="shared" si="3"/>
        <v>111.146</v>
      </c>
      <c r="F23" s="81">
        <f t="shared" si="3"/>
        <v>121.26900000000001</v>
      </c>
      <c r="G23" s="81">
        <f t="shared" si="3"/>
        <v>157.18699999999998</v>
      </c>
      <c r="H23" s="81">
        <f t="shared" si="3"/>
        <v>409.69499999999999</v>
      </c>
    </row>
    <row r="24" spans="2:9" ht="14.15" customHeight="1" x14ac:dyDescent="0.3">
      <c r="B24" s="56"/>
      <c r="C24" s="56"/>
      <c r="D24" s="56"/>
      <c r="E24" s="56"/>
      <c r="F24" s="56"/>
      <c r="G24" s="56"/>
      <c r="H24" s="56"/>
    </row>
    <row r="25" spans="2:9" ht="14.15" customHeight="1" x14ac:dyDescent="0.25">
      <c r="B25" s="74" t="s">
        <v>185</v>
      </c>
      <c r="C25" s="75">
        <v>122.91200000000001</v>
      </c>
      <c r="D25" s="75">
        <v>285.50700000000001</v>
      </c>
      <c r="E25" s="75">
        <v>311.33</v>
      </c>
      <c r="F25" s="75">
        <v>594.79899999999998</v>
      </c>
      <c r="G25" s="75">
        <v>646.07600000000002</v>
      </c>
      <c r="H25" s="75">
        <v>1320.29</v>
      </c>
    </row>
    <row r="26" spans="2:9" ht="14.15" customHeight="1" x14ac:dyDescent="0.3">
      <c r="B26" s="56" t="s">
        <v>186</v>
      </c>
      <c r="C26" s="81">
        <f t="shared" ref="C26:H26" si="4">SUM(C25:C25)</f>
        <v>122.91200000000001</v>
      </c>
      <c r="D26" s="81">
        <f t="shared" si="4"/>
        <v>285.50700000000001</v>
      </c>
      <c r="E26" s="81">
        <f t="shared" si="4"/>
        <v>311.33</v>
      </c>
      <c r="F26" s="81">
        <f t="shared" si="4"/>
        <v>594.79899999999998</v>
      </c>
      <c r="G26" s="81">
        <f t="shared" si="4"/>
        <v>646.07600000000002</v>
      </c>
      <c r="H26" s="81">
        <f t="shared" si="4"/>
        <v>1320.29</v>
      </c>
    </row>
    <row r="27" spans="2:9" ht="14.15" customHeight="1" x14ac:dyDescent="0.3">
      <c r="B27" s="56" t="s">
        <v>187</v>
      </c>
      <c r="C27" s="81">
        <f>SUM(C23+C26)</f>
        <v>210.59500000000003</v>
      </c>
      <c r="D27" s="81">
        <f>SUM(D23+D26)</f>
        <v>413.952</v>
      </c>
      <c r="E27" s="81">
        <f>SUM(E23+E26)</f>
        <v>422.476</v>
      </c>
      <c r="F27" s="81">
        <f>SUM(F23+F26)</f>
        <v>716.06799999999998</v>
      </c>
      <c r="G27" s="81">
        <f>SUM(G23+G26)</f>
        <v>803.26300000000003</v>
      </c>
      <c r="H27" s="73">
        <v>2077.732</v>
      </c>
      <c r="I27" s="82"/>
    </row>
    <row r="28" spans="2:9" ht="14.15" customHeight="1" x14ac:dyDescent="0.3">
      <c r="B28" s="56"/>
      <c r="C28" s="56"/>
      <c r="D28" s="56"/>
      <c r="E28" s="56"/>
      <c r="F28" s="56"/>
      <c r="G28" s="56"/>
      <c r="H28" s="56"/>
    </row>
    <row r="29" spans="2:9" ht="14.15" customHeight="1" x14ac:dyDescent="0.25">
      <c r="B29" s="74" t="s">
        <v>188</v>
      </c>
      <c r="C29" s="75">
        <v>198.291</v>
      </c>
      <c r="D29" s="75">
        <v>198.291</v>
      </c>
      <c r="E29" s="75">
        <v>198.291</v>
      </c>
      <c r="F29" s="75">
        <v>198.291</v>
      </c>
      <c r="G29" s="75">
        <v>198.291</v>
      </c>
      <c r="H29" s="75">
        <v>198.291</v>
      </c>
    </row>
    <row r="30" spans="2:9" ht="14.15" customHeight="1" x14ac:dyDescent="0.25">
      <c r="B30" s="74" t="s">
        <v>189</v>
      </c>
      <c r="C30" s="75">
        <v>106.375</v>
      </c>
      <c r="D30" s="75">
        <v>134.798</v>
      </c>
      <c r="E30" s="75">
        <v>160.56899999999999</v>
      </c>
      <c r="F30" s="75">
        <v>191.227</v>
      </c>
      <c r="G30" s="75">
        <v>197.06</v>
      </c>
      <c r="H30" s="75">
        <v>227.96899999999999</v>
      </c>
    </row>
    <row r="31" spans="2:9" ht="14.15" customHeight="1" x14ac:dyDescent="0.25">
      <c r="B31" s="74" t="s">
        <v>190</v>
      </c>
      <c r="C31" s="75">
        <v>0.39</v>
      </c>
      <c r="D31" s="75">
        <v>11.193</v>
      </c>
      <c r="E31" s="75">
        <v>-85.545000000000002</v>
      </c>
      <c r="F31" s="75">
        <v>-76.370999999999995</v>
      </c>
      <c r="G31" s="75">
        <v>-57.271000000000001</v>
      </c>
      <c r="H31" s="75">
        <v>-70.016000000000005</v>
      </c>
    </row>
    <row r="32" spans="2:9" ht="14.15" customHeight="1" x14ac:dyDescent="0.3">
      <c r="B32" s="56" t="s">
        <v>191</v>
      </c>
      <c r="C32" s="83">
        <v>305.05599999999998</v>
      </c>
      <c r="D32" s="83">
        <v>394.54500000000002</v>
      </c>
      <c r="E32" s="83">
        <v>415.06400000000002</v>
      </c>
      <c r="F32" s="83">
        <v>307.66399999999999</v>
      </c>
      <c r="G32" s="83">
        <v>346.00700000000001</v>
      </c>
      <c r="H32" s="73">
        <v>393.37299999999999</v>
      </c>
    </row>
    <row r="33" spans="2:8" ht="14.15" customHeight="1" x14ac:dyDescent="0.3">
      <c r="B33" s="56" t="s">
        <v>192</v>
      </c>
      <c r="C33" s="81">
        <f t="shared" ref="C33:H33" si="5">SUM(C27+C32)</f>
        <v>515.65100000000007</v>
      </c>
      <c r="D33" s="81">
        <f t="shared" si="5"/>
        <v>808.49700000000007</v>
      </c>
      <c r="E33" s="81">
        <f t="shared" si="5"/>
        <v>837.54</v>
      </c>
      <c r="F33" s="81">
        <f t="shared" si="5"/>
        <v>1023.732</v>
      </c>
      <c r="G33" s="81">
        <f t="shared" si="5"/>
        <v>1149.27</v>
      </c>
      <c r="H33" s="81">
        <f t="shared" si="5"/>
        <v>2471.105</v>
      </c>
    </row>
    <row r="34" spans="2:8" ht="14.15" customHeight="1" x14ac:dyDescent="0.25"/>
    <row r="35" spans="2:8" ht="14.15" customHeight="1" x14ac:dyDescent="0.25">
      <c r="B35" s="34" t="s">
        <v>193</v>
      </c>
    </row>
    <row r="36" spans="2:8" ht="14.15" customHeight="1" x14ac:dyDescent="0.25">
      <c r="B36" s="34" t="s">
        <v>78</v>
      </c>
    </row>
    <row r="37" spans="2:8" ht="14.15" customHeight="1" x14ac:dyDescent="0.25">
      <c r="B37" s="34" t="s">
        <v>194</v>
      </c>
    </row>
  </sheetData>
  <mergeCells count="2">
    <mergeCell ref="B3:H3"/>
    <mergeCell ref="B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H22"/>
  <sheetViews>
    <sheetView workbookViewId="0">
      <selection activeCell="B2" sqref="B2:G2"/>
    </sheetView>
  </sheetViews>
  <sheetFormatPr defaultColWidth="12.54296875" defaultRowHeight="12.5" x14ac:dyDescent="0.25"/>
  <cols>
    <col min="1" max="1" width="3.81640625" style="3" customWidth="1"/>
    <col min="2" max="2" width="23" style="3" customWidth="1"/>
    <col min="3" max="7" width="14.453125" style="3" customWidth="1"/>
    <col min="8" max="8" width="12.54296875" style="3" customWidth="1"/>
    <col min="9" max="16384" width="12.54296875" style="3"/>
  </cols>
  <sheetData>
    <row r="2" spans="2:8" ht="13" x14ac:dyDescent="0.25">
      <c r="B2" s="109" t="s">
        <v>195</v>
      </c>
      <c r="C2" s="108"/>
      <c r="D2" s="108"/>
      <c r="E2" s="108"/>
      <c r="F2" s="108"/>
      <c r="G2" s="108"/>
      <c r="H2" s="2"/>
    </row>
    <row r="3" spans="2:8" ht="13" x14ac:dyDescent="0.25">
      <c r="B3" s="109" t="s">
        <v>196</v>
      </c>
      <c r="C3" s="108"/>
      <c r="D3" s="108"/>
      <c r="E3" s="108"/>
      <c r="F3" s="108"/>
      <c r="G3" s="108"/>
      <c r="H3" s="2"/>
    </row>
    <row r="5" spans="2:8" x14ac:dyDescent="0.25">
      <c r="B5" s="63"/>
      <c r="C5" s="84" t="s">
        <v>197</v>
      </c>
      <c r="D5" s="84" t="s">
        <v>198</v>
      </c>
      <c r="E5" s="84" t="s">
        <v>199</v>
      </c>
      <c r="F5" s="84" t="s">
        <v>200</v>
      </c>
      <c r="G5" s="85" t="s">
        <v>201</v>
      </c>
    </row>
    <row r="6" spans="2:8" ht="13" x14ac:dyDescent="0.3">
      <c r="B6" s="86" t="s">
        <v>202</v>
      </c>
      <c r="C6" s="87" t="s">
        <v>203</v>
      </c>
      <c r="D6" s="87" t="s">
        <v>204</v>
      </c>
      <c r="E6" s="87" t="s">
        <v>205</v>
      </c>
      <c r="F6" s="87" t="s">
        <v>206</v>
      </c>
      <c r="G6" s="88" t="s">
        <v>207</v>
      </c>
    </row>
    <row r="7" spans="2:8" x14ac:dyDescent="0.25">
      <c r="B7" s="65" t="s">
        <v>141</v>
      </c>
      <c r="C7" s="89">
        <v>1075.5999999999999</v>
      </c>
      <c r="D7" s="89">
        <v>3719.8</v>
      </c>
      <c r="E7" s="3">
        <v>768.5</v>
      </c>
      <c r="F7" s="89">
        <v>1438.7</v>
      </c>
      <c r="G7" s="90">
        <v>2879.8</v>
      </c>
    </row>
    <row r="8" spans="2:8" x14ac:dyDescent="0.25">
      <c r="B8" s="65" t="s">
        <v>208</v>
      </c>
      <c r="C8" s="3">
        <v>331.6</v>
      </c>
      <c r="D8" s="89">
        <v>2088.6999999999998</v>
      </c>
      <c r="E8" s="3">
        <v>215.5</v>
      </c>
      <c r="F8" s="3">
        <v>653.1</v>
      </c>
      <c r="G8" s="90">
        <v>689.3</v>
      </c>
    </row>
    <row r="9" spans="2:8" x14ac:dyDescent="0.25">
      <c r="B9" s="65" t="s">
        <v>209</v>
      </c>
      <c r="C9" s="3">
        <v>246.4</v>
      </c>
      <c r="D9" s="89">
        <v>818.2</v>
      </c>
      <c r="E9" s="91">
        <v>226</v>
      </c>
      <c r="F9" s="3">
        <v>459.5</v>
      </c>
      <c r="G9" s="90">
        <v>1108.0999999999999</v>
      </c>
    </row>
    <row r="10" spans="2:8" x14ac:dyDescent="0.25">
      <c r="B10" s="65"/>
      <c r="G10" s="92"/>
    </row>
    <row r="11" spans="2:8" ht="13" x14ac:dyDescent="0.3">
      <c r="B11" s="93" t="s">
        <v>210</v>
      </c>
      <c r="G11" s="92"/>
    </row>
    <row r="12" spans="2:8" x14ac:dyDescent="0.25">
      <c r="B12" s="63" t="s">
        <v>211</v>
      </c>
      <c r="C12" s="94">
        <v>0.43</v>
      </c>
      <c r="D12" s="94">
        <v>0.51500000000000001</v>
      </c>
      <c r="E12" s="94">
        <v>0.71599999999999997</v>
      </c>
      <c r="F12" s="94">
        <v>0.57899999999999996</v>
      </c>
      <c r="G12" s="95">
        <v>0.57899999999999996</v>
      </c>
    </row>
    <row r="13" spans="2:8" x14ac:dyDescent="0.25">
      <c r="B13" s="65" t="s">
        <v>212</v>
      </c>
      <c r="C13" s="3">
        <v>24.42</v>
      </c>
      <c r="D13" s="3">
        <v>133</v>
      </c>
      <c r="E13" s="3">
        <v>124.8</v>
      </c>
      <c r="F13" s="3">
        <v>19.100000000000001</v>
      </c>
      <c r="G13" s="92">
        <v>64.599999999999994</v>
      </c>
    </row>
    <row r="14" spans="2:8" x14ac:dyDescent="0.25">
      <c r="B14" s="65" t="s">
        <v>213</v>
      </c>
      <c r="C14" s="96">
        <v>2520</v>
      </c>
      <c r="D14" s="3">
        <v>5000</v>
      </c>
      <c r="E14" s="3">
        <v>11.99</v>
      </c>
      <c r="F14" s="3">
        <v>3450</v>
      </c>
      <c r="G14" s="92">
        <v>1912</v>
      </c>
    </row>
    <row r="15" spans="2:8" x14ac:dyDescent="0.25">
      <c r="B15" s="67" t="s">
        <v>214</v>
      </c>
      <c r="C15" s="97">
        <v>0.68</v>
      </c>
      <c r="D15" s="97">
        <v>0.44</v>
      </c>
      <c r="E15" s="98">
        <v>0</v>
      </c>
      <c r="F15" s="97">
        <v>0.32</v>
      </c>
      <c r="G15" s="99">
        <v>0.13</v>
      </c>
    </row>
    <row r="17" spans="2:2" x14ac:dyDescent="0.25">
      <c r="B17" s="32" t="s">
        <v>47</v>
      </c>
    </row>
    <row r="18" spans="2:2" x14ac:dyDescent="0.25">
      <c r="B18" s="34" t="s">
        <v>215</v>
      </c>
    </row>
    <row r="19" spans="2:2" x14ac:dyDescent="0.25">
      <c r="B19" s="34" t="s">
        <v>216</v>
      </c>
    </row>
    <row r="20" spans="2:2" x14ac:dyDescent="0.25">
      <c r="B20" s="34" t="s">
        <v>217</v>
      </c>
    </row>
    <row r="21" spans="2:2" x14ac:dyDescent="0.25">
      <c r="B21" s="34" t="s">
        <v>218</v>
      </c>
    </row>
    <row r="22" spans="2:2" x14ac:dyDescent="0.25">
      <c r="B22" s="34" t="s">
        <v>219</v>
      </c>
    </row>
  </sheetData>
  <mergeCells count="2">
    <mergeCell ref="B3:G3"/>
    <mergeCell ref="B2: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showGridLines="0" tabSelected="1" topLeftCell="A4" workbookViewId="0">
      <selection activeCell="C28" sqref="C28"/>
    </sheetView>
  </sheetViews>
  <sheetFormatPr defaultRowHeight="14.5" x14ac:dyDescent="0.35"/>
  <cols>
    <col min="1" max="1" width="3" style="115" customWidth="1"/>
    <col min="2" max="2" width="47.453125" style="115" bestFit="1" customWidth="1"/>
    <col min="3" max="3" width="140.1796875" style="115" bestFit="1" customWidth="1"/>
    <col min="4" max="16384" width="8.7265625" style="115"/>
  </cols>
  <sheetData>
    <row r="1" spans="1:5" x14ac:dyDescent="0.35">
      <c r="A1" s="117"/>
      <c r="B1" s="117"/>
      <c r="C1" s="117"/>
      <c r="D1" s="117"/>
    </row>
    <row r="2" spans="1:5" ht="22" customHeight="1" x14ac:dyDescent="0.4">
      <c r="A2" s="117"/>
      <c r="B2" s="118" t="s">
        <v>0</v>
      </c>
      <c r="C2" s="119"/>
      <c r="D2" s="117"/>
    </row>
    <row r="3" spans="1:5" x14ac:dyDescent="0.35">
      <c r="A3" s="117"/>
      <c r="B3" s="117"/>
      <c r="C3" s="117"/>
      <c r="D3" s="117"/>
    </row>
    <row r="4" spans="1:5" x14ac:dyDescent="0.35">
      <c r="A4" s="117"/>
      <c r="B4" s="117"/>
      <c r="C4" s="117"/>
      <c r="D4" s="117"/>
      <c r="E4" s="135"/>
    </row>
    <row r="5" spans="1:5" s="156" customFormat="1" ht="43.5" x14ac:dyDescent="0.35">
      <c r="A5" s="117"/>
      <c r="B5" s="152" t="s">
        <v>1</v>
      </c>
      <c r="C5" s="153" t="s">
        <v>2</v>
      </c>
      <c r="D5" s="117"/>
      <c r="E5" s="155"/>
    </row>
    <row r="6" spans="1:5" s="117" customFormat="1" x14ac:dyDescent="0.35">
      <c r="B6" s="120"/>
      <c r="C6" s="121"/>
    </row>
    <row r="7" spans="1:5" s="158" customFormat="1" ht="29" x14ac:dyDescent="0.35">
      <c r="A7" s="117"/>
      <c r="B7" s="152" t="s">
        <v>3</v>
      </c>
      <c r="C7" s="153" t="s">
        <v>4</v>
      </c>
      <c r="D7" s="117"/>
      <c r="E7" s="157"/>
    </row>
    <row r="8" spans="1:5" s="117" customFormat="1" x14ac:dyDescent="0.35">
      <c r="B8" s="120"/>
      <c r="C8" s="121"/>
    </row>
    <row r="9" spans="1:5" s="158" customFormat="1" ht="29" x14ac:dyDescent="0.35">
      <c r="A9" s="117"/>
      <c r="B9" s="152" t="s">
        <v>5</v>
      </c>
      <c r="C9" s="153" t="s">
        <v>6</v>
      </c>
      <c r="D9" s="117"/>
      <c r="E9" s="157"/>
    </row>
    <row r="10" spans="1:5" s="117" customFormat="1" x14ac:dyDescent="0.35">
      <c r="B10" s="120"/>
      <c r="C10" s="121"/>
    </row>
    <row r="11" spans="1:5" s="156" customFormat="1" ht="29" x14ac:dyDescent="0.35">
      <c r="A11" s="117"/>
      <c r="B11" s="152" t="s">
        <v>7</v>
      </c>
      <c r="C11" s="153" t="s">
        <v>8</v>
      </c>
      <c r="D11" s="117"/>
    </row>
    <row r="12" spans="1:5" s="117" customFormat="1" x14ac:dyDescent="0.35">
      <c r="B12" s="120"/>
      <c r="C12" s="121"/>
    </row>
    <row r="13" spans="1:5" s="156" customFormat="1" ht="58" x14ac:dyDescent="0.35">
      <c r="A13" s="117"/>
      <c r="B13" s="152" t="s">
        <v>9</v>
      </c>
      <c r="C13" s="153" t="s">
        <v>10</v>
      </c>
      <c r="D13" s="117"/>
    </row>
    <row r="14" spans="1:5" s="117" customFormat="1" x14ac:dyDescent="0.35">
      <c r="B14" s="120"/>
      <c r="C14" s="121"/>
    </row>
    <row r="15" spans="1:5" s="156" customFormat="1" ht="29" x14ac:dyDescent="0.35">
      <c r="A15" s="117"/>
      <c r="B15" s="152" t="s">
        <v>11</v>
      </c>
      <c r="C15" s="153" t="s">
        <v>12</v>
      </c>
      <c r="D15" s="117"/>
    </row>
    <row r="16" spans="1:5" s="117" customFormat="1" x14ac:dyDescent="0.35">
      <c r="B16" s="120"/>
      <c r="C16" s="121"/>
    </row>
    <row r="17" spans="1:5" ht="29" x14ac:dyDescent="0.35">
      <c r="A17" s="117"/>
      <c r="B17" s="152" t="s">
        <v>13</v>
      </c>
      <c r="C17" s="153" t="s">
        <v>14</v>
      </c>
      <c r="D17" s="117"/>
    </row>
    <row r="18" spans="1:5" x14ac:dyDescent="0.35">
      <c r="A18" s="117"/>
      <c r="B18" s="120"/>
      <c r="C18" s="121"/>
      <c r="D18" s="117"/>
    </row>
    <row r="19" spans="1:5" x14ac:dyDescent="0.35">
      <c r="A19" s="117"/>
      <c r="B19" s="152" t="s">
        <v>15</v>
      </c>
      <c r="C19" s="153" t="s">
        <v>16</v>
      </c>
      <c r="D19" s="117"/>
    </row>
    <row r="20" spans="1:5" x14ac:dyDescent="0.35">
      <c r="A20" s="117"/>
      <c r="B20" s="120"/>
      <c r="C20" s="121"/>
      <c r="D20" s="117"/>
    </row>
    <row r="21" spans="1:5" s="156" customFormat="1" x14ac:dyDescent="0.35">
      <c r="A21" s="117"/>
      <c r="B21" s="152" t="s">
        <v>17</v>
      </c>
      <c r="C21" s="153" t="s">
        <v>18</v>
      </c>
      <c r="D21" s="117"/>
    </row>
    <row r="22" spans="1:5" s="117" customFormat="1" x14ac:dyDescent="0.35">
      <c r="B22" s="120"/>
      <c r="C22" s="121"/>
    </row>
    <row r="23" spans="1:5" s="156" customFormat="1" ht="58" x14ac:dyDescent="0.35">
      <c r="A23" s="117"/>
      <c r="B23" s="152" t="s">
        <v>19</v>
      </c>
      <c r="C23" s="153" t="s">
        <v>20</v>
      </c>
      <c r="D23" s="117"/>
    </row>
    <row r="24" spans="1:5" s="117" customFormat="1" x14ac:dyDescent="0.35">
      <c r="B24" s="120"/>
      <c r="C24" s="121"/>
    </row>
    <row r="25" spans="1:5" x14ac:dyDescent="0.35">
      <c r="A25" s="154"/>
      <c r="B25" s="152" t="s">
        <v>21</v>
      </c>
      <c r="C25" s="153" t="s">
        <v>22</v>
      </c>
      <c r="D25" s="117"/>
      <c r="E25" s="135"/>
    </row>
    <row r="26" spans="1:5" s="116" customFormat="1" x14ac:dyDescent="0.35">
      <c r="A26" s="117"/>
      <c r="B26" s="117"/>
      <c r="C26" s="117"/>
      <c r="D26" s="117"/>
    </row>
    <row r="27" spans="1:5" x14ac:dyDescent="0.35">
      <c r="A27" s="117"/>
      <c r="B27" s="122"/>
      <c r="C27" s="117"/>
      <c r="D27" s="117"/>
    </row>
    <row r="28" spans="1:5" x14ac:dyDescent="0.35">
      <c r="A28" s="117"/>
      <c r="B28" s="117"/>
      <c r="C28" s="117"/>
      <c r="D28" s="117"/>
      <c r="E28" s="135"/>
    </row>
    <row r="29" spans="1:5" x14ac:dyDescent="0.35">
      <c r="A29" s="116"/>
      <c r="B29" s="116"/>
      <c r="C29" s="116"/>
      <c r="D29" s="116"/>
    </row>
  </sheetData>
  <mergeCells count="1">
    <mergeCell ref="C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6"/>
  <sheetViews>
    <sheetView showGridLines="0" workbookViewId="0">
      <selection sqref="A1:G26"/>
    </sheetView>
  </sheetViews>
  <sheetFormatPr defaultRowHeight="14.5" x14ac:dyDescent="0.35"/>
  <cols>
    <col min="1" max="1" width="3" style="113" customWidth="1"/>
    <col min="2" max="2" width="58.54296875" style="113" bestFit="1" customWidth="1"/>
    <col min="3" max="6" width="16" style="113" customWidth="1"/>
    <col min="7" max="7" width="16.1796875" style="113" customWidth="1"/>
    <col min="8" max="16384" width="8.7265625" style="113"/>
  </cols>
  <sheetData>
    <row r="1" spans="1:8" x14ac:dyDescent="0.35">
      <c r="A1" s="117"/>
      <c r="B1" s="117"/>
      <c r="C1" s="117"/>
      <c r="D1" s="117"/>
      <c r="E1" s="117"/>
      <c r="F1" s="117"/>
      <c r="G1" s="112"/>
      <c r="H1" s="123"/>
    </row>
    <row r="2" spans="1:8" ht="20" customHeight="1" x14ac:dyDescent="0.4">
      <c r="A2" s="117"/>
      <c r="B2" s="118" t="s">
        <v>220</v>
      </c>
      <c r="C2" s="117"/>
      <c r="D2" s="117"/>
      <c r="E2" s="117"/>
      <c r="F2" s="117"/>
      <c r="G2" s="112"/>
      <c r="H2" s="123"/>
    </row>
    <row r="3" spans="1:8" x14ac:dyDescent="0.35">
      <c r="A3" s="117"/>
      <c r="B3" s="117"/>
      <c r="C3" s="117"/>
      <c r="D3" s="117"/>
      <c r="E3" s="117"/>
      <c r="F3" s="117"/>
      <c r="G3" s="112"/>
      <c r="H3" s="123"/>
    </row>
    <row r="4" spans="1:8" x14ac:dyDescent="0.35">
      <c r="A4" s="117"/>
      <c r="B4" s="124" t="s">
        <v>221</v>
      </c>
      <c r="C4" s="117"/>
      <c r="D4" s="117"/>
      <c r="E4" s="117"/>
      <c r="F4" s="117"/>
      <c r="G4" s="112"/>
      <c r="H4" s="123"/>
    </row>
    <row r="5" spans="1:8" x14ac:dyDescent="0.35">
      <c r="A5" s="117"/>
      <c r="B5" s="124" t="s">
        <v>222</v>
      </c>
      <c r="C5" s="125">
        <f>'Exhibit 3_ Debt'!G17</f>
        <v>0.8540265828549124</v>
      </c>
      <c r="D5" s="126"/>
      <c r="E5" s="117"/>
      <c r="F5" s="117"/>
      <c r="G5" s="112"/>
      <c r="H5" s="123"/>
    </row>
    <row r="6" spans="1:8" x14ac:dyDescent="0.35">
      <c r="A6" s="117"/>
      <c r="B6" s="124" t="s">
        <v>223</v>
      </c>
      <c r="C6" s="127">
        <v>0.3</v>
      </c>
      <c r="D6" s="112"/>
      <c r="E6" s="112"/>
      <c r="F6" s="112"/>
      <c r="G6" s="112"/>
      <c r="H6" s="123"/>
    </row>
    <row r="7" spans="1:8" x14ac:dyDescent="0.35">
      <c r="A7" s="117"/>
      <c r="B7" s="124" t="s">
        <v>224</v>
      </c>
      <c r="C7" s="128">
        <f>C5*(1-C6)</f>
        <v>0.59781860799843867</v>
      </c>
      <c r="D7" s="112"/>
      <c r="E7" s="112"/>
      <c r="F7" s="112"/>
      <c r="G7" s="112"/>
      <c r="H7" s="123"/>
    </row>
    <row r="8" spans="1:8" x14ac:dyDescent="0.35">
      <c r="A8" s="117"/>
      <c r="B8" s="117"/>
      <c r="C8" s="112"/>
      <c r="D8" s="112"/>
      <c r="E8" s="112"/>
      <c r="F8" s="112"/>
      <c r="G8" s="112"/>
      <c r="H8" s="123"/>
    </row>
    <row r="9" spans="1:8" x14ac:dyDescent="0.35">
      <c r="A9" s="117"/>
      <c r="B9" s="124" t="s">
        <v>225</v>
      </c>
      <c r="C9" s="117"/>
      <c r="D9" s="112"/>
      <c r="E9" s="112"/>
      <c r="F9" s="112"/>
      <c r="G9" s="112"/>
      <c r="H9" s="123"/>
    </row>
    <row r="10" spans="1:8" ht="36" x14ac:dyDescent="0.35">
      <c r="A10" s="117"/>
      <c r="B10" s="124" t="s">
        <v>226</v>
      </c>
      <c r="C10" s="129">
        <f>'Exhibit 4_Treasury bond'!F11</f>
        <v>8.0999999999999996E-3</v>
      </c>
      <c r="D10" s="126" t="s">
        <v>326</v>
      </c>
      <c r="E10" s="112"/>
      <c r="F10" s="112"/>
      <c r="G10" s="112"/>
      <c r="H10" s="123"/>
    </row>
    <row r="11" spans="1:8" x14ac:dyDescent="0.35">
      <c r="A11" s="117"/>
      <c r="B11" s="124" t="s">
        <v>227</v>
      </c>
      <c r="C11" s="130" t="s">
        <v>126</v>
      </c>
      <c r="D11" s="112"/>
      <c r="E11" s="112"/>
      <c r="F11" s="112"/>
      <c r="G11" s="112"/>
      <c r="H11" s="123"/>
    </row>
    <row r="12" spans="1:8" x14ac:dyDescent="0.35">
      <c r="A12" s="117"/>
      <c r="B12" s="124" t="s">
        <v>228</v>
      </c>
      <c r="C12" s="129">
        <f>'Exhibit 5_Aggregate bond yield'!D13</f>
        <v>2.5000000000000001E-2</v>
      </c>
      <c r="D12" s="112"/>
      <c r="E12" s="112"/>
      <c r="F12" s="112"/>
      <c r="G12" s="112"/>
      <c r="H12" s="123"/>
    </row>
    <row r="13" spans="1:8" x14ac:dyDescent="0.35">
      <c r="A13" s="117"/>
      <c r="B13" s="124" t="s">
        <v>229</v>
      </c>
      <c r="C13" s="128">
        <f>C10+C12</f>
        <v>3.3100000000000004E-2</v>
      </c>
      <c r="D13" s="112"/>
      <c r="E13" s="112"/>
      <c r="F13" s="112"/>
      <c r="G13" s="112"/>
      <c r="H13" s="123"/>
    </row>
    <row r="14" spans="1:8" x14ac:dyDescent="0.35">
      <c r="A14" s="117"/>
      <c r="B14" s="124" t="s">
        <v>223</v>
      </c>
      <c r="C14" s="127">
        <v>0.3</v>
      </c>
      <c r="D14" s="112"/>
      <c r="E14" s="112"/>
      <c r="F14" s="112"/>
      <c r="G14" s="112"/>
      <c r="H14" s="123"/>
    </row>
    <row r="15" spans="1:8" x14ac:dyDescent="0.35">
      <c r="A15" s="117"/>
      <c r="B15" s="124" t="s">
        <v>230</v>
      </c>
      <c r="C15" s="128">
        <f>C13*(1-C14)</f>
        <v>2.3170000000000003E-2</v>
      </c>
      <c r="D15" s="112"/>
      <c r="E15" s="112"/>
      <c r="F15" s="112"/>
      <c r="G15" s="112"/>
      <c r="H15" s="123"/>
    </row>
    <row r="16" spans="1:8" x14ac:dyDescent="0.35">
      <c r="A16" s="117"/>
      <c r="B16" s="117"/>
      <c r="C16" s="117"/>
      <c r="D16" s="117"/>
      <c r="E16" s="117"/>
      <c r="F16" s="117"/>
      <c r="G16" s="117"/>
      <c r="H16" s="123"/>
    </row>
    <row r="17" spans="1:8" x14ac:dyDescent="0.35">
      <c r="A17" s="117"/>
      <c r="B17" s="124" t="s">
        <v>231</v>
      </c>
      <c r="C17" s="117"/>
      <c r="D17" s="117"/>
      <c r="E17" s="117"/>
      <c r="F17" s="117"/>
      <c r="G17" s="117"/>
      <c r="H17" s="123"/>
    </row>
    <row r="18" spans="1:8" x14ac:dyDescent="0.35">
      <c r="A18" s="117"/>
      <c r="B18" s="131" t="s">
        <v>232</v>
      </c>
      <c r="C18" s="131" t="s">
        <v>233</v>
      </c>
      <c r="D18" s="131" t="s">
        <v>234</v>
      </c>
      <c r="E18" s="131" t="s">
        <v>235</v>
      </c>
      <c r="F18" s="117"/>
      <c r="G18" s="117"/>
      <c r="H18" s="123"/>
    </row>
    <row r="19" spans="1:8" x14ac:dyDescent="0.35">
      <c r="A19" s="117"/>
      <c r="B19" s="117" t="s">
        <v>236</v>
      </c>
      <c r="C19" s="125">
        <f>C5</f>
        <v>0.8540265828549124</v>
      </c>
      <c r="D19" s="125">
        <f>C7</f>
        <v>0.59781860799843867</v>
      </c>
      <c r="E19" s="119" t="s">
        <v>237</v>
      </c>
      <c r="F19" s="119"/>
      <c r="G19" s="119"/>
      <c r="H19" s="123"/>
    </row>
    <row r="20" spans="1:8" x14ac:dyDescent="0.35">
      <c r="A20" s="117"/>
      <c r="B20" s="117" t="s">
        <v>238</v>
      </c>
      <c r="C20" s="125">
        <f>C13</f>
        <v>3.3100000000000004E-2</v>
      </c>
      <c r="D20" s="125">
        <f>C15</f>
        <v>2.3170000000000003E-2</v>
      </c>
      <c r="E20" s="119" t="s">
        <v>239</v>
      </c>
      <c r="F20" s="119"/>
      <c r="G20" s="119"/>
      <c r="H20" s="123"/>
    </row>
    <row r="21" spans="1:8" x14ac:dyDescent="0.35">
      <c r="A21" s="112"/>
      <c r="B21" s="112"/>
      <c r="C21" s="112"/>
      <c r="D21" s="112"/>
      <c r="E21" s="112"/>
      <c r="F21" s="112"/>
      <c r="G21" s="112"/>
      <c r="H21" s="123"/>
    </row>
    <row r="22" spans="1:8" x14ac:dyDescent="0.35">
      <c r="A22" s="112"/>
      <c r="B22" s="112"/>
      <c r="C22" s="112"/>
      <c r="D22" s="112"/>
      <c r="E22" s="112"/>
      <c r="F22" s="112"/>
      <c r="G22" s="112"/>
      <c r="H22" s="123"/>
    </row>
    <row r="23" spans="1:8" x14ac:dyDescent="0.35">
      <c r="A23" s="112"/>
      <c r="B23" s="112"/>
      <c r="C23" s="112"/>
      <c r="D23" s="112"/>
      <c r="E23" s="112"/>
      <c r="F23" s="112"/>
      <c r="G23" s="112"/>
      <c r="H23" s="123"/>
    </row>
    <row r="24" spans="1:8" x14ac:dyDescent="0.35">
      <c r="A24" s="112"/>
      <c r="B24" s="112"/>
      <c r="C24" s="112"/>
      <c r="D24" s="112"/>
      <c r="E24" s="112"/>
      <c r="F24" s="112"/>
      <c r="G24" s="112"/>
      <c r="H24" s="123"/>
    </row>
    <row r="25" spans="1:8" x14ac:dyDescent="0.35">
      <c r="A25" s="112"/>
      <c r="B25" s="112"/>
      <c r="C25" s="112"/>
      <c r="D25" s="112"/>
      <c r="E25" s="112"/>
      <c r="F25" s="112"/>
      <c r="G25" s="112"/>
      <c r="H25" s="123"/>
    </row>
    <row r="26" spans="1:8" x14ac:dyDescent="0.35">
      <c r="A26" s="112"/>
      <c r="B26" s="112"/>
      <c r="C26" s="112"/>
      <c r="D26" s="112"/>
      <c r="E26" s="112"/>
      <c r="F26" s="112"/>
      <c r="G26" s="112"/>
      <c r="H26" s="123"/>
    </row>
  </sheetData>
  <mergeCells count="2">
    <mergeCell ref="E20:G20"/>
    <mergeCell ref="E19:G19"/>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6"/>
  <sheetViews>
    <sheetView showGridLines="0" workbookViewId="0">
      <selection activeCell="F15" sqref="F15"/>
    </sheetView>
  </sheetViews>
  <sheetFormatPr defaultRowHeight="14.5" x14ac:dyDescent="0.35"/>
  <cols>
    <col min="1" max="1" width="3" style="113" customWidth="1"/>
    <col min="2" max="2" width="56.81640625" style="113" bestFit="1" customWidth="1"/>
    <col min="3" max="6" width="16" style="113" customWidth="1"/>
    <col min="7" max="7" width="40" style="113" customWidth="1"/>
    <col min="8" max="16384" width="8.7265625" style="113"/>
  </cols>
  <sheetData>
    <row r="1" spans="1:6" x14ac:dyDescent="0.35">
      <c r="A1" s="112"/>
      <c r="B1" s="112"/>
      <c r="C1" s="112"/>
      <c r="D1" s="112"/>
      <c r="E1" s="112"/>
      <c r="F1" s="123"/>
    </row>
    <row r="2" spans="1:6" ht="20" customHeight="1" x14ac:dyDescent="0.4">
      <c r="A2" s="117"/>
      <c r="B2" s="118" t="s">
        <v>240</v>
      </c>
      <c r="C2" s="117"/>
      <c r="D2" s="117"/>
      <c r="E2" s="117"/>
      <c r="F2" s="135"/>
    </row>
    <row r="3" spans="1:6" x14ac:dyDescent="0.35">
      <c r="A3" s="112"/>
      <c r="B3" s="112"/>
      <c r="C3" s="112"/>
      <c r="D3" s="112"/>
      <c r="E3" s="112"/>
      <c r="F3" s="123"/>
    </row>
    <row r="4" spans="1:6" x14ac:dyDescent="0.35">
      <c r="A4" s="117"/>
      <c r="B4" s="124" t="s">
        <v>241</v>
      </c>
      <c r="C4" s="112"/>
      <c r="D4" s="112"/>
      <c r="E4" s="112"/>
      <c r="F4" s="123"/>
    </row>
    <row r="5" spans="1:6" x14ac:dyDescent="0.35">
      <c r="A5" s="117"/>
      <c r="B5" s="124" t="s">
        <v>242</v>
      </c>
      <c r="C5" s="129">
        <f>'Exhibit 4_Treasury bond'!F11</f>
        <v>8.0999999999999996E-3</v>
      </c>
      <c r="D5" s="112"/>
      <c r="E5" s="112"/>
      <c r="F5" s="123"/>
    </row>
    <row r="6" spans="1:6" ht="48" x14ac:dyDescent="0.35">
      <c r="A6" s="117"/>
      <c r="B6" s="124" t="s">
        <v>243</v>
      </c>
      <c r="C6" s="130">
        <v>0.85</v>
      </c>
      <c r="D6" s="126" t="s">
        <v>325</v>
      </c>
      <c r="E6" s="112"/>
      <c r="F6" s="123"/>
    </row>
    <row r="7" spans="1:6" x14ac:dyDescent="0.35">
      <c r="A7" s="117"/>
      <c r="B7" s="124" t="s">
        <v>244</v>
      </c>
      <c r="C7" s="130">
        <v>0.95</v>
      </c>
      <c r="D7" s="117"/>
      <c r="E7" s="112"/>
      <c r="F7" s="123"/>
    </row>
    <row r="8" spans="1:6" x14ac:dyDescent="0.35">
      <c r="A8" s="117"/>
      <c r="B8" s="124" t="s">
        <v>245</v>
      </c>
      <c r="C8" s="130">
        <v>0.94</v>
      </c>
      <c r="D8" s="117"/>
      <c r="E8" s="112"/>
      <c r="F8" s="123"/>
    </row>
    <row r="9" spans="1:6" x14ac:dyDescent="0.35">
      <c r="A9" s="117"/>
      <c r="B9" s="124" t="s">
        <v>246</v>
      </c>
      <c r="C9" s="130">
        <v>1.07</v>
      </c>
      <c r="D9" s="117"/>
      <c r="E9" s="112"/>
      <c r="F9" s="123"/>
    </row>
    <row r="10" spans="1:6" x14ac:dyDescent="0.35">
      <c r="A10" s="117"/>
      <c r="B10" s="124" t="s">
        <v>247</v>
      </c>
      <c r="C10" s="133">
        <f>AVERAGE(C6:C9)</f>
        <v>0.9524999999999999</v>
      </c>
      <c r="D10" s="117"/>
      <c r="E10" s="112"/>
      <c r="F10" s="123"/>
    </row>
    <row r="11" spans="1:6" x14ac:dyDescent="0.35">
      <c r="A11" s="117"/>
      <c r="B11" s="124" t="s">
        <v>248</v>
      </c>
      <c r="C11" s="127">
        <v>6.25E-2</v>
      </c>
      <c r="D11" s="117"/>
      <c r="E11" s="112"/>
      <c r="F11" s="123"/>
    </row>
    <row r="12" spans="1:6" x14ac:dyDescent="0.35">
      <c r="A12" s="117"/>
      <c r="B12" s="124" t="s">
        <v>249</v>
      </c>
      <c r="C12" s="128">
        <f>C5+C10*C11</f>
        <v>6.763124999999999E-2</v>
      </c>
      <c r="D12" s="117"/>
      <c r="E12" s="112"/>
      <c r="F12" s="123"/>
    </row>
    <row r="13" spans="1:6" x14ac:dyDescent="0.35">
      <c r="A13" s="117"/>
      <c r="B13" s="117"/>
      <c r="C13" s="112"/>
      <c r="D13" s="117"/>
      <c r="E13" s="112"/>
      <c r="F13" s="123"/>
    </row>
    <row r="14" spans="1:6" x14ac:dyDescent="0.35">
      <c r="A14" s="117"/>
      <c r="B14" s="124" t="s">
        <v>250</v>
      </c>
      <c r="C14" s="112"/>
      <c r="D14" s="117"/>
      <c r="E14" s="112"/>
      <c r="F14" s="123"/>
    </row>
    <row r="15" spans="1:6" ht="120" x14ac:dyDescent="0.35">
      <c r="A15" s="117"/>
      <c r="B15" s="124" t="s">
        <v>251</v>
      </c>
      <c r="C15" s="134">
        <v>1.72</v>
      </c>
      <c r="D15" s="126" t="s">
        <v>252</v>
      </c>
      <c r="E15" s="112"/>
      <c r="F15" s="123"/>
    </row>
    <row r="16" spans="1:6" x14ac:dyDescent="0.35">
      <c r="A16" s="117"/>
      <c r="B16" s="124" t="s">
        <v>253</v>
      </c>
      <c r="C16" s="127">
        <v>0.03</v>
      </c>
      <c r="D16" s="117"/>
      <c r="E16" s="112"/>
      <c r="F16" s="123"/>
    </row>
    <row r="17" spans="1:6" x14ac:dyDescent="0.35">
      <c r="A17" s="117"/>
      <c r="B17" s="124" t="s">
        <v>254</v>
      </c>
      <c r="C17" s="134">
        <f>C15*(1+C16)</f>
        <v>1.7716000000000001</v>
      </c>
      <c r="D17" s="117"/>
      <c r="E17" s="112"/>
      <c r="F17" s="123"/>
    </row>
    <row r="18" spans="1:6" x14ac:dyDescent="0.35">
      <c r="A18" s="117"/>
      <c r="B18" s="124" t="s">
        <v>255</v>
      </c>
      <c r="C18" s="134">
        <v>84.7</v>
      </c>
      <c r="D18" s="117"/>
      <c r="E18" s="112"/>
      <c r="F18" s="123"/>
    </row>
    <row r="19" spans="1:6" x14ac:dyDescent="0.35">
      <c r="A19" s="117"/>
      <c r="B19" s="124" t="s">
        <v>256</v>
      </c>
      <c r="C19" s="128">
        <f>C17/C18+C16</f>
        <v>5.0916174734356556E-2</v>
      </c>
      <c r="D19" s="117"/>
      <c r="E19" s="112"/>
      <c r="F19" s="123"/>
    </row>
    <row r="20" spans="1:6" x14ac:dyDescent="0.35">
      <c r="A20" s="117"/>
      <c r="B20" s="117"/>
      <c r="C20" s="112"/>
      <c r="D20" s="117"/>
      <c r="E20" s="112"/>
      <c r="F20" s="123"/>
    </row>
    <row r="21" spans="1:6" x14ac:dyDescent="0.35">
      <c r="A21" s="117"/>
      <c r="B21" s="124" t="s">
        <v>257</v>
      </c>
      <c r="C21" s="112"/>
      <c r="D21" s="117"/>
      <c r="E21" s="112"/>
      <c r="F21" s="123"/>
    </row>
    <row r="22" spans="1:6" x14ac:dyDescent="0.35">
      <c r="A22" s="117"/>
      <c r="B22" s="124" t="s">
        <v>258</v>
      </c>
      <c r="C22" s="128">
        <f>C12</f>
        <v>6.763124999999999E-2</v>
      </c>
      <c r="D22" s="126"/>
      <c r="E22" s="112"/>
      <c r="F22" s="123"/>
    </row>
    <row r="23" spans="1:6" x14ac:dyDescent="0.35">
      <c r="A23" s="117"/>
      <c r="B23" s="117"/>
      <c r="C23" s="112"/>
      <c r="D23" s="117"/>
      <c r="E23" s="112"/>
      <c r="F23" s="123"/>
    </row>
    <row r="24" spans="1:6" x14ac:dyDescent="0.35">
      <c r="A24" s="116"/>
      <c r="B24" s="116"/>
      <c r="C24" s="132"/>
      <c r="D24" s="116"/>
      <c r="E24" s="132"/>
    </row>
    <row r="25" spans="1:6" x14ac:dyDescent="0.35">
      <c r="A25" s="115"/>
      <c r="B25" s="115"/>
    </row>
    <row r="26" spans="1:6" x14ac:dyDescent="0.35">
      <c r="A26" s="115"/>
      <c r="B26" s="11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3"/>
  <sheetViews>
    <sheetView showGridLines="0" workbookViewId="0">
      <selection sqref="A1:D23"/>
    </sheetView>
  </sheetViews>
  <sheetFormatPr defaultRowHeight="14.5" x14ac:dyDescent="0.35"/>
  <cols>
    <col min="1" max="1" width="3" style="113" customWidth="1"/>
    <col min="2" max="2" width="49.81640625" style="113" bestFit="1" customWidth="1"/>
    <col min="3" max="6" width="18" style="113" customWidth="1"/>
    <col min="7" max="7" width="40" style="113" customWidth="1"/>
    <col min="8" max="16384" width="8.7265625" style="113"/>
  </cols>
  <sheetData>
    <row r="1" spans="1:6" x14ac:dyDescent="0.35">
      <c r="A1" s="112"/>
      <c r="B1" s="112"/>
      <c r="C1" s="112"/>
      <c r="D1" s="112"/>
      <c r="E1" s="123"/>
    </row>
    <row r="2" spans="1:6" ht="20" customHeight="1" x14ac:dyDescent="0.4">
      <c r="A2" s="117"/>
      <c r="B2" s="118" t="s">
        <v>259</v>
      </c>
      <c r="C2" s="117"/>
      <c r="D2" s="117"/>
      <c r="E2" s="135"/>
      <c r="F2" s="115"/>
    </row>
    <row r="3" spans="1:6" x14ac:dyDescent="0.35">
      <c r="A3" s="112"/>
      <c r="B3" s="112"/>
      <c r="C3" s="112"/>
      <c r="D3" s="112"/>
      <c r="E3" s="123"/>
    </row>
    <row r="4" spans="1:6" x14ac:dyDescent="0.35">
      <c r="A4" s="112"/>
      <c r="B4" s="136" t="s">
        <v>260</v>
      </c>
      <c r="C4" s="112"/>
      <c r="D4" s="112"/>
      <c r="E4" s="123"/>
    </row>
    <row r="5" spans="1:6" ht="36" x14ac:dyDescent="0.35">
      <c r="A5" s="112"/>
      <c r="B5" s="124" t="s">
        <v>261</v>
      </c>
      <c r="C5" s="137">
        <f>'Exhibit 3_ Debt'!D8/1000</f>
        <v>621.26300000000003</v>
      </c>
      <c r="D5" s="126" t="s">
        <v>324</v>
      </c>
      <c r="E5" s="123"/>
    </row>
    <row r="6" spans="1:6" x14ac:dyDescent="0.35">
      <c r="A6" s="112"/>
      <c r="B6" s="124" t="s">
        <v>262</v>
      </c>
      <c r="C6" s="134">
        <f>'Exhibit 3_ Debt'!D9/1000</f>
        <v>50.195</v>
      </c>
      <c r="D6" s="112"/>
      <c r="E6" s="123"/>
    </row>
    <row r="7" spans="1:6" x14ac:dyDescent="0.35">
      <c r="A7" s="112"/>
      <c r="B7" s="124" t="s">
        <v>263</v>
      </c>
      <c r="C7" s="134">
        <f>'Exhibit 3_ Debt'!D10/1000</f>
        <v>35.978000000000002</v>
      </c>
      <c r="D7" s="112"/>
      <c r="E7" s="123"/>
    </row>
    <row r="8" spans="1:6" x14ac:dyDescent="0.35">
      <c r="A8" s="112"/>
      <c r="B8" s="124" t="s">
        <v>264</v>
      </c>
      <c r="C8" s="133">
        <f>SUM(C5:C7)</f>
        <v>707.43600000000004</v>
      </c>
      <c r="D8" s="112"/>
      <c r="E8" s="123"/>
    </row>
    <row r="9" spans="1:6" x14ac:dyDescent="0.35">
      <c r="A9" s="112"/>
      <c r="B9" s="124" t="s">
        <v>265</v>
      </c>
      <c r="C9" s="134">
        <f>'Exhibit 7_Balance sheet'!H32</f>
        <v>393.37299999999999</v>
      </c>
      <c r="D9" s="112"/>
      <c r="E9" s="123"/>
    </row>
    <row r="10" spans="1:6" x14ac:dyDescent="0.35">
      <c r="A10" s="112"/>
      <c r="B10" s="124" t="s">
        <v>266</v>
      </c>
      <c r="C10" s="133">
        <f>C8+C9</f>
        <v>1100.809</v>
      </c>
      <c r="D10" s="112"/>
      <c r="E10" s="123"/>
    </row>
    <row r="11" spans="1:6" x14ac:dyDescent="0.35">
      <c r="A11" s="112"/>
      <c r="B11" s="117"/>
      <c r="C11" s="112"/>
      <c r="D11" s="112"/>
      <c r="E11" s="123"/>
    </row>
    <row r="12" spans="1:6" x14ac:dyDescent="0.35">
      <c r="A12" s="112"/>
      <c r="B12" s="136" t="s">
        <v>267</v>
      </c>
      <c r="C12" s="112"/>
      <c r="D12" s="112"/>
      <c r="E12" s="123"/>
    </row>
    <row r="13" spans="1:6" x14ac:dyDescent="0.35">
      <c r="A13" s="112"/>
      <c r="B13" s="124" t="s">
        <v>268</v>
      </c>
      <c r="C13" s="128">
        <f>C8/C10</f>
        <v>0.64265099576765816</v>
      </c>
      <c r="D13" s="112"/>
      <c r="E13" s="123"/>
    </row>
    <row r="14" spans="1:6" x14ac:dyDescent="0.35">
      <c r="A14" s="112"/>
      <c r="B14" s="124" t="s">
        <v>269</v>
      </c>
      <c r="C14" s="128">
        <f>C9/C10</f>
        <v>0.35734900423234184</v>
      </c>
      <c r="D14" s="112"/>
      <c r="E14" s="123"/>
    </row>
    <row r="15" spans="1:6" x14ac:dyDescent="0.35">
      <c r="A15" s="112"/>
      <c r="B15" s="117"/>
      <c r="C15" s="112"/>
      <c r="D15" s="112"/>
      <c r="E15" s="123"/>
    </row>
    <row r="16" spans="1:6" x14ac:dyDescent="0.35">
      <c r="A16" s="112"/>
      <c r="B16" s="136" t="s">
        <v>270</v>
      </c>
      <c r="C16" s="112"/>
      <c r="D16" s="112"/>
      <c r="E16" s="123"/>
    </row>
    <row r="17" spans="1:5" x14ac:dyDescent="0.35">
      <c r="A17" s="112"/>
      <c r="B17" s="124" t="s">
        <v>271</v>
      </c>
      <c r="C17" s="129">
        <f>'Q2 - Cost of Debt'!C15</f>
        <v>2.3170000000000003E-2</v>
      </c>
      <c r="D17" s="112"/>
      <c r="E17" s="123"/>
    </row>
    <row r="18" spans="1:5" x14ac:dyDescent="0.35">
      <c r="A18" s="112"/>
      <c r="B18" s="124" t="s">
        <v>272</v>
      </c>
      <c r="C18" s="129">
        <f>'Q3 - Cost of Equity'!C22</f>
        <v>6.763124999999999E-2</v>
      </c>
      <c r="D18" s="112"/>
      <c r="E18" s="123"/>
    </row>
    <row r="19" spans="1:5" x14ac:dyDescent="0.35">
      <c r="A19" s="112"/>
      <c r="B19" s="117"/>
      <c r="C19" s="112"/>
      <c r="D19" s="112"/>
      <c r="E19" s="123"/>
    </row>
    <row r="20" spans="1:5" x14ac:dyDescent="0.35">
      <c r="A20" s="112"/>
      <c r="B20" s="136" t="s">
        <v>273</v>
      </c>
      <c r="C20" s="112"/>
      <c r="D20" s="112"/>
      <c r="E20" s="123"/>
    </row>
    <row r="21" spans="1:5" ht="18.5" x14ac:dyDescent="0.45">
      <c r="A21" s="112"/>
      <c r="B21" s="124" t="s">
        <v>274</v>
      </c>
      <c r="C21" s="138">
        <f>C13*C17+C14*C18</f>
        <v>3.9058183414425206E-2</v>
      </c>
      <c r="D21" s="112"/>
      <c r="E21" s="123"/>
    </row>
    <row r="22" spans="1:5" x14ac:dyDescent="0.35">
      <c r="A22" s="112"/>
      <c r="B22" s="117"/>
      <c r="C22" s="112"/>
      <c r="D22" s="112"/>
      <c r="E22" s="123"/>
    </row>
    <row r="23" spans="1:5" x14ac:dyDescent="0.35">
      <c r="A23" s="112"/>
      <c r="B23" s="112"/>
      <c r="C23" s="112"/>
      <c r="D23" s="112"/>
      <c r="E23" s="12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5"/>
  <sheetViews>
    <sheetView showGridLines="0" workbookViewId="0">
      <selection sqref="A1:D25"/>
    </sheetView>
  </sheetViews>
  <sheetFormatPr defaultRowHeight="14.5" x14ac:dyDescent="0.35"/>
  <cols>
    <col min="1" max="1" width="3" style="113" customWidth="1"/>
    <col min="2" max="2" width="55.08984375" style="113" bestFit="1" customWidth="1"/>
    <col min="3" max="6" width="18" style="113" customWidth="1"/>
    <col min="7" max="7" width="40" style="113" customWidth="1"/>
    <col min="8" max="16384" width="8.7265625" style="113"/>
  </cols>
  <sheetData>
    <row r="1" spans="1:6" x14ac:dyDescent="0.35">
      <c r="A1" s="112"/>
      <c r="B1" s="112"/>
      <c r="C1" s="112"/>
      <c r="D1" s="112"/>
      <c r="E1" s="123"/>
    </row>
    <row r="2" spans="1:6" ht="20" customHeight="1" x14ac:dyDescent="0.4">
      <c r="A2" s="117"/>
      <c r="B2" s="118" t="s">
        <v>275</v>
      </c>
      <c r="C2" s="117"/>
      <c r="D2" s="117"/>
      <c r="E2" s="135"/>
      <c r="F2" s="115"/>
    </row>
    <row r="3" spans="1:6" x14ac:dyDescent="0.35">
      <c r="A3" s="112"/>
      <c r="B3" s="112"/>
      <c r="C3" s="112"/>
      <c r="D3" s="112"/>
      <c r="E3" s="123"/>
    </row>
    <row r="4" spans="1:6" x14ac:dyDescent="0.35">
      <c r="A4" s="117"/>
      <c r="B4" s="136" t="s">
        <v>276</v>
      </c>
      <c r="C4" s="112"/>
      <c r="D4" s="112"/>
      <c r="E4" s="123"/>
    </row>
    <row r="5" spans="1:6" x14ac:dyDescent="0.35">
      <c r="A5" s="117"/>
      <c r="B5" s="124" t="s">
        <v>277</v>
      </c>
      <c r="C5" s="139">
        <v>86.24</v>
      </c>
      <c r="D5" s="122"/>
      <c r="E5" s="123"/>
    </row>
    <row r="6" spans="1:6" x14ac:dyDescent="0.35">
      <c r="A6" s="117"/>
      <c r="B6" s="124" t="s">
        <v>278</v>
      </c>
      <c r="C6" s="139">
        <v>84.7</v>
      </c>
      <c r="D6" s="112"/>
      <c r="E6" s="123"/>
    </row>
    <row r="7" spans="1:6" x14ac:dyDescent="0.35">
      <c r="A7" s="117"/>
      <c r="B7" s="124" t="s">
        <v>279</v>
      </c>
      <c r="C7" s="133">
        <f>C5*C6</f>
        <v>7304.5280000000002</v>
      </c>
      <c r="D7" s="112"/>
      <c r="E7" s="123"/>
    </row>
    <row r="8" spans="1:6" x14ac:dyDescent="0.35">
      <c r="A8" s="117"/>
      <c r="B8" s="124" t="s">
        <v>280</v>
      </c>
      <c r="C8" s="134">
        <f>'Q4a - WACC - Book Value'!C8</f>
        <v>707.43600000000004</v>
      </c>
      <c r="D8" s="112"/>
      <c r="E8" s="123"/>
    </row>
    <row r="9" spans="1:6" x14ac:dyDescent="0.35">
      <c r="A9" s="117"/>
      <c r="B9" s="124" t="s">
        <v>281</v>
      </c>
      <c r="C9" s="133">
        <f>C7+C8</f>
        <v>8011.9639999999999</v>
      </c>
      <c r="D9" s="112"/>
      <c r="E9" s="123"/>
    </row>
    <row r="10" spans="1:6" x14ac:dyDescent="0.35">
      <c r="A10" s="117"/>
      <c r="B10" s="117"/>
      <c r="C10" s="112"/>
      <c r="D10" s="112"/>
      <c r="E10" s="123"/>
    </row>
    <row r="11" spans="1:6" x14ac:dyDescent="0.35">
      <c r="A11" s="117"/>
      <c r="B11" s="136" t="s">
        <v>267</v>
      </c>
      <c r="C11" s="112"/>
      <c r="D11" s="112"/>
      <c r="E11" s="123"/>
    </row>
    <row r="12" spans="1:6" x14ac:dyDescent="0.35">
      <c r="A12" s="117"/>
      <c r="B12" s="124" t="s">
        <v>268</v>
      </c>
      <c r="C12" s="128">
        <f>C8/C9</f>
        <v>8.8297451161787555E-2</v>
      </c>
      <c r="D12" s="112"/>
      <c r="E12" s="123"/>
    </row>
    <row r="13" spans="1:6" x14ac:dyDescent="0.35">
      <c r="A13" s="117"/>
      <c r="B13" s="124" t="s">
        <v>269</v>
      </c>
      <c r="C13" s="128">
        <f>C7/C9</f>
        <v>0.91170254883821245</v>
      </c>
      <c r="D13" s="112"/>
      <c r="E13" s="123"/>
    </row>
    <row r="14" spans="1:6" x14ac:dyDescent="0.35">
      <c r="A14" s="117"/>
      <c r="B14" s="117"/>
      <c r="C14" s="112"/>
      <c r="D14" s="112"/>
      <c r="E14" s="123"/>
    </row>
    <row r="15" spans="1:6" x14ac:dyDescent="0.35">
      <c r="A15" s="117"/>
      <c r="B15" s="136" t="s">
        <v>270</v>
      </c>
      <c r="C15" s="112"/>
      <c r="D15" s="112"/>
      <c r="E15" s="123"/>
    </row>
    <row r="16" spans="1:6" x14ac:dyDescent="0.35">
      <c r="A16" s="117"/>
      <c r="B16" s="124" t="s">
        <v>271</v>
      </c>
      <c r="C16" s="129">
        <f>'Q2 - Cost of Debt'!C15</f>
        <v>2.3170000000000003E-2</v>
      </c>
      <c r="D16" s="112"/>
      <c r="E16" s="123"/>
    </row>
    <row r="17" spans="1:5" x14ac:dyDescent="0.35">
      <c r="A17" s="117"/>
      <c r="B17" s="124" t="s">
        <v>272</v>
      </c>
      <c r="C17" s="129">
        <f>'Q3 - Cost of Equity'!C22</f>
        <v>6.763124999999999E-2</v>
      </c>
      <c r="D17" s="112"/>
      <c r="E17" s="123"/>
    </row>
    <row r="18" spans="1:5" x14ac:dyDescent="0.35">
      <c r="A18" s="117"/>
      <c r="B18" s="117"/>
      <c r="C18" s="112"/>
      <c r="D18" s="112"/>
      <c r="E18" s="123"/>
    </row>
    <row r="19" spans="1:5" x14ac:dyDescent="0.35">
      <c r="A19" s="117"/>
      <c r="B19" s="136" t="s">
        <v>282</v>
      </c>
      <c r="C19" s="112"/>
      <c r="D19" s="112"/>
      <c r="E19" s="123"/>
    </row>
    <row r="20" spans="1:5" ht="18.5" x14ac:dyDescent="0.45">
      <c r="A20" s="117"/>
      <c r="B20" s="124" t="s">
        <v>274</v>
      </c>
      <c r="C20" s="138">
        <f>C12*C16+C13*C17</f>
        <v>6.3705434949532971E-2</v>
      </c>
      <c r="D20" s="112"/>
      <c r="E20" s="123"/>
    </row>
    <row r="21" spans="1:5" x14ac:dyDescent="0.35">
      <c r="A21" s="117"/>
      <c r="B21" s="117"/>
      <c r="C21" s="112"/>
      <c r="D21" s="112"/>
      <c r="E21" s="123"/>
    </row>
    <row r="22" spans="1:5" x14ac:dyDescent="0.35">
      <c r="A22" s="117"/>
      <c r="B22" s="122"/>
      <c r="C22" s="112"/>
      <c r="D22" s="112"/>
      <c r="E22" s="123"/>
    </row>
    <row r="23" spans="1:5" x14ac:dyDescent="0.35">
      <c r="A23" s="112"/>
      <c r="B23" s="112"/>
      <c r="C23" s="112"/>
      <c r="D23" s="112"/>
      <c r="E23" s="123"/>
    </row>
    <row r="24" spans="1:5" x14ac:dyDescent="0.35">
      <c r="A24" s="112"/>
      <c r="B24" s="112"/>
      <c r="C24" s="112"/>
      <c r="D24" s="112"/>
      <c r="E24" s="123"/>
    </row>
    <row r="25" spans="1:5" x14ac:dyDescent="0.35">
      <c r="A25" s="112"/>
      <c r="B25" s="112"/>
      <c r="C25" s="112"/>
      <c r="D25" s="112"/>
      <c r="E25" s="123"/>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8"/>
  <sheetViews>
    <sheetView showGridLines="0" workbookViewId="0">
      <selection sqref="A1:D18"/>
    </sheetView>
  </sheetViews>
  <sheetFormatPr defaultRowHeight="14.5" x14ac:dyDescent="0.35"/>
  <cols>
    <col min="1" max="1" width="3" style="113" customWidth="1"/>
    <col min="2" max="2" width="53.36328125" style="113" bestFit="1" customWidth="1"/>
    <col min="3" max="6" width="18" style="113" customWidth="1"/>
    <col min="7" max="7" width="40" style="113" customWidth="1"/>
    <col min="8" max="16384" width="8.7265625" style="113"/>
  </cols>
  <sheetData>
    <row r="1" spans="1:7" x14ac:dyDescent="0.35">
      <c r="A1" s="117"/>
      <c r="B1" s="117"/>
      <c r="C1" s="112"/>
      <c r="D1" s="112"/>
      <c r="E1" s="123"/>
    </row>
    <row r="2" spans="1:7" ht="20" customHeight="1" x14ac:dyDescent="0.4">
      <c r="A2" s="117"/>
      <c r="B2" s="118" t="s">
        <v>283</v>
      </c>
      <c r="C2" s="117"/>
      <c r="D2" s="117"/>
      <c r="E2" s="135"/>
      <c r="F2" s="115"/>
    </row>
    <row r="3" spans="1:7" x14ac:dyDescent="0.35">
      <c r="A3" s="117"/>
      <c r="B3" s="122"/>
      <c r="C3" s="112"/>
      <c r="D3" s="112"/>
      <c r="E3" s="123"/>
      <c r="G3" s="115"/>
    </row>
    <row r="4" spans="1:7" x14ac:dyDescent="0.35">
      <c r="A4" s="117"/>
      <c r="B4" s="117"/>
      <c r="C4" s="112"/>
      <c r="D4" s="112"/>
      <c r="E4" s="123"/>
    </row>
    <row r="5" spans="1:7" x14ac:dyDescent="0.35">
      <c r="A5" s="117"/>
      <c r="B5" s="136" t="s">
        <v>284</v>
      </c>
      <c r="C5" s="112"/>
      <c r="D5" s="112"/>
      <c r="E5" s="123"/>
    </row>
    <row r="6" spans="1:7" x14ac:dyDescent="0.35">
      <c r="A6" s="117"/>
      <c r="B6" s="124" t="s">
        <v>285</v>
      </c>
      <c r="C6" s="127">
        <v>0.18</v>
      </c>
      <c r="D6" s="112"/>
      <c r="E6" s="123"/>
    </row>
    <row r="7" spans="1:7" x14ac:dyDescent="0.35">
      <c r="A7" s="117"/>
      <c r="B7" s="124" t="s">
        <v>286</v>
      </c>
      <c r="C7" s="128">
        <f>C6/(1+C6)</f>
        <v>0.15254237288135594</v>
      </c>
      <c r="D7" s="112"/>
      <c r="E7" s="123"/>
    </row>
    <row r="8" spans="1:7" x14ac:dyDescent="0.35">
      <c r="A8" s="117"/>
      <c r="B8" s="124" t="s">
        <v>287</v>
      </c>
      <c r="C8" s="128">
        <f>1/(1+C6)</f>
        <v>0.84745762711864414</v>
      </c>
      <c r="D8" s="112"/>
      <c r="E8" s="123"/>
    </row>
    <row r="9" spans="1:7" x14ac:dyDescent="0.35">
      <c r="A9" s="117"/>
      <c r="B9" s="117"/>
      <c r="C9" s="112"/>
      <c r="D9" s="112"/>
      <c r="E9" s="123"/>
    </row>
    <row r="10" spans="1:7" x14ac:dyDescent="0.35">
      <c r="A10" s="117"/>
      <c r="B10" s="136" t="s">
        <v>270</v>
      </c>
      <c r="C10" s="112"/>
      <c r="D10" s="112"/>
      <c r="E10" s="123"/>
    </row>
    <row r="11" spans="1:7" x14ac:dyDescent="0.35">
      <c r="A11" s="117"/>
      <c r="B11" s="124" t="s">
        <v>271</v>
      </c>
      <c r="C11" s="129">
        <f>'Q2 - Cost of Debt'!C15</f>
        <v>2.3170000000000003E-2</v>
      </c>
      <c r="D11" s="112"/>
      <c r="E11" s="123"/>
    </row>
    <row r="12" spans="1:7" x14ac:dyDescent="0.35">
      <c r="A12" s="117"/>
      <c r="B12" s="124" t="s">
        <v>272</v>
      </c>
      <c r="C12" s="129">
        <f>'Q3 - Cost of Equity'!C22</f>
        <v>6.763124999999999E-2</v>
      </c>
      <c r="D12" s="112"/>
      <c r="E12" s="123"/>
    </row>
    <row r="13" spans="1:7" x14ac:dyDescent="0.35">
      <c r="A13" s="117"/>
      <c r="B13" s="117"/>
      <c r="C13" s="112"/>
      <c r="D13" s="112"/>
      <c r="E13" s="123"/>
    </row>
    <row r="14" spans="1:7" x14ac:dyDescent="0.35">
      <c r="A14" s="117"/>
      <c r="B14" s="136" t="s">
        <v>288</v>
      </c>
      <c r="C14" s="112"/>
      <c r="D14" s="112"/>
      <c r="E14" s="123"/>
    </row>
    <row r="15" spans="1:7" ht="18.5" x14ac:dyDescent="0.45">
      <c r="A15" s="117"/>
      <c r="B15" s="124" t="s">
        <v>274</v>
      </c>
      <c r="C15" s="138">
        <f>C7*C11+C8*C12</f>
        <v>6.084902542372881E-2</v>
      </c>
      <c r="D15" s="112"/>
      <c r="E15" s="123"/>
    </row>
    <row r="16" spans="1:7" x14ac:dyDescent="0.35">
      <c r="A16" s="117"/>
      <c r="B16" s="117"/>
      <c r="C16" s="112"/>
      <c r="D16" s="112"/>
      <c r="E16" s="123"/>
    </row>
    <row r="17" spans="1:5" x14ac:dyDescent="0.35">
      <c r="A17" s="112"/>
      <c r="B17" s="112"/>
      <c r="C17" s="112"/>
      <c r="D17" s="112"/>
      <c r="E17" s="123"/>
    </row>
    <row r="18" spans="1:5" x14ac:dyDescent="0.35">
      <c r="A18" s="112"/>
      <c r="B18" s="112"/>
      <c r="C18" s="112"/>
      <c r="D18" s="112"/>
      <c r="E18" s="123"/>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5"/>
  <sheetViews>
    <sheetView showGridLines="0" topLeftCell="A2" workbookViewId="0">
      <selection activeCell="A2" sqref="A2:H15"/>
    </sheetView>
  </sheetViews>
  <sheetFormatPr defaultRowHeight="14.5" x14ac:dyDescent="0.35"/>
  <cols>
    <col min="1" max="1" width="3" style="114" customWidth="1"/>
    <col min="2" max="2" width="65.7265625" style="114" bestFit="1" customWidth="1"/>
    <col min="3" max="3" width="28.453125" style="114" bestFit="1" customWidth="1"/>
    <col min="4" max="4" width="13.6328125" style="114" bestFit="1" customWidth="1"/>
    <col min="5" max="5" width="14.81640625" style="114" bestFit="1" customWidth="1"/>
    <col min="6" max="6" width="12.08984375" style="114" bestFit="1" customWidth="1"/>
    <col min="7" max="7" width="5.81640625" style="114" bestFit="1" customWidth="1"/>
    <col min="8" max="8" width="17.453125" style="114" customWidth="1"/>
    <col min="9" max="16384" width="8.7265625" style="114"/>
  </cols>
  <sheetData>
    <row r="1" spans="1:9" x14ac:dyDescent="0.35">
      <c r="A1" s="141"/>
      <c r="B1" s="141"/>
      <c r="C1" s="141"/>
      <c r="D1" s="141"/>
      <c r="E1" s="141"/>
      <c r="F1" s="141"/>
      <c r="G1" s="141"/>
      <c r="H1" s="141"/>
    </row>
    <row r="2" spans="1:9" ht="20" customHeight="1" x14ac:dyDescent="0.35">
      <c r="A2" s="117"/>
      <c r="B2" s="142" t="s">
        <v>289</v>
      </c>
      <c r="C2" s="117"/>
      <c r="D2" s="117"/>
      <c r="E2" s="117"/>
      <c r="F2" s="117"/>
      <c r="G2" s="117"/>
      <c r="H2" s="143"/>
      <c r="I2" s="140"/>
    </row>
    <row r="3" spans="1:9" ht="72.5" x14ac:dyDescent="0.35">
      <c r="A3" s="117"/>
      <c r="B3" s="121" t="s">
        <v>323</v>
      </c>
      <c r="C3" s="117"/>
      <c r="D3" s="117"/>
      <c r="E3" s="117"/>
      <c r="F3" s="117"/>
      <c r="G3" s="117"/>
      <c r="H3" s="143"/>
      <c r="I3" s="140"/>
    </row>
    <row r="4" spans="1:9" x14ac:dyDescent="0.35">
      <c r="A4" s="117"/>
      <c r="B4" s="117"/>
      <c r="C4" s="117"/>
      <c r="D4" s="117"/>
      <c r="E4" s="117"/>
      <c r="F4" s="117"/>
      <c r="G4" s="117"/>
      <c r="H4" s="143"/>
      <c r="I4" s="140"/>
    </row>
    <row r="5" spans="1:9" x14ac:dyDescent="0.35">
      <c r="A5" s="117"/>
      <c r="B5" s="144" t="s">
        <v>290</v>
      </c>
      <c r="C5" s="144" t="s">
        <v>235</v>
      </c>
      <c r="D5" s="144" t="s">
        <v>291</v>
      </c>
      <c r="E5" s="144" t="s">
        <v>292</v>
      </c>
      <c r="F5" s="144" t="s">
        <v>293</v>
      </c>
      <c r="G5" s="144" t="s">
        <v>294</v>
      </c>
      <c r="H5" s="144" t="s">
        <v>295</v>
      </c>
      <c r="I5" s="140"/>
    </row>
    <row r="6" spans="1:9" ht="32" customHeight="1" x14ac:dyDescent="0.35">
      <c r="A6" s="117"/>
      <c r="B6" s="142" t="s">
        <v>296</v>
      </c>
      <c r="C6" s="121" t="s">
        <v>297</v>
      </c>
      <c r="D6" s="125">
        <f>'Q4b - WACC - Market Value'!C12</f>
        <v>8.8297451161787555E-2</v>
      </c>
      <c r="E6" s="125">
        <f>'Q4b - WACC - Market Value'!C13</f>
        <v>0.91170254883821245</v>
      </c>
      <c r="F6" s="125">
        <f>'Q2 - Cost of Debt'!C15</f>
        <v>2.3170000000000003E-2</v>
      </c>
      <c r="G6" s="125">
        <f>'Q3 - Cost of Equity'!C22</f>
        <v>6.763124999999999E-2</v>
      </c>
      <c r="H6" s="145">
        <f>'Q4b - WACC - Market Value'!C20</f>
        <v>6.3705434949532971E-2</v>
      </c>
      <c r="I6" s="140"/>
    </row>
    <row r="7" spans="1:9" ht="32" customHeight="1" x14ac:dyDescent="0.35">
      <c r="A7" s="117"/>
      <c r="B7" s="142" t="s">
        <v>298</v>
      </c>
      <c r="C7" s="121" t="s">
        <v>299</v>
      </c>
      <c r="D7" s="125">
        <f>'Q4c - Scenario - Target DE 18%'!C7</f>
        <v>0.15254237288135594</v>
      </c>
      <c r="E7" s="125">
        <f>'Q4c - Scenario - Target DE 18%'!C8</f>
        <v>0.84745762711864414</v>
      </c>
      <c r="F7" s="125">
        <f>'Q2 - Cost of Debt'!C15</f>
        <v>2.3170000000000003E-2</v>
      </c>
      <c r="G7" s="125">
        <f>'Q3 - Cost of Equity'!C22</f>
        <v>6.763124999999999E-2</v>
      </c>
      <c r="H7" s="145">
        <f>'Q4c - Scenario - Target DE 18%'!C15</f>
        <v>6.084902542372881E-2</v>
      </c>
      <c r="I7" s="140"/>
    </row>
    <row r="8" spans="1:9" ht="32" customHeight="1" x14ac:dyDescent="0.35">
      <c r="A8" s="117"/>
      <c r="B8" s="142" t="s">
        <v>300</v>
      </c>
      <c r="C8" s="121" t="s">
        <v>301</v>
      </c>
      <c r="D8" s="125">
        <f>'Q4a - WACC - Book Value'!C13</f>
        <v>0.64265099576765816</v>
      </c>
      <c r="E8" s="125">
        <f>'Q4a - WACC - Book Value'!C14</f>
        <v>0.35734900423234184</v>
      </c>
      <c r="F8" s="125">
        <f>'Q2 - Cost of Debt'!C15</f>
        <v>2.3170000000000003E-2</v>
      </c>
      <c r="G8" s="125">
        <f>'Q3 - Cost of Equity'!C22</f>
        <v>6.763124999999999E-2</v>
      </c>
      <c r="H8" s="145">
        <f>'Q4a - WACC - Book Value'!C21</f>
        <v>3.9058183414425206E-2</v>
      </c>
      <c r="I8" s="140"/>
    </row>
    <row r="9" spans="1:9" x14ac:dyDescent="0.35">
      <c r="A9" s="117"/>
      <c r="B9" s="117"/>
      <c r="C9" s="117"/>
      <c r="D9" s="117"/>
      <c r="E9" s="117"/>
      <c r="F9" s="117"/>
      <c r="G9" s="117"/>
      <c r="H9" s="143"/>
      <c r="I9" s="140"/>
    </row>
    <row r="10" spans="1:9" x14ac:dyDescent="0.35">
      <c r="A10" s="117"/>
      <c r="B10" s="117"/>
      <c r="C10" s="117"/>
      <c r="D10" s="117"/>
      <c r="E10" s="117"/>
      <c r="F10" s="117"/>
      <c r="G10" s="117"/>
      <c r="H10" s="143"/>
      <c r="I10" s="140"/>
    </row>
    <row r="11" spans="1:9" x14ac:dyDescent="0.35">
      <c r="A11" s="117"/>
      <c r="B11" s="146" t="s">
        <v>302</v>
      </c>
      <c r="C11" s="117"/>
      <c r="D11" s="117"/>
      <c r="E11" s="117"/>
      <c r="F11" s="117"/>
      <c r="G11" s="117"/>
      <c r="H11" s="143"/>
      <c r="I11" s="140"/>
    </row>
    <row r="12" spans="1:9" ht="110" customHeight="1" x14ac:dyDescent="0.35">
      <c r="A12" s="143"/>
      <c r="B12" s="147" t="s">
        <v>303</v>
      </c>
      <c r="C12" s="148"/>
      <c r="D12" s="148"/>
      <c r="E12" s="148"/>
      <c r="F12" s="148"/>
      <c r="G12" s="148"/>
      <c r="H12" s="148"/>
      <c r="I12" s="140"/>
    </row>
    <row r="13" spans="1:9" x14ac:dyDescent="0.35">
      <c r="A13" s="143"/>
      <c r="B13" s="143"/>
      <c r="C13" s="143"/>
      <c r="D13" s="143"/>
      <c r="E13" s="143"/>
      <c r="F13" s="143"/>
      <c r="G13" s="143"/>
      <c r="H13" s="143"/>
      <c r="I13" s="140"/>
    </row>
    <row r="14" spans="1:9" x14ac:dyDescent="0.35">
      <c r="A14" s="143"/>
      <c r="B14" s="143"/>
      <c r="C14" s="143"/>
      <c r="D14" s="143"/>
      <c r="E14" s="143"/>
      <c r="F14" s="143"/>
      <c r="G14" s="143"/>
      <c r="H14" s="143"/>
      <c r="I14" s="140"/>
    </row>
    <row r="15" spans="1:9" x14ac:dyDescent="0.35">
      <c r="A15" s="143"/>
      <c r="B15" s="143"/>
      <c r="C15" s="143"/>
      <c r="D15" s="143"/>
      <c r="E15" s="143"/>
      <c r="F15" s="143"/>
      <c r="G15" s="143"/>
      <c r="H15" s="143"/>
      <c r="I15" s="140"/>
    </row>
  </sheetData>
  <mergeCells count="1">
    <mergeCell ref="B12:H1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31"/>
  <sheetViews>
    <sheetView showGridLines="0" workbookViewId="0">
      <selection activeCell="E5" sqref="E5"/>
    </sheetView>
  </sheetViews>
  <sheetFormatPr defaultRowHeight="14.5" x14ac:dyDescent="0.35"/>
  <cols>
    <col min="1" max="1" width="3" style="115" customWidth="1"/>
    <col min="2" max="2" width="100" style="115" customWidth="1"/>
    <col min="3" max="16384" width="8.7265625" style="115"/>
  </cols>
  <sheetData>
    <row r="1" spans="1:4" x14ac:dyDescent="0.35">
      <c r="A1" s="117"/>
      <c r="B1" s="117"/>
      <c r="C1" s="117"/>
      <c r="D1" s="117"/>
    </row>
    <row r="2" spans="1:4" ht="20" customHeight="1" x14ac:dyDescent="0.4">
      <c r="A2" s="117"/>
      <c r="B2" s="149" t="s">
        <v>304</v>
      </c>
      <c r="C2" s="117"/>
      <c r="D2" s="117"/>
    </row>
    <row r="3" spans="1:4" x14ac:dyDescent="0.35">
      <c r="A3" s="117"/>
      <c r="B3" s="117"/>
      <c r="C3" s="117"/>
      <c r="D3" s="117"/>
    </row>
    <row r="4" spans="1:4" ht="18" customHeight="1" x14ac:dyDescent="0.35">
      <c r="A4" s="117"/>
      <c r="B4" s="150" t="s">
        <v>305</v>
      </c>
      <c r="C4" s="117"/>
      <c r="D4" s="117"/>
    </row>
    <row r="5" spans="1:4" ht="150" customHeight="1" x14ac:dyDescent="0.35">
      <c r="A5" s="117"/>
      <c r="B5" s="121" t="s">
        <v>306</v>
      </c>
      <c r="C5" s="117"/>
      <c r="D5" s="117"/>
    </row>
    <row r="6" spans="1:4" x14ac:dyDescent="0.35">
      <c r="A6" s="117"/>
      <c r="B6" s="117"/>
      <c r="C6" s="117"/>
      <c r="D6" s="117"/>
    </row>
    <row r="7" spans="1:4" ht="18" customHeight="1" x14ac:dyDescent="0.35">
      <c r="A7" s="117"/>
      <c r="B7" s="150" t="s">
        <v>307</v>
      </c>
      <c r="C7" s="117"/>
      <c r="D7" s="117"/>
    </row>
    <row r="8" spans="1:4" ht="210" customHeight="1" x14ac:dyDescent="0.35">
      <c r="A8" s="117"/>
      <c r="B8" s="121" t="s">
        <v>314</v>
      </c>
      <c r="C8" s="117"/>
      <c r="D8" s="117"/>
    </row>
    <row r="9" spans="1:4" x14ac:dyDescent="0.35">
      <c r="A9" s="117"/>
      <c r="B9" s="117"/>
      <c r="C9" s="117"/>
      <c r="D9" s="117"/>
    </row>
    <row r="10" spans="1:4" ht="18" customHeight="1" x14ac:dyDescent="0.35">
      <c r="A10" s="117"/>
      <c r="B10" s="150" t="s">
        <v>308</v>
      </c>
      <c r="C10" s="117"/>
      <c r="D10" s="117"/>
    </row>
    <row r="11" spans="1:4" ht="210" customHeight="1" x14ac:dyDescent="0.35">
      <c r="A11" s="117"/>
      <c r="B11" s="121" t="s">
        <v>309</v>
      </c>
      <c r="C11" s="117"/>
      <c r="D11" s="117"/>
    </row>
    <row r="12" spans="1:4" x14ac:dyDescent="0.35">
      <c r="A12" s="117"/>
      <c r="B12" s="117"/>
      <c r="C12" s="117"/>
      <c r="D12" s="117"/>
    </row>
    <row r="13" spans="1:4" ht="18" customHeight="1" x14ac:dyDescent="0.35">
      <c r="A13" s="117"/>
      <c r="B13" s="150" t="s">
        <v>310</v>
      </c>
      <c r="C13" s="117"/>
      <c r="D13" s="117"/>
    </row>
    <row r="14" spans="1:4" ht="135" customHeight="1" x14ac:dyDescent="0.35">
      <c r="A14" s="117"/>
      <c r="B14" s="121" t="s">
        <v>311</v>
      </c>
      <c r="C14" s="117"/>
      <c r="D14" s="117"/>
    </row>
    <row r="15" spans="1:4" x14ac:dyDescent="0.35">
      <c r="A15" s="117"/>
      <c r="B15" s="117"/>
      <c r="C15" s="117"/>
      <c r="D15" s="117"/>
    </row>
    <row r="16" spans="1:4" ht="18" customHeight="1" x14ac:dyDescent="0.35">
      <c r="A16" s="117"/>
      <c r="B16" s="150" t="s">
        <v>315</v>
      </c>
      <c r="C16" s="117"/>
      <c r="D16" s="117"/>
    </row>
    <row r="17" spans="1:4" ht="60" customHeight="1" x14ac:dyDescent="0.35">
      <c r="A17" s="117"/>
      <c r="B17" s="121" t="s">
        <v>316</v>
      </c>
      <c r="C17" s="117"/>
      <c r="D17" s="117"/>
    </row>
    <row r="18" spans="1:4" x14ac:dyDescent="0.35">
      <c r="A18" s="117"/>
      <c r="B18" s="117"/>
      <c r="C18" s="117"/>
      <c r="D18" s="117"/>
    </row>
    <row r="19" spans="1:4" ht="18" customHeight="1" x14ac:dyDescent="0.35">
      <c r="A19" s="117"/>
      <c r="B19" s="150" t="s">
        <v>318</v>
      </c>
      <c r="C19" s="117"/>
      <c r="D19" s="117"/>
    </row>
    <row r="20" spans="1:4" ht="60" customHeight="1" x14ac:dyDescent="0.35">
      <c r="A20" s="117"/>
      <c r="B20" s="121" t="s">
        <v>317</v>
      </c>
      <c r="C20" s="117"/>
      <c r="D20" s="117"/>
    </row>
    <row r="21" spans="1:4" x14ac:dyDescent="0.35">
      <c r="A21" s="117"/>
      <c r="B21" s="117"/>
      <c r="C21" s="117"/>
      <c r="D21" s="117"/>
    </row>
    <row r="22" spans="1:4" ht="18" customHeight="1" x14ac:dyDescent="0.35">
      <c r="A22" s="117"/>
      <c r="B22" s="150" t="s">
        <v>320</v>
      </c>
      <c r="C22" s="117"/>
      <c r="D22" s="117"/>
    </row>
    <row r="23" spans="1:4" ht="90" customHeight="1" x14ac:dyDescent="0.35">
      <c r="A23" s="117"/>
      <c r="B23" s="121" t="s">
        <v>319</v>
      </c>
      <c r="C23" s="117"/>
      <c r="D23" s="117"/>
    </row>
    <row r="24" spans="1:4" x14ac:dyDescent="0.35">
      <c r="A24" s="117"/>
      <c r="B24" s="117"/>
      <c r="C24" s="117"/>
      <c r="D24" s="117"/>
    </row>
    <row r="25" spans="1:4" ht="18" customHeight="1" x14ac:dyDescent="0.35">
      <c r="A25" s="117"/>
      <c r="B25" s="150" t="s">
        <v>321</v>
      </c>
      <c r="C25" s="117"/>
      <c r="D25" s="117"/>
    </row>
    <row r="26" spans="1:4" ht="165" customHeight="1" x14ac:dyDescent="0.35">
      <c r="A26" s="117"/>
      <c r="B26" s="121" t="s">
        <v>312</v>
      </c>
      <c r="C26" s="117"/>
      <c r="D26" s="117"/>
    </row>
    <row r="27" spans="1:4" x14ac:dyDescent="0.35">
      <c r="A27" s="117"/>
      <c r="B27" s="117"/>
      <c r="C27" s="117"/>
      <c r="D27" s="117"/>
    </row>
    <row r="28" spans="1:4" ht="18" customHeight="1" x14ac:dyDescent="0.35">
      <c r="A28" s="117"/>
      <c r="B28" s="150" t="s">
        <v>322</v>
      </c>
      <c r="C28" s="117"/>
      <c r="D28" s="117"/>
    </row>
    <row r="29" spans="1:4" ht="165" customHeight="1" x14ac:dyDescent="0.35">
      <c r="A29" s="117"/>
      <c r="B29" s="121" t="s">
        <v>313</v>
      </c>
      <c r="C29" s="117"/>
      <c r="D29" s="117"/>
    </row>
    <row r="30" spans="1:4" x14ac:dyDescent="0.35">
      <c r="A30" s="116"/>
      <c r="B30" s="151"/>
      <c r="C30" s="117"/>
      <c r="D30" s="117"/>
    </row>
    <row r="31" spans="1:4" x14ac:dyDescent="0.35">
      <c r="C31" s="116"/>
      <c r="D31" s="116"/>
    </row>
  </sheetData>
  <mergeCells count="1">
    <mergeCell ref="B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Exhibit 1_Common stock data</vt:lpstr>
      <vt:lpstr>Exhibit 2_Financial Ratio</vt:lpstr>
      <vt:lpstr>Exhibit 3_ Debt</vt:lpstr>
      <vt:lpstr>Exhibit 4_Treasury bond</vt:lpstr>
      <vt:lpstr>Exhibit 5_Aggregate bond yield</vt:lpstr>
      <vt:lpstr>Exhibit 6_Income statement</vt:lpstr>
      <vt:lpstr>Exhibit 7_Balance sheet</vt:lpstr>
      <vt:lpstr>Exhibit 8_Peer firm</vt:lpstr>
      <vt:lpstr>Assumptions for Answers</vt:lpstr>
      <vt:lpstr>Q2 - Cost of Debt</vt:lpstr>
      <vt:lpstr>Q3 - Cost of Equity</vt:lpstr>
      <vt:lpstr>Q4a - WACC - Book Value</vt:lpstr>
      <vt:lpstr>Q4b - WACC - Market Value</vt:lpstr>
      <vt:lpstr>Q4c - Scenario - Target DE 18%</vt:lpstr>
      <vt:lpstr>Q4d - Scenario Summary</vt:lpstr>
      <vt:lpstr>All Answers for the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Ranjitha A</dc:creator>
  <cp:lastModifiedBy>Naman Jain</cp:lastModifiedBy>
  <dcterms:created xsi:type="dcterms:W3CDTF">2025-08-25T04:47:08Z</dcterms:created>
  <dcterms:modified xsi:type="dcterms:W3CDTF">2026-09-14T15:24:46Z</dcterms:modified>
</cp:coreProperties>
</file>