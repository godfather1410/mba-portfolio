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eNeT\Downloads\"/>
    </mc:Choice>
  </mc:AlternateContent>
  <xr:revisionPtr revIDLastSave="0" documentId="13_ncr:1_{7E69E0B6-BC58-45E5-830F-118E0C95FC6B}" xr6:coauthVersionLast="47" xr6:coauthVersionMax="47" xr10:uidLastSave="{00000000-0000-0000-0000-000000000000}"/>
  <bookViews>
    <workbookView xWindow="-110" yWindow="-110" windowWidth="25820" windowHeight="15500" tabRatio="500" firstSheet="1" activeTab="9" xr2:uid="{00000000-000D-0000-FFFF-FFFF00000000}"/>
  </bookViews>
  <sheets>
    <sheet name="Given" sheetId="1" r:id="rId1"/>
    <sheet name="Q1" sheetId="2" r:id="rId2"/>
    <sheet name="Q2" sheetId="3" r:id="rId3"/>
    <sheet name="Q3" sheetId="4" r:id="rId4"/>
    <sheet name="Q4-B" sheetId="5" r:id="rId5"/>
    <sheet name="Q4 - C" sheetId="6" r:id="rId6"/>
    <sheet name="Q4 - D" sheetId="7" r:id="rId7"/>
    <sheet name="Q4 - Custom1" sheetId="8" r:id="rId8"/>
    <sheet name="Q4 - Custom2" sheetId="9" r:id="rId9"/>
    <sheet name="Summary" sheetId="10" r:id="rId10"/>
    <sheet name="Q5"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0" i="9" l="1"/>
  <c r="M7" i="9" s="1"/>
  <c r="M8" i="9" s="1"/>
  <c r="C16" i="9"/>
  <c r="M6" i="9"/>
  <c r="L6" i="9"/>
  <c r="K6" i="9"/>
  <c r="J6" i="9"/>
  <c r="I6" i="9"/>
  <c r="H6" i="9"/>
  <c r="G6" i="9"/>
  <c r="F6" i="9"/>
  <c r="E6" i="9"/>
  <c r="D6" i="9"/>
  <c r="C6" i="9"/>
  <c r="O7" i="8"/>
  <c r="N7" i="8"/>
  <c r="M7" i="8"/>
  <c r="L7" i="8"/>
  <c r="K7" i="8"/>
  <c r="J7" i="8"/>
  <c r="I7" i="8"/>
  <c r="H7" i="8"/>
  <c r="G7" i="8"/>
  <c r="F7" i="8"/>
  <c r="E7" i="8"/>
  <c r="D7" i="8"/>
  <c r="C7" i="8"/>
  <c r="O6" i="8"/>
  <c r="O8" i="8" s="1"/>
  <c r="N6" i="8"/>
  <c r="N8" i="8" s="1"/>
  <c r="M6" i="8"/>
  <c r="M8" i="8" s="1"/>
  <c r="L6" i="8"/>
  <c r="L8" i="8" s="1"/>
  <c r="K6" i="8"/>
  <c r="J6" i="8"/>
  <c r="J8" i="8" s="1"/>
  <c r="I6" i="8"/>
  <c r="I8" i="8" s="1"/>
  <c r="H6" i="8"/>
  <c r="H8" i="8" s="1"/>
  <c r="G6" i="8"/>
  <c r="F6" i="8"/>
  <c r="E6" i="8"/>
  <c r="D6" i="8"/>
  <c r="C6" i="8"/>
  <c r="C21" i="7"/>
  <c r="C7" i="7" s="1"/>
  <c r="O6" i="7"/>
  <c r="N6" i="7"/>
  <c r="M6" i="7"/>
  <c r="L6" i="7"/>
  <c r="K6" i="7"/>
  <c r="J6" i="7"/>
  <c r="I6" i="7"/>
  <c r="H6" i="7"/>
  <c r="G6" i="7"/>
  <c r="F6" i="7"/>
  <c r="E6" i="7"/>
  <c r="D6" i="7"/>
  <c r="C6" i="7"/>
  <c r="C8" i="7" s="1"/>
  <c r="C19" i="6"/>
  <c r="N7" i="6" s="1"/>
  <c r="N8" i="6" s="1"/>
  <c r="G6" i="6"/>
  <c r="F6" i="6"/>
  <c r="E6" i="6"/>
  <c r="D6" i="6"/>
  <c r="C6" i="6"/>
  <c r="O7" i="5"/>
  <c r="N7" i="5"/>
  <c r="M7" i="5"/>
  <c r="L7" i="5"/>
  <c r="K7" i="5"/>
  <c r="J7" i="5"/>
  <c r="I7" i="5"/>
  <c r="H7" i="5"/>
  <c r="G7" i="5"/>
  <c r="F7" i="5"/>
  <c r="E7" i="5"/>
  <c r="D7" i="5"/>
  <c r="C7" i="5"/>
  <c r="O6" i="5"/>
  <c r="N6" i="5"/>
  <c r="M6" i="5"/>
  <c r="L6" i="5"/>
  <c r="K6" i="5"/>
  <c r="J6" i="5"/>
  <c r="I6" i="5"/>
  <c r="H6" i="5"/>
  <c r="G6" i="5"/>
  <c r="F6" i="5"/>
  <c r="E6" i="5"/>
  <c r="D6" i="5"/>
  <c r="C6" i="5"/>
  <c r="C8" i="5" s="1"/>
  <c r="C20" i="4"/>
  <c r="C16" i="4"/>
  <c r="E7" i="4" s="1"/>
  <c r="H7" i="4"/>
  <c r="O6" i="4"/>
  <c r="N6" i="4"/>
  <c r="M6" i="4"/>
  <c r="L6" i="4"/>
  <c r="K6" i="4"/>
  <c r="J6" i="4"/>
  <c r="I6" i="4"/>
  <c r="H6" i="4"/>
  <c r="G6" i="4"/>
  <c r="F6" i="4"/>
  <c r="E6" i="4"/>
  <c r="D6" i="4"/>
  <c r="E9" i="4" s="1"/>
  <c r="C6" i="4"/>
  <c r="C9" i="4" s="1"/>
  <c r="C7" i="9" l="1"/>
  <c r="D7" i="9"/>
  <c r="E8" i="9"/>
  <c r="E7" i="9"/>
  <c r="E8" i="5"/>
  <c r="C13" i="5" s="1"/>
  <c r="C6" i="10" s="1"/>
  <c r="I7" i="9"/>
  <c r="H8" i="5"/>
  <c r="J9" i="4"/>
  <c r="J8" i="5"/>
  <c r="N7" i="9"/>
  <c r="N8" i="9" s="1"/>
  <c r="G8" i="9"/>
  <c r="I8" i="9"/>
  <c r="D9" i="4"/>
  <c r="F9" i="4"/>
  <c r="H7" i="9"/>
  <c r="H8" i="9" s="1"/>
  <c r="H9" i="4"/>
  <c r="J7" i="9"/>
  <c r="J8" i="9" s="1"/>
  <c r="I9" i="4"/>
  <c r="L7" i="9"/>
  <c r="L8" i="9" s="1"/>
  <c r="O7" i="9"/>
  <c r="O8" i="9" s="1"/>
  <c r="D8" i="9"/>
  <c r="C13" i="9" s="1"/>
  <c r="F8" i="9"/>
  <c r="F7" i="9"/>
  <c r="G7" i="9"/>
  <c r="G9" i="4"/>
  <c r="K9" i="4"/>
  <c r="M8" i="5"/>
  <c r="C8" i="9"/>
  <c r="C8" i="8"/>
  <c r="K8" i="8"/>
  <c r="D8" i="8"/>
  <c r="E8" i="8"/>
  <c r="F8" i="8"/>
  <c r="G8" i="8"/>
  <c r="D7" i="7"/>
  <c r="D8" i="7" s="1"/>
  <c r="E7" i="7"/>
  <c r="E8" i="7" s="1"/>
  <c r="D7" i="6"/>
  <c r="D8" i="6" s="1"/>
  <c r="F7" i="6"/>
  <c r="F8" i="6" s="1"/>
  <c r="C7" i="6"/>
  <c r="C8" i="6" s="1"/>
  <c r="E7" i="6"/>
  <c r="E8" i="6" s="1"/>
  <c r="G7" i="6"/>
  <c r="G8" i="6" s="1"/>
  <c r="J7" i="6"/>
  <c r="J8" i="6" s="1"/>
  <c r="O7" i="6"/>
  <c r="O8" i="6" s="1"/>
  <c r="G8" i="5"/>
  <c r="I8" i="5"/>
  <c r="K8" i="5"/>
  <c r="D8" i="5"/>
  <c r="L8" i="5"/>
  <c r="F8" i="5"/>
  <c r="N8" i="5"/>
  <c r="O8" i="5"/>
  <c r="H8" i="4"/>
  <c r="F7" i="4"/>
  <c r="F8" i="4" s="1"/>
  <c r="G7" i="4"/>
  <c r="G8" i="4" s="1"/>
  <c r="K8" i="9"/>
  <c r="E8" i="4"/>
  <c r="G7" i="7"/>
  <c r="G8" i="7" s="1"/>
  <c r="L7" i="7"/>
  <c r="L8" i="7" s="1"/>
  <c r="O7" i="4"/>
  <c r="O8" i="4" s="1"/>
  <c r="M9" i="4"/>
  <c r="M7" i="7"/>
  <c r="M8" i="7" s="1"/>
  <c r="C8" i="4"/>
  <c r="N9" i="4"/>
  <c r="N7" i="7"/>
  <c r="N8" i="7" s="1"/>
  <c r="O9" i="4"/>
  <c r="H7" i="6"/>
  <c r="H8" i="6" s="1"/>
  <c r="O7" i="7"/>
  <c r="O8" i="7" s="1"/>
  <c r="I7" i="6"/>
  <c r="I8" i="6" s="1"/>
  <c r="K7" i="6"/>
  <c r="K8" i="6" s="1"/>
  <c r="K7" i="9"/>
  <c r="H7" i="7"/>
  <c r="H8" i="7" s="1"/>
  <c r="K7" i="4"/>
  <c r="K8" i="4" s="1"/>
  <c r="I7" i="7"/>
  <c r="I8" i="7" s="1"/>
  <c r="J7" i="7"/>
  <c r="J8" i="7" s="1"/>
  <c r="L7" i="6"/>
  <c r="L8" i="6" s="1"/>
  <c r="F7" i="7"/>
  <c r="F8" i="7" s="1"/>
  <c r="J7" i="4"/>
  <c r="J8" i="4" s="1"/>
  <c r="M7" i="6"/>
  <c r="M8" i="6" s="1"/>
  <c r="K7" i="7"/>
  <c r="K8" i="7" s="1"/>
  <c r="L9" i="4"/>
  <c r="I7" i="4"/>
  <c r="I8" i="4" s="1"/>
  <c r="N7" i="4"/>
  <c r="N8" i="4" s="1"/>
  <c r="M7" i="4"/>
  <c r="M8" i="4" s="1"/>
  <c r="C7" i="4"/>
  <c r="D7" i="4"/>
  <c r="D8" i="4" s="1"/>
  <c r="L7" i="4"/>
  <c r="L8" i="4" s="1"/>
  <c r="C24" i="4" l="1"/>
  <c r="C13" i="8"/>
  <c r="C9" i="10" s="1"/>
  <c r="C13" i="6"/>
  <c r="C7" i="10" s="1"/>
  <c r="C13" i="7"/>
  <c r="C8" i="10" s="1"/>
  <c r="N10" i="4"/>
  <c r="C21" i="4"/>
  <c r="M10" i="4"/>
  <c r="L10" i="4"/>
  <c r="C22" i="4"/>
  <c r="K10" i="4"/>
  <c r="I10" i="4"/>
  <c r="J10" i="4"/>
  <c r="H10" i="4"/>
  <c r="G10" i="4"/>
  <c r="D10" i="4"/>
  <c r="F10" i="4"/>
  <c r="C13" i="4"/>
  <c r="E10" i="4"/>
  <c r="O10" i="4"/>
  <c r="C10" i="4"/>
  <c r="C25" i="4" s="1"/>
  <c r="C23" i="4" l="1"/>
  <c r="C5" i="10"/>
  <c r="C17" i="9"/>
  <c r="C18" i="9" s="1"/>
  <c r="C10" i="10" s="1"/>
  <c r="D8" i="10"/>
  <c r="D7" i="10" l="1"/>
  <c r="D6" i="10"/>
  <c r="D9" i="10"/>
  <c r="D10" i="10"/>
</calcChain>
</file>

<file path=xl/sharedStrings.xml><?xml version="1.0" encoding="utf-8"?>
<sst xmlns="http://schemas.openxmlformats.org/spreadsheetml/2006/main" count="134" uniqueCount="91">
  <si>
    <t>Liz Motor Corp. -- Base Case Assumptions</t>
  </si>
  <si>
    <t>Year</t>
  </si>
  <si>
    <t>Period (t)</t>
  </si>
  <si>
    <t>Base-case Cash Flow ($M)</t>
  </si>
  <si>
    <t>Base after-tax cost of debt (hurdle rate)</t>
  </si>
  <si>
    <t>Question 1 -- Is Liz Well Positioned for Success?</t>
  </si>
  <si>
    <t>Strengths</t>
  </si>
  <si>
    <t>Liz has aspired to EV market leadership since its 2012 founding, expanding from cars into battery-powered buses and trucks, with healthy sales growth driven by younger buyers.</t>
  </si>
  <si>
    <t>As a young company, Liz carries none of the legacy costs that slow down incumbents: no large dealer network, no entrenched unions, and no fossil-fuel business it has to protect while it transitions.</t>
  </si>
  <si>
    <t>Liz has secured $3.5 billion in financing to launch 20 new EV models by 2027 across factories in the US, Canada and China.</t>
  </si>
  <si>
    <t>Liz will manufacture its own batteries and is first to use solid-state battery technology (a 39% cut in battery-related carbon footprint), ahead of any major competitor.</t>
  </si>
  <si>
    <t>Regulatory tailwinds favour EV investment broadly: the US, EU and China have all committed to steep emissions cuts over the next decade.</t>
  </si>
  <si>
    <t>Weaknesses and risks</t>
  </si>
  <si>
    <t>Sales growth is decelerating sharply, from 26% in 2021 to 17% in 2022, as the EV market fills up with legacy automakers.</t>
  </si>
  <si>
    <t>Liz's 2022 ESG rankings were weak enough to drop the stock price 6.2% in a single reaction, and the board has demanded a quick turnaround.</t>
  </si>
  <si>
    <t>The $3.5B financing commitment plus this project's own $800M+ outlay is high capital intensity, and solid-state battery technology is unproven at scale.</t>
  </si>
  <si>
    <t>Assessment</t>
  </si>
  <si>
    <t>Liz is reasonably well positioned, but not comfortably so. Its structural advantages (no legacy business, secured financing, vertical integration into batteries) and the EV regulatory tailwind are real. But the two things that made Liz distinctive, fast growth and a clean ESG story, are both under pressure at once. This project answers both problems directly, which is why it matters strategically even before the numbers are examined.</t>
  </si>
  <si>
    <t>Question 2 -- What Hurdle Rate Should Be Used?</t>
  </si>
  <si>
    <t>Rate used</t>
  </si>
  <si>
    <t>Caveat for the board</t>
  </si>
  <si>
    <t>Per the course WACC formula, WACC = (E/V) x Ke + (D/V) x Kd x (1 - T), the theoretically correct discount rate for a project of average risk blends the cost of equity and the after-tax cost of debt, and equity is almost always priced above debt. Using only the after-tax cost of debt is a conservative, project-specific simplification, not Liz's corporate WACC, and it may understate the true risk-adjusted return the project needs to clear.</t>
  </si>
  <si>
    <t>Question 3 -- Base Model: NPV, IRR, PI, Payback</t>
  </si>
  <si>
    <t>Cash Flow ($M)</t>
  </si>
  <si>
    <t>Discount Factor = 1/(1+r)^t</t>
  </si>
  <si>
    <t>PV of Cash Flow ($M)</t>
  </si>
  <si>
    <t>Cumulative Cash Flow ($M)</t>
  </si>
  <si>
    <t>Cumulative Discounted CF ($M)</t>
  </si>
  <si>
    <t>NPV ($M)</t>
  </si>
  <si>
    <t>Variable changed vs. base case</t>
  </si>
  <si>
    <t>Discount rate (hurdle rate)</t>
  </si>
  <si>
    <t>IRR (rate that sets NPV = 0)</t>
  </si>
  <si>
    <t>PV of inflows ($M)</t>
  </si>
  <si>
    <t>PV of outflows ($M)</t>
  </si>
  <si>
    <t>Profitability Index, PI = PV(inflows)/PV(outflows)</t>
  </si>
  <si>
    <t>Payback period, undiscounted (years)</t>
  </si>
  <si>
    <t>Discounted payback period (years)</t>
  </si>
  <si>
    <t>Scenario 4 (our own) -- Severe Rate Shock: Kd = 12%</t>
  </si>
  <si>
    <t>Scenario 5 (our own) -- Hydrogen Breakthrough at 10% Probability</t>
  </si>
  <si>
    <t>Probability of this outcome</t>
  </si>
  <si>
    <t>Probability of base case holding</t>
  </si>
  <si>
    <t>NPV, base case (12-yr life) ($M)</t>
  </si>
  <si>
    <t>Expected NPV = P(short)xNPV(short) + P(base)xNPV(base) ($M)</t>
  </si>
  <si>
    <t>Question 4 -- Sensitivity Summary: 3 Case Scenarios + 2 Custom Scenarios</t>
  </si>
  <si>
    <t>Scenario</t>
  </si>
  <si>
    <t>Delta vs. base ($M)</t>
  </si>
  <si>
    <t>Variable changed</t>
  </si>
  <si>
    <t>Business impact</t>
  </si>
  <si>
    <t>Base case (8% hurdle)</t>
  </si>
  <si>
    <t>n/a</t>
  </si>
  <si>
    <t>1. Green bond, Kd=7.5% (case)</t>
  </si>
  <si>
    <t>Discount rate: 8% -&gt; 7.5%</t>
  </si>
  <si>
    <t>2. CBAM, $220M/yr (case)</t>
  </si>
  <si>
    <t>Inflows: $200M -&gt; $220M/yr</t>
  </si>
  <si>
    <t>3. Sale of tech, +$100M (case)</t>
  </si>
  <si>
    <t>+$100M salvage, year 12</t>
  </si>
  <si>
    <t>4. Rate shock, Kd=12% (ours)</t>
  </si>
  <si>
    <t>Discount rate: 8% -&gt; 12%</t>
  </si>
  <si>
    <t>5. Hydrogen, 10% probability (ours)</t>
  </si>
  <si>
    <t>Probability: 30% -&gt; 10%</t>
  </si>
  <si>
    <t>Question 5 -- Recommendation to the CEO and Board</t>
  </si>
  <si>
    <t>Where the numbers land</t>
  </si>
  <si>
    <t>On a strict base-case test, the project is a marginal reject: NPV is slightly negative (-$21.45M), IRR (7.66%) sits just under the 8% hurdle rate, and PI is just under 1.0.</t>
  </si>
  <si>
    <t>The financing decision alone can flip this: moving to a green bond turns NPV positive by over $30M, and that choice is within Liz's control.</t>
  </si>
  <si>
    <t>A regulatory tailwind already in motion (CBAM) and the option to sell the technology both push NPV comfortably positive.</t>
  </si>
  <si>
    <t>The two scenarios we built ourselves show the downside is not limited to the case's own numbers: a severe rate shock (12%) wipes the project out, and even a scaled-down hydrogen risk (10% probability instead of 30%) still costs about $16.5M in expected value.</t>
  </si>
  <si>
    <t>Beyond the DCF</t>
  </si>
  <si>
    <t>The case lists ESG benefits that cannot be modeled directly but matter given Liz's weak 2022 ESG rankings: social capital and trust, brand value, product differentiation, cost savings from reduced waste and carbon-pricing exposure, lower regulatory risk, and better employee retention.</t>
  </si>
  <si>
    <t>Recommendation</t>
  </si>
  <si>
    <t>Proceed with the project, but make green-bond financing a condition of approval, not a fallback; on these numbers it is what turns a marginal, DCF-negative project into a value-creating one. Given how close the base case sits to zero, the unquantified ESG benefits are the deciding factor that should tip a near coin-flip financial case toward acceptance. Anthony should present the board with the full range of outcomes above, not one point estimate, and flag green-bond financing, the CBAM tailwind, and rate/technology risk as the three things most worth acting on or monitoring.</t>
  </si>
  <si>
    <t>Liz is exposed to interest-rate risk, a Fed hike raises its cost of debt and technology risk, a hydrogen breakthrough could displace solid-state batteries.</t>
  </si>
  <si>
    <t>Anthony is financing this specific project with debt, and the case gives its after-tax cost of debt directly: 8% in the base case (7.5% with a green bond, 8.5% if the Fed keeps raising rates). Because the case ties this project's financing to debt and gives no cost of equity, beta, or target capital structure, the after-tax cost of debt, 8%, is used as the hurdle rate throughout this assignment.</t>
  </si>
  <si>
    <t>Scenario C (from case) -- CBAM Tailwind: Inflows Rise to $220M/yr</t>
  </si>
  <si>
    <t>Scenario B (from case) -- Green Bond Financing: Kd = 7.5%</t>
  </si>
  <si>
    <t>Scenario D (from case) -- Sale of Technology in Year 12 for $100M</t>
  </si>
  <si>
    <t xml:space="preserve">Variable changed: discount rate, 8% -&gt; 7.5%. </t>
  </si>
  <si>
    <t>Business impact: cheaper debt alone turns NPV from -$21.45M to +$10.20M. This is a financing choice fully within Liz's control, and on these numbers it is what flips the accept/reject decision.</t>
  </si>
  <si>
    <t>Variable changed: annual inflow, $200M -&gt; $220M for 2028-2035</t>
  </si>
  <si>
    <t>Business impact: adds about $84.5M of NPV. This upside is exogenous (EU carbon policy) and arrives from 2026, so it needs monitoring rather than action.</t>
  </si>
  <si>
    <t>Variable changed: year-12 cash flow, +$100M salvage</t>
  </si>
  <si>
    <t xml:space="preserve"> Business impact: adds about $39.7M of NPV and gives Liz a fallback exit if the technology's standalone economics weaken later.</t>
  </si>
  <si>
    <t>Variable changed: discount rate, 8% -&gt; 12% (case only goes to 8.5%)</t>
  </si>
  <si>
    <t>Business impact: NPV falls to -$229.34M, a $207.9M swing. A severe financing shock alone would make this an unambiguous rejection, showing how exposed the decision still is to interest-rate conditions even after a green bond is ruled out.</t>
  </si>
  <si>
    <t>Variable changed: probability of the shortened-life outcome, 30% -&gt; 10%</t>
  </si>
  <si>
    <t>Business impact: expected NPV still falls to -$37.97M, $16.5M worse than base. Even a much less likely hydrogen breakthrough is costly, so this risk deserves active monitoring at almost any probability above zero.</t>
  </si>
  <si>
    <t>Reference point (see Q3 sheet for IRR, PI, payback)</t>
  </si>
  <si>
    <t>Turns NPV positive; a financing choice within Liz's control</t>
  </si>
  <si>
    <t>Regulatory upside, adds ~$84M; monitor EU rules, no action needed</t>
  </si>
  <si>
    <t>Adds ~$40M; a fallback exit if tech underperforms</t>
  </si>
  <si>
    <t>Wipes out the project; shows financing risk is not fully removed by a green bond</t>
  </si>
  <si>
    <t>Still costs ~$16.5M expected value; worth monitoring at any real 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</si>
</sst>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quot;($&quot;#,##0.0\)"/>
    <numFmt numFmtId="165" formatCode="0.0000"/>
    <numFmt numFmtId="166" formatCode="\$#,##0.00;&quot;($&quot;#,##0.00\)"/>
    <numFmt numFmtId="167" formatCode="\$#,##0.00"/>
  </numFmts>
  <fonts count="12" x14ac:knownFonts="1">
    <font>
      <sz val="11"/>
      <color theme="1"/>
      <name val="Calibri"/>
      <family val="2"/>
      <charset val="1"/>
    </font>
    <font>
      <b/>
      <sz val="11"/>
      <name val="Arial"/>
      <family val="2"/>
    </font>
    <font>
      <b/>
      <sz val="14"/>
      <color theme="1"/>
      <name val="Arial"/>
      <family val="2"/>
    </font>
    <font>
      <b/>
      <sz val="11"/>
      <color theme="1"/>
      <name val="Arial"/>
      <family val="2"/>
    </font>
    <font>
      <sz val="11"/>
      <color theme="1"/>
      <name val="Arial"/>
      <family val="2"/>
    </font>
    <font>
      <i/>
      <sz val="9"/>
      <color theme="1"/>
      <name val="Arial"/>
      <family val="2"/>
    </font>
    <font>
      <sz val="10"/>
      <color theme="1"/>
      <name val="Arial"/>
      <family val="2"/>
    </font>
    <font>
      <b/>
      <sz val="12"/>
      <color theme="1"/>
      <name val="Arial"/>
      <family val="2"/>
    </font>
    <font>
      <sz val="9"/>
      <color theme="1"/>
      <name val="Arial"/>
      <family val="2"/>
    </font>
    <font>
      <b/>
      <sz val="14"/>
      <name val="Arial"/>
      <family val="2"/>
    </font>
    <font>
      <sz val="11"/>
      <name val="Calibri"/>
      <family val="2"/>
      <charset val="1"/>
    </font>
    <font>
      <sz val="11"/>
      <name val="Arial"/>
      <family val="2"/>
    </font>
  </fonts>
  <fills count="7">
    <fill>
      <patternFill patternType="none"/>
    </fill>
    <fill>
      <patternFill patternType="gray125"/>
    </fill>
    <fill>
      <patternFill patternType="solid">
        <fgColor theme="0"/>
        <bgColor indexed="64"/>
      </patternFill>
    </fill>
    <fill>
      <patternFill patternType="solid">
        <fgColor theme="0"/>
        <bgColor rgb="FF003366"/>
      </patternFill>
    </fill>
    <fill>
      <patternFill patternType="solid">
        <fgColor theme="0"/>
        <bgColor rgb="FFFFFF00"/>
      </patternFill>
    </fill>
    <fill>
      <patternFill patternType="solid">
        <fgColor theme="0" tint="-0.14999847407452621"/>
        <bgColor rgb="FF003366"/>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0" fillId="0" borderId="1" xfId="0" applyBorder="1"/>
    <xf numFmtId="0" fontId="0" fillId="2" borderId="0" xfId="0" applyFill="1"/>
    <xf numFmtId="0" fontId="2" fillId="2" borderId="0" xfId="0" applyFont="1" applyFill="1"/>
    <xf numFmtId="0" fontId="3" fillId="2" borderId="0" xfId="0" applyFont="1" applyFill="1"/>
    <xf numFmtId="0" fontId="6" fillId="2" borderId="0" xfId="0" applyFont="1" applyFill="1" applyAlignment="1">
      <alignment horizontal="left" vertical="top" wrapText="1"/>
    </xf>
    <xf numFmtId="0" fontId="3" fillId="3" borderId="1" xfId="0" applyFont="1" applyFill="1" applyBorder="1"/>
    <xf numFmtId="0" fontId="3" fillId="3" borderId="1" xfId="0" applyFont="1" applyFill="1" applyBorder="1" applyAlignment="1">
      <alignment horizontal="center" vertical="center"/>
    </xf>
    <xf numFmtId="0" fontId="3" fillId="2" borderId="1" xfId="0" applyFont="1" applyFill="1" applyBorder="1"/>
    <xf numFmtId="0" fontId="3" fillId="2" borderId="1" xfId="0" applyFont="1" applyFill="1" applyBorder="1" applyAlignment="1">
      <alignment horizontal="center" vertical="center"/>
    </xf>
    <xf numFmtId="164" fontId="4" fillId="2" borderId="1" xfId="0" applyNumberFormat="1" applyFont="1" applyFill="1" applyBorder="1"/>
    <xf numFmtId="165" fontId="0" fillId="2" borderId="1" xfId="0" applyNumberFormat="1" applyFill="1" applyBorder="1"/>
    <xf numFmtId="164" fontId="0" fillId="2" borderId="1" xfId="0" applyNumberFormat="1" applyFill="1" applyBorder="1"/>
    <xf numFmtId="166" fontId="3" fillId="2" borderId="1" xfId="0" applyNumberFormat="1" applyFont="1" applyFill="1" applyBorder="1"/>
    <xf numFmtId="10" fontId="4" fillId="4" borderId="1" xfId="0" applyNumberFormat="1" applyFont="1" applyFill="1" applyBorder="1"/>
    <xf numFmtId="10" fontId="3" fillId="2" borderId="1" xfId="0" applyNumberFormat="1" applyFont="1" applyFill="1" applyBorder="1"/>
    <xf numFmtId="167" fontId="0" fillId="2" borderId="1" xfId="0" applyNumberFormat="1" applyFill="1" applyBorder="1"/>
    <xf numFmtId="2" fontId="3" fillId="2" borderId="1" xfId="0" applyNumberFormat="1" applyFont="1" applyFill="1" applyBorder="1"/>
    <xf numFmtId="0" fontId="4" fillId="2" borderId="1" xfId="0" applyFont="1" applyFill="1" applyBorder="1"/>
    <xf numFmtId="0" fontId="0" fillId="2" borderId="2" xfId="0" applyFill="1" applyBorder="1"/>
    <xf numFmtId="0" fontId="0" fillId="2" borderId="1" xfId="0" applyFill="1" applyBorder="1"/>
    <xf numFmtId="0" fontId="7" fillId="2" borderId="0" xfId="0" applyFont="1" applyFill="1"/>
    <xf numFmtId="0" fontId="0" fillId="2" borderId="3" xfId="0" applyFill="1" applyBorder="1"/>
    <xf numFmtId="9" fontId="4" fillId="4" borderId="1" xfId="0" applyNumberFormat="1" applyFont="1" applyFill="1" applyBorder="1"/>
    <xf numFmtId="9" fontId="0" fillId="2" borderId="1" xfId="0" applyNumberFormat="1" applyFill="1" applyBorder="1"/>
    <xf numFmtId="166" fontId="4" fillId="2" borderId="1" xfId="0" applyNumberFormat="1" applyFont="1" applyFill="1" applyBorder="1"/>
    <xf numFmtId="0" fontId="0" fillId="2" borderId="4" xfId="0" applyFill="1" applyBorder="1"/>
    <xf numFmtId="0" fontId="3" fillId="3"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166" fontId="4"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8" fillId="2"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0" fillId="6" borderId="1" xfId="0" applyFill="1" applyBorder="1"/>
    <xf numFmtId="0" fontId="0" fillId="6" borderId="2" xfId="0" applyFill="1" applyBorder="1"/>
    <xf numFmtId="0" fontId="0" fillId="6" borderId="0" xfId="0" applyFill="1"/>
    <xf numFmtId="0" fontId="2" fillId="6" borderId="0" xfId="0" applyFont="1" applyFill="1"/>
    <xf numFmtId="0" fontId="7" fillId="6" borderId="0" xfId="0" applyFont="1" applyFill="1"/>
    <xf numFmtId="0" fontId="6" fillId="6" borderId="0" xfId="0" applyFont="1" applyFill="1" applyAlignment="1">
      <alignment horizontal="left" vertical="top" wrapText="1"/>
    </xf>
    <xf numFmtId="0" fontId="6" fillId="2" borderId="0" xfId="0" applyFont="1" applyFill="1" applyAlignment="1">
      <alignment horizontal="left" vertical="top" wrapText="1"/>
    </xf>
    <xf numFmtId="0" fontId="5" fillId="2" borderId="0" xfId="0" applyFont="1" applyFill="1" applyAlignment="1">
      <alignment vertical="top" wrapText="1"/>
    </xf>
    <xf numFmtId="0" fontId="6" fillId="2" borderId="0" xfId="0" applyFont="1" applyFill="1" applyAlignment="1">
      <alignment horizontal="left" vertical="top"/>
    </xf>
    <xf numFmtId="0" fontId="0" fillId="2" borderId="0" xfId="0" applyFill="1" applyAlignment="1">
      <alignment horizontal="left"/>
    </xf>
    <xf numFmtId="0" fontId="1" fillId="2" borderId="1" xfId="0" applyFont="1" applyFill="1" applyBorder="1"/>
    <xf numFmtId="0" fontId="1" fillId="2" borderId="1" xfId="0" applyFont="1" applyFill="1" applyBorder="1" applyAlignment="1">
      <alignment horizontal="center" vertical="center"/>
    </xf>
    <xf numFmtId="0" fontId="10" fillId="2" borderId="1" xfId="0" applyFont="1" applyFill="1" applyBorder="1"/>
    <xf numFmtId="0" fontId="1" fillId="3" borderId="1" xfId="0" applyFont="1" applyFill="1" applyBorder="1"/>
    <xf numFmtId="0" fontId="1" fillId="3" borderId="1" xfId="0" applyFont="1" applyFill="1" applyBorder="1" applyAlignment="1">
      <alignment horizontal="center" vertical="center"/>
    </xf>
    <xf numFmtId="164" fontId="11" fillId="2" borderId="1" xfId="0" applyNumberFormat="1" applyFont="1" applyFill="1" applyBorder="1"/>
    <xf numFmtId="10" fontId="11" fillId="4" borderId="1" xfId="0" applyNumberFormat="1" applyFont="1" applyFill="1" applyBorder="1"/>
    <xf numFmtId="0" fontId="10" fillId="2" borderId="0" xfId="0" applyFont="1" applyFill="1" applyBorder="1"/>
    <xf numFmtId="0" fontId="9" fillId="2"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11"/>
  <sheetViews>
    <sheetView showGridLines="0" zoomScaleNormal="100" workbookViewId="0">
      <selection activeCell="H10" sqref="H10"/>
    </sheetView>
  </sheetViews>
  <sheetFormatPr defaultColWidth="8.6328125" defaultRowHeight="14.5" x14ac:dyDescent="0.35"/>
  <cols>
    <col min="1" max="1" width="2" style="46" customWidth="1"/>
    <col min="2" max="2" width="34" style="46" customWidth="1"/>
    <col min="3" max="15" width="11" style="46" customWidth="1"/>
    <col min="16" max="16384" width="8.6328125" style="46"/>
  </cols>
  <sheetData>
    <row r="1" spans="1:16" x14ac:dyDescent="0.35">
      <c r="A1" s="51"/>
      <c r="B1" s="51"/>
      <c r="C1" s="51"/>
      <c r="D1" s="51"/>
      <c r="E1" s="51"/>
      <c r="F1" s="51"/>
      <c r="G1" s="51"/>
      <c r="H1" s="51"/>
      <c r="I1" s="51"/>
      <c r="J1" s="51"/>
      <c r="K1" s="51"/>
      <c r="L1" s="51"/>
      <c r="M1" s="51"/>
      <c r="N1" s="51"/>
      <c r="O1" s="51"/>
      <c r="P1" s="51"/>
    </row>
    <row r="2" spans="1:16" ht="18" x14ac:dyDescent="0.4">
      <c r="A2" s="51"/>
      <c r="B2" s="52" t="s">
        <v>0</v>
      </c>
      <c r="C2" s="51"/>
      <c r="D2" s="51"/>
      <c r="E2" s="51"/>
      <c r="F2" s="51"/>
      <c r="G2" s="51"/>
      <c r="H2" s="51"/>
      <c r="I2" s="51"/>
      <c r="J2" s="51"/>
      <c r="K2" s="51"/>
      <c r="L2" s="51"/>
      <c r="M2" s="51"/>
      <c r="N2" s="51"/>
      <c r="O2" s="51"/>
      <c r="P2" s="51"/>
    </row>
    <row r="3" spans="1:16" x14ac:dyDescent="0.35">
      <c r="A3" s="51"/>
      <c r="B3" s="51"/>
      <c r="C3" s="51"/>
      <c r="D3" s="51"/>
      <c r="E3" s="51"/>
      <c r="F3" s="51"/>
      <c r="G3" s="51"/>
      <c r="H3" s="51"/>
      <c r="I3" s="51"/>
      <c r="J3" s="51"/>
      <c r="K3" s="51"/>
      <c r="L3" s="51"/>
      <c r="M3" s="51"/>
      <c r="N3" s="51"/>
      <c r="O3" s="51"/>
      <c r="P3" s="51"/>
    </row>
    <row r="4" spans="1:16" x14ac:dyDescent="0.35">
      <c r="A4" s="51"/>
      <c r="B4" s="47" t="s">
        <v>1</v>
      </c>
      <c r="C4" s="48">
        <v>2023</v>
      </c>
      <c r="D4" s="48">
        <v>2024</v>
      </c>
      <c r="E4" s="48">
        <v>2025</v>
      </c>
      <c r="F4" s="48">
        <v>2026</v>
      </c>
      <c r="G4" s="48">
        <v>2027</v>
      </c>
      <c r="H4" s="48">
        <v>2028</v>
      </c>
      <c r="I4" s="48">
        <v>2029</v>
      </c>
      <c r="J4" s="48">
        <v>2030</v>
      </c>
      <c r="K4" s="48">
        <v>2031</v>
      </c>
      <c r="L4" s="48">
        <v>2032</v>
      </c>
      <c r="M4" s="48">
        <v>2033</v>
      </c>
      <c r="N4" s="48">
        <v>2034</v>
      </c>
      <c r="O4" s="48">
        <v>2035</v>
      </c>
      <c r="P4" s="51"/>
    </row>
    <row r="5" spans="1:16" x14ac:dyDescent="0.35">
      <c r="A5" s="51"/>
      <c r="B5" s="44" t="s">
        <v>2</v>
      </c>
      <c r="C5" s="45">
        <v>0</v>
      </c>
      <c r="D5" s="45">
        <v>1</v>
      </c>
      <c r="E5" s="45">
        <v>2</v>
      </c>
      <c r="F5" s="45">
        <v>3</v>
      </c>
      <c r="G5" s="45">
        <v>4</v>
      </c>
      <c r="H5" s="45">
        <v>5</v>
      </c>
      <c r="I5" s="45">
        <v>6</v>
      </c>
      <c r="J5" s="45">
        <v>7</v>
      </c>
      <c r="K5" s="45">
        <v>8</v>
      </c>
      <c r="L5" s="45">
        <v>9</v>
      </c>
      <c r="M5" s="45">
        <v>10</v>
      </c>
      <c r="N5" s="45">
        <v>11</v>
      </c>
      <c r="O5" s="45">
        <v>12</v>
      </c>
      <c r="P5" s="51"/>
    </row>
    <row r="6" spans="1:16" x14ac:dyDescent="0.35">
      <c r="A6" s="51"/>
      <c r="B6" s="44" t="s">
        <v>3</v>
      </c>
      <c r="C6" s="49">
        <v>-800</v>
      </c>
      <c r="D6" s="49">
        <v>-20</v>
      </c>
      <c r="E6" s="49">
        <v>-20</v>
      </c>
      <c r="F6" s="49">
        <v>-20</v>
      </c>
      <c r="G6" s="49">
        <v>-20</v>
      </c>
      <c r="H6" s="49">
        <v>200</v>
      </c>
      <c r="I6" s="49">
        <v>200</v>
      </c>
      <c r="J6" s="49">
        <v>200</v>
      </c>
      <c r="K6" s="49">
        <v>200</v>
      </c>
      <c r="L6" s="49">
        <v>200</v>
      </c>
      <c r="M6" s="49">
        <v>200</v>
      </c>
      <c r="N6" s="49">
        <v>200</v>
      </c>
      <c r="O6" s="49">
        <v>200</v>
      </c>
      <c r="P6" s="51"/>
    </row>
    <row r="7" spans="1:16" x14ac:dyDescent="0.35">
      <c r="A7" s="51"/>
      <c r="B7" s="51"/>
      <c r="C7" s="51"/>
      <c r="D7" s="51"/>
      <c r="E7" s="51"/>
      <c r="F7" s="51"/>
      <c r="G7" s="51"/>
      <c r="H7" s="51"/>
      <c r="I7" s="51"/>
      <c r="J7" s="51"/>
      <c r="K7" s="51"/>
      <c r="L7" s="51"/>
      <c r="M7" s="51"/>
      <c r="N7" s="51"/>
      <c r="O7" s="51"/>
      <c r="P7" s="51"/>
    </row>
    <row r="8" spans="1:16" x14ac:dyDescent="0.35">
      <c r="A8" s="51"/>
      <c r="B8" s="51"/>
      <c r="C8" s="51"/>
      <c r="D8" s="51"/>
      <c r="E8" s="51"/>
      <c r="F8" s="51"/>
      <c r="G8" s="51"/>
      <c r="H8" s="51"/>
      <c r="I8" s="51"/>
      <c r="J8" s="51"/>
      <c r="K8" s="51"/>
      <c r="L8" s="51"/>
      <c r="M8" s="51"/>
      <c r="N8" s="51"/>
      <c r="O8" s="51"/>
      <c r="P8" s="51"/>
    </row>
    <row r="9" spans="1:16" x14ac:dyDescent="0.35">
      <c r="A9" s="51"/>
      <c r="B9" s="44" t="s">
        <v>4</v>
      </c>
      <c r="C9" s="50">
        <v>0.08</v>
      </c>
      <c r="D9" s="51"/>
      <c r="E9" s="51"/>
      <c r="F9" s="51"/>
      <c r="G9" s="51"/>
      <c r="H9" s="51"/>
      <c r="I9" s="51"/>
      <c r="J9" s="51"/>
      <c r="K9" s="51"/>
      <c r="L9" s="51"/>
      <c r="M9" s="51"/>
      <c r="N9" s="51"/>
      <c r="O9" s="51"/>
      <c r="P9" s="51"/>
    </row>
    <row r="10" spans="1:16" x14ac:dyDescent="0.35">
      <c r="A10" s="51"/>
      <c r="B10" s="51"/>
      <c r="C10" s="51"/>
      <c r="D10" s="51"/>
      <c r="E10" s="51"/>
      <c r="F10" s="51"/>
      <c r="G10" s="51"/>
      <c r="H10" s="51"/>
      <c r="I10" s="51"/>
      <c r="J10" s="51"/>
      <c r="K10" s="51"/>
      <c r="L10" s="51"/>
      <c r="M10" s="51"/>
      <c r="N10" s="51"/>
      <c r="O10" s="51"/>
      <c r="P10" s="51"/>
    </row>
    <row r="11" spans="1:16" x14ac:dyDescent="0.35">
      <c r="A11" s="51"/>
      <c r="B11" s="51"/>
      <c r="C11" s="51"/>
      <c r="D11" s="51"/>
      <c r="E11" s="51"/>
      <c r="F11" s="51"/>
      <c r="G11" s="51"/>
      <c r="H11" s="51"/>
      <c r="I11" s="51"/>
      <c r="J11" s="51"/>
      <c r="K11" s="51"/>
      <c r="L11" s="51"/>
      <c r="M11" s="51"/>
      <c r="N11" s="51"/>
      <c r="O11" s="51"/>
      <c r="P11" s="51"/>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26"/>
  <sheetViews>
    <sheetView showGridLines="0" zoomScaleNormal="100" workbookViewId="0">
      <selection activeCell="B11" sqref="B11:N11"/>
    </sheetView>
  </sheetViews>
  <sheetFormatPr defaultColWidth="8.6328125" defaultRowHeight="14.5" x14ac:dyDescent="0.35"/>
  <cols>
    <col min="1" max="1" width="2" style="20" customWidth="1"/>
    <col min="2" max="2" width="61.08984375" style="20" bestFit="1" customWidth="1"/>
    <col min="3" max="16384" width="8.6328125" style="20"/>
  </cols>
  <sheetData>
    <row r="1" spans="1:15" x14ac:dyDescent="0.35">
      <c r="A1" s="2"/>
      <c r="B1" s="2"/>
      <c r="C1" s="2"/>
      <c r="D1" s="2"/>
      <c r="E1" s="2"/>
      <c r="F1" s="2"/>
      <c r="G1" s="2"/>
      <c r="H1" s="2"/>
      <c r="I1" s="2"/>
      <c r="J1" s="2"/>
      <c r="K1" s="2"/>
      <c r="L1" s="2"/>
      <c r="M1" s="2"/>
      <c r="N1" s="2"/>
      <c r="O1" s="19"/>
    </row>
    <row r="2" spans="1:15" ht="18" x14ac:dyDescent="0.4">
      <c r="A2" s="2"/>
      <c r="B2" s="3" t="s">
        <v>5</v>
      </c>
      <c r="C2" s="2"/>
      <c r="D2" s="2"/>
      <c r="E2" s="2"/>
      <c r="F2" s="2"/>
      <c r="G2" s="2"/>
      <c r="H2" s="2"/>
      <c r="I2" s="2"/>
      <c r="J2" s="2"/>
      <c r="K2" s="2"/>
      <c r="L2" s="2"/>
      <c r="M2" s="2"/>
      <c r="N2" s="2"/>
      <c r="O2" s="19"/>
    </row>
    <row r="3" spans="1:15" x14ac:dyDescent="0.35">
      <c r="A3" s="2"/>
      <c r="B3" s="2"/>
      <c r="C3" s="2"/>
      <c r="D3" s="2"/>
      <c r="E3" s="2"/>
      <c r="F3" s="2"/>
      <c r="G3" s="2"/>
      <c r="H3" s="2"/>
      <c r="I3" s="2"/>
      <c r="J3" s="2"/>
      <c r="K3" s="2"/>
      <c r="L3" s="2"/>
      <c r="M3" s="2"/>
      <c r="N3" s="2"/>
      <c r="O3" s="19"/>
    </row>
    <row r="4" spans="1:15" ht="15.5" x14ac:dyDescent="0.35">
      <c r="A4" s="2"/>
      <c r="B4" s="21" t="s">
        <v>6</v>
      </c>
      <c r="C4" s="2"/>
      <c r="D4" s="2"/>
      <c r="E4" s="2"/>
      <c r="F4" s="2"/>
      <c r="G4" s="2"/>
      <c r="H4" s="2"/>
      <c r="I4" s="2"/>
      <c r="J4" s="2"/>
      <c r="K4" s="2"/>
      <c r="L4" s="2"/>
      <c r="M4" s="2"/>
      <c r="N4" s="2"/>
      <c r="O4" s="19"/>
    </row>
    <row r="5" spans="1:15" ht="30" customHeight="1" x14ac:dyDescent="0.35">
      <c r="A5" s="2"/>
      <c r="B5" s="40" t="s">
        <v>7</v>
      </c>
      <c r="C5" s="40"/>
      <c r="D5" s="40"/>
      <c r="E5" s="40"/>
      <c r="F5" s="40"/>
      <c r="G5" s="40"/>
      <c r="H5" s="40"/>
      <c r="I5" s="40"/>
      <c r="J5" s="40"/>
      <c r="K5" s="40"/>
      <c r="L5" s="40"/>
      <c r="M5" s="40"/>
      <c r="N5" s="40"/>
      <c r="O5" s="19"/>
    </row>
    <row r="6" spans="1:15" x14ac:dyDescent="0.35">
      <c r="A6" s="2"/>
      <c r="B6" s="2"/>
      <c r="C6" s="2"/>
      <c r="D6" s="2"/>
      <c r="E6" s="2"/>
      <c r="F6" s="2"/>
      <c r="G6" s="2"/>
      <c r="H6" s="2"/>
      <c r="I6" s="2"/>
      <c r="J6" s="2"/>
      <c r="K6" s="2"/>
      <c r="L6" s="2"/>
      <c r="M6" s="2"/>
      <c r="N6" s="2"/>
      <c r="O6" s="19"/>
    </row>
    <row r="7" spans="1:15" ht="30" customHeight="1" x14ac:dyDescent="0.35">
      <c r="A7" s="2"/>
      <c r="B7" s="40" t="s">
        <v>8</v>
      </c>
      <c r="C7" s="40"/>
      <c r="D7" s="40"/>
      <c r="E7" s="40"/>
      <c r="F7" s="40"/>
      <c r="G7" s="40"/>
      <c r="H7" s="40"/>
      <c r="I7" s="40"/>
      <c r="J7" s="40"/>
      <c r="K7" s="40"/>
      <c r="L7" s="40"/>
      <c r="M7" s="40"/>
      <c r="N7" s="40"/>
      <c r="O7" s="19"/>
    </row>
    <row r="8" spans="1:15" x14ac:dyDescent="0.35">
      <c r="A8" s="2"/>
      <c r="B8" s="2"/>
      <c r="C8" s="2"/>
      <c r="D8" s="2"/>
      <c r="E8" s="2"/>
      <c r="F8" s="2"/>
      <c r="G8" s="2"/>
      <c r="H8" s="2"/>
      <c r="I8" s="2"/>
      <c r="J8" s="2"/>
      <c r="K8" s="2"/>
      <c r="L8" s="2"/>
      <c r="M8" s="2"/>
      <c r="N8" s="2"/>
      <c r="O8" s="19"/>
    </row>
    <row r="9" spans="1:15" ht="15" customHeight="1" x14ac:dyDescent="0.35">
      <c r="A9" s="2"/>
      <c r="B9" s="40" t="s">
        <v>9</v>
      </c>
      <c r="C9" s="40"/>
      <c r="D9" s="40"/>
      <c r="E9" s="40"/>
      <c r="F9" s="40"/>
      <c r="G9" s="40"/>
      <c r="H9" s="40"/>
      <c r="I9" s="40"/>
      <c r="J9" s="40"/>
      <c r="K9" s="40"/>
      <c r="L9" s="40"/>
      <c r="M9" s="40"/>
      <c r="N9" s="40"/>
      <c r="O9" s="19"/>
    </row>
    <row r="10" spans="1:15" x14ac:dyDescent="0.35">
      <c r="A10" s="2"/>
      <c r="B10" s="2"/>
      <c r="C10" s="2"/>
      <c r="D10" s="2"/>
      <c r="E10" s="2"/>
      <c r="F10" s="2"/>
      <c r="G10" s="2"/>
      <c r="H10" s="2"/>
      <c r="I10" s="2"/>
      <c r="J10" s="2"/>
      <c r="K10" s="2"/>
      <c r="L10" s="2"/>
      <c r="M10" s="2"/>
      <c r="N10" s="2"/>
      <c r="O10" s="19"/>
    </row>
    <row r="11" spans="1:15" ht="30" customHeight="1" x14ac:dyDescent="0.35">
      <c r="A11" s="2"/>
      <c r="B11" s="40" t="s">
        <v>10</v>
      </c>
      <c r="C11" s="40"/>
      <c r="D11" s="40"/>
      <c r="E11" s="40"/>
      <c r="F11" s="40"/>
      <c r="G11" s="40"/>
      <c r="H11" s="40"/>
      <c r="I11" s="40"/>
      <c r="J11" s="40"/>
      <c r="K11" s="40"/>
      <c r="L11" s="40"/>
      <c r="M11" s="40"/>
      <c r="N11" s="40"/>
      <c r="O11" s="19"/>
    </row>
    <row r="12" spans="1:15" x14ac:dyDescent="0.35">
      <c r="A12" s="2"/>
      <c r="B12" s="2"/>
      <c r="C12" s="2"/>
      <c r="D12" s="2"/>
      <c r="E12" s="2"/>
      <c r="F12" s="2"/>
      <c r="G12" s="2"/>
      <c r="H12" s="2"/>
      <c r="I12" s="2"/>
      <c r="J12" s="2"/>
      <c r="K12" s="2"/>
      <c r="L12" s="2"/>
      <c r="M12" s="2"/>
      <c r="N12" s="2"/>
      <c r="O12" s="19"/>
    </row>
    <row r="13" spans="1:15" ht="15" customHeight="1" x14ac:dyDescent="0.35">
      <c r="A13" s="2"/>
      <c r="B13" s="40" t="s">
        <v>11</v>
      </c>
      <c r="C13" s="40"/>
      <c r="D13" s="40"/>
      <c r="E13" s="40"/>
      <c r="F13" s="40"/>
      <c r="G13" s="40"/>
      <c r="H13" s="40"/>
      <c r="I13" s="40"/>
      <c r="J13" s="40"/>
      <c r="K13" s="40"/>
      <c r="L13" s="40"/>
      <c r="M13" s="40"/>
      <c r="N13" s="40"/>
      <c r="O13" s="19"/>
    </row>
    <row r="14" spans="1:15" x14ac:dyDescent="0.35">
      <c r="A14" s="2"/>
      <c r="B14" s="2"/>
      <c r="C14" s="2"/>
      <c r="D14" s="2"/>
      <c r="E14" s="2"/>
      <c r="F14" s="2"/>
      <c r="G14" s="2"/>
      <c r="H14" s="2"/>
      <c r="I14" s="2"/>
      <c r="J14" s="2"/>
      <c r="K14" s="2"/>
      <c r="L14" s="2"/>
      <c r="M14" s="2"/>
      <c r="N14" s="2"/>
      <c r="O14" s="19"/>
    </row>
    <row r="15" spans="1:15" ht="15.5" x14ac:dyDescent="0.35">
      <c r="A15" s="2"/>
      <c r="B15" s="21" t="s">
        <v>12</v>
      </c>
      <c r="C15" s="2"/>
      <c r="D15" s="2"/>
      <c r="E15" s="2"/>
      <c r="F15" s="2"/>
      <c r="G15" s="2"/>
      <c r="H15" s="2"/>
      <c r="I15" s="2"/>
      <c r="J15" s="2"/>
      <c r="K15" s="2"/>
      <c r="L15" s="2"/>
      <c r="M15" s="2"/>
      <c r="N15" s="2"/>
      <c r="O15" s="19"/>
    </row>
    <row r="16" spans="1:15" ht="15" customHeight="1" x14ac:dyDescent="0.35">
      <c r="A16" s="2"/>
      <c r="B16" s="40" t="s">
        <v>13</v>
      </c>
      <c r="C16" s="40"/>
      <c r="D16" s="40"/>
      <c r="E16" s="40"/>
      <c r="F16" s="40"/>
      <c r="G16" s="40"/>
      <c r="H16" s="40"/>
      <c r="I16" s="40"/>
      <c r="J16" s="40"/>
      <c r="K16" s="40"/>
      <c r="L16" s="40"/>
      <c r="M16" s="40"/>
      <c r="N16" s="40"/>
      <c r="O16" s="19"/>
    </row>
    <row r="17" spans="1:15" x14ac:dyDescent="0.35">
      <c r="A17" s="2"/>
      <c r="B17" s="2"/>
      <c r="C17" s="2"/>
      <c r="D17" s="2"/>
      <c r="E17" s="2"/>
      <c r="F17" s="2"/>
      <c r="G17" s="2"/>
      <c r="H17" s="2"/>
      <c r="I17" s="2"/>
      <c r="J17" s="2"/>
      <c r="K17" s="2"/>
      <c r="L17" s="2"/>
      <c r="M17" s="2"/>
      <c r="N17" s="2"/>
      <c r="O17" s="19"/>
    </row>
    <row r="18" spans="1:15" ht="15" customHeight="1" x14ac:dyDescent="0.35">
      <c r="A18" s="2"/>
      <c r="B18" s="40" t="s">
        <v>14</v>
      </c>
      <c r="C18" s="40"/>
      <c r="D18" s="40"/>
      <c r="E18" s="40"/>
      <c r="F18" s="40"/>
      <c r="G18" s="40"/>
      <c r="H18" s="40"/>
      <c r="I18" s="40"/>
      <c r="J18" s="40"/>
      <c r="K18" s="40"/>
      <c r="L18" s="40"/>
      <c r="M18" s="40"/>
      <c r="N18" s="40"/>
      <c r="O18" s="19"/>
    </row>
    <row r="19" spans="1:15" x14ac:dyDescent="0.35">
      <c r="A19" s="2"/>
      <c r="B19" s="2"/>
      <c r="C19" s="2"/>
      <c r="D19" s="2"/>
      <c r="E19" s="2"/>
      <c r="F19" s="2"/>
      <c r="G19" s="2"/>
      <c r="H19" s="2"/>
      <c r="I19" s="2"/>
      <c r="J19" s="2"/>
      <c r="K19" s="2"/>
      <c r="L19" s="2"/>
      <c r="M19" s="2"/>
      <c r="N19" s="2"/>
      <c r="O19" s="19"/>
    </row>
    <row r="20" spans="1:15" ht="30" customHeight="1" x14ac:dyDescent="0.35">
      <c r="A20" s="2"/>
      <c r="B20" s="40" t="s">
        <v>15</v>
      </c>
      <c r="C20" s="40"/>
      <c r="D20" s="40"/>
      <c r="E20" s="40"/>
      <c r="F20" s="40"/>
      <c r="G20" s="40"/>
      <c r="H20" s="40"/>
      <c r="I20" s="40"/>
      <c r="J20" s="40"/>
      <c r="K20" s="40"/>
      <c r="L20" s="40"/>
      <c r="M20" s="40"/>
      <c r="N20" s="40"/>
      <c r="O20" s="19"/>
    </row>
    <row r="21" spans="1:15" x14ac:dyDescent="0.35">
      <c r="A21" s="2"/>
      <c r="B21" s="2"/>
      <c r="C21" s="2"/>
      <c r="D21" s="2"/>
      <c r="E21" s="2"/>
      <c r="F21" s="2"/>
      <c r="G21" s="2"/>
      <c r="H21" s="2"/>
      <c r="I21" s="2"/>
      <c r="J21" s="2"/>
      <c r="K21" s="2"/>
      <c r="L21" s="2"/>
      <c r="M21" s="2"/>
      <c r="N21" s="2"/>
      <c r="O21" s="19"/>
    </row>
    <row r="22" spans="1:15" ht="30" customHeight="1" x14ac:dyDescent="0.35">
      <c r="A22" s="2"/>
      <c r="B22" s="40" t="s">
        <v>70</v>
      </c>
      <c r="C22" s="40"/>
      <c r="D22" s="40"/>
      <c r="E22" s="40"/>
      <c r="F22" s="40"/>
      <c r="G22" s="40"/>
      <c r="H22" s="40"/>
      <c r="I22" s="40"/>
      <c r="J22" s="40"/>
      <c r="K22" s="40"/>
      <c r="L22" s="40"/>
      <c r="M22" s="40"/>
      <c r="N22" s="40"/>
      <c r="O22" s="19"/>
    </row>
    <row r="23" spans="1:15" x14ac:dyDescent="0.35">
      <c r="A23" s="2"/>
      <c r="B23" s="2"/>
      <c r="C23" s="2"/>
      <c r="D23" s="2"/>
      <c r="E23" s="2"/>
      <c r="F23" s="2"/>
      <c r="G23" s="2"/>
      <c r="H23" s="2"/>
      <c r="I23" s="2"/>
      <c r="J23" s="2"/>
      <c r="K23" s="2"/>
      <c r="L23" s="2"/>
      <c r="M23" s="2"/>
      <c r="N23" s="2"/>
      <c r="O23" s="19"/>
    </row>
    <row r="24" spans="1:15" ht="15.5" x14ac:dyDescent="0.35">
      <c r="A24" s="2"/>
      <c r="B24" s="21" t="s">
        <v>16</v>
      </c>
      <c r="C24" s="2"/>
      <c r="D24" s="2"/>
      <c r="E24" s="2"/>
      <c r="F24" s="2"/>
      <c r="G24" s="2"/>
      <c r="H24" s="2"/>
      <c r="I24" s="2"/>
      <c r="J24" s="2"/>
      <c r="K24" s="2"/>
      <c r="L24" s="2"/>
      <c r="M24" s="2"/>
      <c r="N24" s="2"/>
      <c r="O24" s="19"/>
    </row>
    <row r="25" spans="1:15" ht="60" customHeight="1" x14ac:dyDescent="0.35">
      <c r="A25" s="2"/>
      <c r="B25" s="40" t="s">
        <v>17</v>
      </c>
      <c r="C25" s="40"/>
      <c r="D25" s="40"/>
      <c r="E25" s="40"/>
      <c r="F25" s="40"/>
      <c r="G25" s="40"/>
      <c r="H25" s="40"/>
      <c r="I25" s="40"/>
      <c r="J25" s="40"/>
      <c r="K25" s="40"/>
      <c r="L25" s="40"/>
      <c r="M25" s="40"/>
      <c r="N25" s="40"/>
      <c r="O25" s="19"/>
    </row>
    <row r="26" spans="1:15" x14ac:dyDescent="0.35">
      <c r="A26" s="22"/>
      <c r="B26" s="22"/>
      <c r="C26" s="22"/>
      <c r="D26" s="22"/>
      <c r="E26" s="22"/>
      <c r="F26" s="22"/>
      <c r="G26" s="22"/>
      <c r="H26" s="22"/>
      <c r="I26" s="22"/>
      <c r="J26" s="22"/>
      <c r="K26" s="22"/>
      <c r="L26" s="22"/>
      <c r="M26" s="22"/>
      <c r="N26" s="22"/>
    </row>
  </sheetData>
  <mergeCells count="10">
    <mergeCell ref="B5:N5"/>
    <mergeCell ref="B7:N7"/>
    <mergeCell ref="B9:N9"/>
    <mergeCell ref="B11:N11"/>
    <mergeCell ref="B13:N13"/>
    <mergeCell ref="B16:N16"/>
    <mergeCell ref="B18:N18"/>
    <mergeCell ref="B20:N20"/>
    <mergeCell ref="B22:N22"/>
    <mergeCell ref="B25:N25"/>
  </mergeCell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9"/>
  <sheetViews>
    <sheetView showGridLines="0" zoomScaleNormal="100" workbookViewId="0">
      <selection activeCell="B6" sqref="B6"/>
    </sheetView>
  </sheetViews>
  <sheetFormatPr defaultColWidth="8.6328125" defaultRowHeight="14.5" x14ac:dyDescent="0.35"/>
  <cols>
    <col min="1" max="1" width="2" style="20" customWidth="1"/>
    <col min="2" max="2" width="61.36328125" style="20" bestFit="1" customWidth="1"/>
    <col min="3" max="16384" width="8.6328125" style="20"/>
  </cols>
  <sheetData>
    <row r="1" spans="1:15" x14ac:dyDescent="0.35">
      <c r="A1" s="2"/>
      <c r="B1" s="2"/>
      <c r="C1" s="2"/>
      <c r="D1" s="2"/>
      <c r="E1" s="2"/>
      <c r="F1" s="2"/>
      <c r="G1" s="2"/>
      <c r="H1" s="2"/>
      <c r="I1" s="2"/>
      <c r="J1" s="2"/>
      <c r="K1" s="2"/>
      <c r="L1" s="2"/>
      <c r="M1" s="2"/>
      <c r="N1" s="2"/>
      <c r="O1" s="19"/>
    </row>
    <row r="2" spans="1:15" ht="18" x14ac:dyDescent="0.4">
      <c r="A2" s="2"/>
      <c r="B2" s="3" t="s">
        <v>18</v>
      </c>
      <c r="C2" s="2"/>
      <c r="D2" s="2"/>
      <c r="E2" s="2"/>
      <c r="F2" s="2"/>
      <c r="G2" s="2"/>
      <c r="H2" s="2"/>
      <c r="I2" s="2"/>
      <c r="J2" s="2"/>
      <c r="K2" s="2"/>
      <c r="L2" s="2"/>
      <c r="M2" s="2"/>
      <c r="N2" s="2"/>
      <c r="O2" s="19"/>
    </row>
    <row r="3" spans="1:15" x14ac:dyDescent="0.35">
      <c r="A3" s="2"/>
      <c r="B3" s="2"/>
      <c r="C3" s="2"/>
      <c r="D3" s="2"/>
      <c r="E3" s="2"/>
      <c r="F3" s="2"/>
      <c r="G3" s="2"/>
      <c r="H3" s="2"/>
      <c r="I3" s="2"/>
      <c r="J3" s="2"/>
      <c r="K3" s="2"/>
      <c r="L3" s="2"/>
      <c r="M3" s="2"/>
      <c r="N3" s="2"/>
      <c r="O3" s="19"/>
    </row>
    <row r="4" spans="1:15" ht="15.5" x14ac:dyDescent="0.35">
      <c r="A4" s="2"/>
      <c r="B4" s="21" t="s">
        <v>19</v>
      </c>
      <c r="C4" s="2"/>
      <c r="D4" s="2"/>
      <c r="E4" s="2"/>
      <c r="F4" s="2"/>
      <c r="G4" s="2"/>
      <c r="H4" s="2"/>
      <c r="I4" s="2"/>
      <c r="J4" s="2"/>
      <c r="K4" s="2"/>
      <c r="L4" s="2"/>
      <c r="M4" s="2"/>
      <c r="N4" s="2"/>
      <c r="O4" s="19"/>
    </row>
    <row r="5" spans="1:15" ht="45" customHeight="1" x14ac:dyDescent="0.35">
      <c r="A5" s="2"/>
      <c r="B5" s="40" t="s">
        <v>71</v>
      </c>
      <c r="C5" s="40"/>
      <c r="D5" s="40"/>
      <c r="E5" s="40"/>
      <c r="F5" s="40"/>
      <c r="G5" s="40"/>
      <c r="H5" s="40"/>
      <c r="I5" s="40"/>
      <c r="J5" s="40"/>
      <c r="K5" s="40"/>
      <c r="L5" s="40"/>
      <c r="M5" s="40"/>
      <c r="N5" s="40"/>
      <c r="O5" s="19"/>
    </row>
    <row r="6" spans="1:15" x14ac:dyDescent="0.35">
      <c r="A6" s="2"/>
      <c r="B6" s="2"/>
      <c r="C6" s="2"/>
      <c r="D6" s="2"/>
      <c r="E6" s="2"/>
      <c r="F6" s="2"/>
      <c r="G6" s="2"/>
      <c r="H6" s="2"/>
      <c r="I6" s="2"/>
      <c r="J6" s="2"/>
      <c r="K6" s="2"/>
      <c r="L6" s="2"/>
      <c r="M6" s="2"/>
      <c r="N6" s="2"/>
      <c r="O6" s="19"/>
    </row>
    <row r="7" spans="1:15" ht="15.5" x14ac:dyDescent="0.35">
      <c r="A7" s="2"/>
      <c r="B7" s="21" t="s">
        <v>20</v>
      </c>
      <c r="C7" s="2"/>
      <c r="D7" s="2"/>
      <c r="E7" s="2"/>
      <c r="F7" s="2"/>
      <c r="G7" s="2"/>
      <c r="H7" s="2"/>
      <c r="I7" s="2"/>
      <c r="J7" s="2"/>
      <c r="K7" s="2"/>
      <c r="L7" s="2"/>
      <c r="M7" s="2"/>
      <c r="N7" s="2"/>
      <c r="O7" s="19"/>
    </row>
    <row r="8" spans="1:15" ht="60" customHeight="1" x14ac:dyDescent="0.35">
      <c r="A8" s="2"/>
      <c r="B8" s="40" t="s">
        <v>21</v>
      </c>
      <c r="C8" s="40"/>
      <c r="D8" s="40"/>
      <c r="E8" s="40"/>
      <c r="F8" s="40"/>
      <c r="G8" s="40"/>
      <c r="H8" s="40"/>
      <c r="I8" s="40"/>
      <c r="J8" s="40"/>
      <c r="K8" s="40"/>
      <c r="L8" s="40"/>
      <c r="M8" s="40"/>
      <c r="N8" s="40"/>
      <c r="O8" s="19"/>
    </row>
    <row r="9" spans="1:15" x14ac:dyDescent="0.35">
      <c r="A9" s="22"/>
      <c r="B9" s="22"/>
      <c r="C9" s="22"/>
      <c r="D9" s="22"/>
      <c r="E9" s="22"/>
      <c r="F9" s="22"/>
      <c r="G9" s="22"/>
      <c r="H9" s="22"/>
      <c r="I9" s="22"/>
      <c r="J9" s="22"/>
      <c r="K9" s="22"/>
      <c r="L9" s="22"/>
      <c r="M9" s="22"/>
      <c r="N9" s="22"/>
    </row>
  </sheetData>
  <mergeCells count="2">
    <mergeCell ref="B5:N5"/>
    <mergeCell ref="B8:N8"/>
  </mergeCell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26"/>
  <sheetViews>
    <sheetView showGridLines="0" zoomScaleNormal="100" workbookViewId="0">
      <selection activeCell="C20" sqref="C20"/>
    </sheetView>
  </sheetViews>
  <sheetFormatPr defaultColWidth="8.6328125" defaultRowHeight="14.5" x14ac:dyDescent="0.35"/>
  <cols>
    <col min="1" max="1" width="2" style="1" customWidth="1"/>
    <col min="2" max="2" width="34" style="1" customWidth="1"/>
    <col min="3" max="3" width="21.54296875" style="1" bestFit="1" customWidth="1"/>
    <col min="4" max="15" width="11" style="1" customWidth="1"/>
    <col min="16" max="16384" width="8.6328125" style="1"/>
  </cols>
  <sheetData>
    <row r="1" spans="1:16" x14ac:dyDescent="0.35">
      <c r="A1" s="2"/>
      <c r="B1" s="2"/>
      <c r="C1" s="2"/>
      <c r="D1" s="2"/>
      <c r="E1" s="2"/>
      <c r="F1" s="2"/>
      <c r="G1" s="2"/>
      <c r="H1" s="2"/>
      <c r="I1" s="2"/>
      <c r="J1" s="2"/>
      <c r="K1" s="2"/>
      <c r="L1" s="2"/>
      <c r="M1" s="2"/>
      <c r="N1" s="2"/>
      <c r="O1" s="2"/>
      <c r="P1" s="2"/>
    </row>
    <row r="2" spans="1:16" ht="18" x14ac:dyDescent="0.4">
      <c r="A2" s="2"/>
      <c r="B2" s="3" t="s">
        <v>22</v>
      </c>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2"/>
      <c r="B4" s="6" t="s">
        <v>1</v>
      </c>
      <c r="C4" s="7">
        <v>2023</v>
      </c>
      <c r="D4" s="7">
        <v>2024</v>
      </c>
      <c r="E4" s="7">
        <v>2025</v>
      </c>
      <c r="F4" s="7">
        <v>2026</v>
      </c>
      <c r="G4" s="7">
        <v>2027</v>
      </c>
      <c r="H4" s="7">
        <v>2028</v>
      </c>
      <c r="I4" s="7">
        <v>2029</v>
      </c>
      <c r="J4" s="7">
        <v>2030</v>
      </c>
      <c r="K4" s="7">
        <v>2031</v>
      </c>
      <c r="L4" s="7">
        <v>2032</v>
      </c>
      <c r="M4" s="7">
        <v>2033</v>
      </c>
      <c r="N4" s="7">
        <v>2034</v>
      </c>
      <c r="O4" s="7">
        <v>2035</v>
      </c>
      <c r="P4" s="2"/>
    </row>
    <row r="5" spans="1:16" x14ac:dyDescent="0.35">
      <c r="A5" s="2"/>
      <c r="B5" s="8" t="s">
        <v>2</v>
      </c>
      <c r="C5" s="9">
        <v>0</v>
      </c>
      <c r="D5" s="9">
        <v>1</v>
      </c>
      <c r="E5" s="9">
        <v>2</v>
      </c>
      <c r="F5" s="9">
        <v>3</v>
      </c>
      <c r="G5" s="9">
        <v>4</v>
      </c>
      <c r="H5" s="9">
        <v>5</v>
      </c>
      <c r="I5" s="9">
        <v>6</v>
      </c>
      <c r="J5" s="9">
        <v>7</v>
      </c>
      <c r="K5" s="9">
        <v>8</v>
      </c>
      <c r="L5" s="9">
        <v>9</v>
      </c>
      <c r="M5" s="9">
        <v>10</v>
      </c>
      <c r="N5" s="9">
        <v>11</v>
      </c>
      <c r="O5" s="9">
        <v>12</v>
      </c>
      <c r="P5" s="2"/>
    </row>
    <row r="6" spans="1:16" x14ac:dyDescent="0.35">
      <c r="A6" s="2"/>
      <c r="B6" s="8" t="s">
        <v>23</v>
      </c>
      <c r="C6" s="10">
        <f>Given!C6</f>
        <v>-800</v>
      </c>
      <c r="D6" s="10">
        <f>Given!D6</f>
        <v>-20</v>
      </c>
      <c r="E6" s="10">
        <f>Given!E6</f>
        <v>-20</v>
      </c>
      <c r="F6" s="10">
        <f>Given!F6</f>
        <v>-20</v>
      </c>
      <c r="G6" s="10">
        <f>Given!G6</f>
        <v>-20</v>
      </c>
      <c r="H6" s="10">
        <f>Given!H6</f>
        <v>200</v>
      </c>
      <c r="I6" s="10">
        <f>Given!I6</f>
        <v>200</v>
      </c>
      <c r="J6" s="10">
        <f>Given!J6</f>
        <v>200</v>
      </c>
      <c r="K6" s="10">
        <f>Given!K6</f>
        <v>200</v>
      </c>
      <c r="L6" s="10">
        <f>Given!L6</f>
        <v>200</v>
      </c>
      <c r="M6" s="10">
        <f>Given!M6</f>
        <v>200</v>
      </c>
      <c r="N6" s="10">
        <f>Given!N6</f>
        <v>200</v>
      </c>
      <c r="O6" s="10">
        <f>Given!O6</f>
        <v>200</v>
      </c>
      <c r="P6" s="2"/>
    </row>
    <row r="7" spans="1:16" x14ac:dyDescent="0.35">
      <c r="A7" s="2"/>
      <c r="B7" s="8" t="s">
        <v>24</v>
      </c>
      <c r="C7" s="11">
        <f t="shared" ref="C7:O7" si="0">1/(1+$C$16)^C5</f>
        <v>1</v>
      </c>
      <c r="D7" s="11">
        <f t="shared" si="0"/>
        <v>0.92592592592592582</v>
      </c>
      <c r="E7" s="11">
        <f t="shared" si="0"/>
        <v>0.85733882030178321</v>
      </c>
      <c r="F7" s="11">
        <f t="shared" si="0"/>
        <v>0.79383224102016958</v>
      </c>
      <c r="G7" s="11">
        <f t="shared" si="0"/>
        <v>0.73502985279645328</v>
      </c>
      <c r="H7" s="11">
        <f t="shared" si="0"/>
        <v>0.68058319703375303</v>
      </c>
      <c r="I7" s="11">
        <f t="shared" si="0"/>
        <v>0.63016962688310452</v>
      </c>
      <c r="J7" s="11">
        <f t="shared" si="0"/>
        <v>0.58349039526213387</v>
      </c>
      <c r="K7" s="11">
        <f t="shared" si="0"/>
        <v>0.54026888450197574</v>
      </c>
      <c r="L7" s="11">
        <f t="shared" si="0"/>
        <v>0.50024896713145905</v>
      </c>
      <c r="M7" s="11">
        <f t="shared" si="0"/>
        <v>0.46319348808468425</v>
      </c>
      <c r="N7" s="11">
        <f t="shared" si="0"/>
        <v>0.42888285933767062</v>
      </c>
      <c r="O7" s="11">
        <f t="shared" si="0"/>
        <v>0.39711375864599124</v>
      </c>
      <c r="P7" s="2"/>
    </row>
    <row r="8" spans="1:16" x14ac:dyDescent="0.35">
      <c r="A8" s="2"/>
      <c r="B8" s="8" t="s">
        <v>25</v>
      </c>
      <c r="C8" s="12">
        <f t="shared" ref="C8:O8" si="1">C6*C7</f>
        <v>-800</v>
      </c>
      <c r="D8" s="12">
        <f t="shared" si="1"/>
        <v>-18.518518518518515</v>
      </c>
      <c r="E8" s="12">
        <f t="shared" si="1"/>
        <v>-17.146776406035663</v>
      </c>
      <c r="F8" s="12">
        <f t="shared" si="1"/>
        <v>-15.876644820403392</v>
      </c>
      <c r="G8" s="12">
        <f t="shared" si="1"/>
        <v>-14.700597055929066</v>
      </c>
      <c r="H8" s="12">
        <f t="shared" si="1"/>
        <v>136.11663940675061</v>
      </c>
      <c r="I8" s="12">
        <f t="shared" si="1"/>
        <v>126.0339253766209</v>
      </c>
      <c r="J8" s="12">
        <f t="shared" si="1"/>
        <v>116.69807905242678</v>
      </c>
      <c r="K8" s="12">
        <f t="shared" si="1"/>
        <v>108.05377690039515</v>
      </c>
      <c r="L8" s="12">
        <f t="shared" si="1"/>
        <v>100.04979342629181</v>
      </c>
      <c r="M8" s="12">
        <f t="shared" si="1"/>
        <v>92.638697616936852</v>
      </c>
      <c r="N8" s="12">
        <f t="shared" si="1"/>
        <v>85.77657186753413</v>
      </c>
      <c r="O8" s="12">
        <f t="shared" si="1"/>
        <v>79.422751729198254</v>
      </c>
      <c r="P8" s="2"/>
    </row>
    <row r="9" spans="1:16" x14ac:dyDescent="0.35">
      <c r="A9" s="2"/>
      <c r="B9" s="8" t="s">
        <v>26</v>
      </c>
      <c r="C9" s="12">
        <f>SUM($C6:C6)</f>
        <v>-800</v>
      </c>
      <c r="D9" s="12">
        <f>SUM($C6:D6)</f>
        <v>-820</v>
      </c>
      <c r="E9" s="12">
        <f>SUM($C6:E6)</f>
        <v>-840</v>
      </c>
      <c r="F9" s="12">
        <f>SUM($C6:F6)</f>
        <v>-860</v>
      </c>
      <c r="G9" s="12">
        <f>SUM($C6:G6)</f>
        <v>-880</v>
      </c>
      <c r="H9" s="12">
        <f>SUM($C6:H6)</f>
        <v>-680</v>
      </c>
      <c r="I9" s="12">
        <f>SUM($C6:I6)</f>
        <v>-480</v>
      </c>
      <c r="J9" s="12">
        <f>SUM($C6:J6)</f>
        <v>-280</v>
      </c>
      <c r="K9" s="12">
        <f>SUM($C6:K6)</f>
        <v>-80</v>
      </c>
      <c r="L9" s="12">
        <f>SUM($C6:L6)</f>
        <v>120</v>
      </c>
      <c r="M9" s="12">
        <f>SUM($C6:M6)</f>
        <v>320</v>
      </c>
      <c r="N9" s="12">
        <f>SUM($C6:N6)</f>
        <v>520</v>
      </c>
      <c r="O9" s="12">
        <f>SUM($C6:O6)</f>
        <v>720</v>
      </c>
      <c r="P9" s="2"/>
    </row>
    <row r="10" spans="1:16" x14ac:dyDescent="0.35">
      <c r="A10" s="2"/>
      <c r="B10" s="8" t="s">
        <v>27</v>
      </c>
      <c r="C10" s="12">
        <f>SUM($C8:C8)</f>
        <v>-800</v>
      </c>
      <c r="D10" s="12">
        <f>SUM($C8:D8)</f>
        <v>-818.51851851851848</v>
      </c>
      <c r="E10" s="12">
        <f>SUM($C8:E8)</f>
        <v>-835.66529492455413</v>
      </c>
      <c r="F10" s="12">
        <f>SUM($C8:F8)</f>
        <v>-851.54193974495752</v>
      </c>
      <c r="G10" s="12">
        <f>SUM($C8:G8)</f>
        <v>-866.24253680088657</v>
      </c>
      <c r="H10" s="12">
        <f>SUM($C8:H8)</f>
        <v>-730.12589739413602</v>
      </c>
      <c r="I10" s="12">
        <f>SUM($C8:I8)</f>
        <v>-604.0919720175151</v>
      </c>
      <c r="J10" s="12">
        <f>SUM($C8:J8)</f>
        <v>-487.3938929650883</v>
      </c>
      <c r="K10" s="12">
        <f>SUM($C8:K8)</f>
        <v>-379.34011606469312</v>
      </c>
      <c r="L10" s="12">
        <f>SUM($C8:L8)</f>
        <v>-279.29032263840134</v>
      </c>
      <c r="M10" s="12">
        <f>SUM($C8:M8)</f>
        <v>-186.6516250214645</v>
      </c>
      <c r="N10" s="12">
        <f>SUM($C8:N8)</f>
        <v>-100.87505315393037</v>
      </c>
      <c r="O10" s="12">
        <f>SUM($C8:O8)</f>
        <v>-21.452301424732113</v>
      </c>
      <c r="P10" s="2"/>
    </row>
    <row r="11" spans="1:16" x14ac:dyDescent="0.35">
      <c r="A11" s="2"/>
      <c r="B11" s="2"/>
      <c r="C11" s="2"/>
      <c r="D11" s="2"/>
      <c r="E11" s="2"/>
      <c r="F11" s="2"/>
      <c r="G11" s="2"/>
      <c r="H11" s="2"/>
      <c r="I11" s="2"/>
      <c r="J11" s="2"/>
      <c r="K11" s="2"/>
      <c r="L11" s="2"/>
      <c r="M11" s="2"/>
      <c r="N11" s="2"/>
      <c r="O11" s="2"/>
      <c r="P11" s="2"/>
    </row>
    <row r="12" spans="1:16" x14ac:dyDescent="0.35">
      <c r="A12" s="2"/>
      <c r="B12" s="2"/>
      <c r="C12" s="2"/>
      <c r="D12" s="2"/>
      <c r="E12" s="2"/>
      <c r="F12" s="2"/>
      <c r="G12" s="2"/>
      <c r="H12" s="2"/>
      <c r="I12" s="2"/>
      <c r="J12" s="2"/>
      <c r="K12" s="2"/>
      <c r="L12" s="2"/>
      <c r="M12" s="2"/>
      <c r="N12" s="2"/>
      <c r="O12" s="2"/>
      <c r="P12" s="2"/>
    </row>
    <row r="13" spans="1:16" x14ac:dyDescent="0.35">
      <c r="A13" s="2"/>
      <c r="B13" s="8" t="s">
        <v>28</v>
      </c>
      <c r="C13" s="13">
        <f>SUM(C8:O8)</f>
        <v>-21.452301424732113</v>
      </c>
      <c r="D13" s="2"/>
      <c r="E13" s="2"/>
      <c r="F13" s="2"/>
      <c r="G13" s="2"/>
      <c r="H13" s="2"/>
      <c r="I13" s="2"/>
      <c r="J13" s="2"/>
      <c r="K13" s="2"/>
      <c r="L13" s="2"/>
      <c r="M13" s="2"/>
      <c r="N13" s="2"/>
      <c r="O13" s="2"/>
      <c r="P13" s="2"/>
    </row>
    <row r="14" spans="1:16" x14ac:dyDescent="0.35">
      <c r="A14" s="2"/>
      <c r="B14" s="2"/>
      <c r="C14" s="2"/>
      <c r="D14" s="2"/>
      <c r="E14" s="2"/>
      <c r="F14" s="2"/>
      <c r="G14" s="2"/>
      <c r="H14" s="2"/>
      <c r="I14" s="2"/>
      <c r="J14" s="2"/>
      <c r="K14" s="2"/>
      <c r="L14" s="2"/>
      <c r="M14" s="2"/>
      <c r="N14" s="2"/>
      <c r="O14" s="2"/>
      <c r="P14" s="2"/>
    </row>
    <row r="15" spans="1:16" x14ac:dyDescent="0.35">
      <c r="A15" s="2"/>
      <c r="B15" s="40"/>
      <c r="C15" s="40"/>
      <c r="D15" s="40"/>
      <c r="E15" s="40"/>
      <c r="F15" s="40"/>
      <c r="G15" s="40"/>
      <c r="H15" s="40"/>
      <c r="I15" s="40"/>
      <c r="J15" s="40"/>
      <c r="K15" s="40"/>
      <c r="L15" s="40"/>
      <c r="M15" s="40"/>
      <c r="N15" s="40"/>
      <c r="O15" s="40"/>
      <c r="P15" s="2"/>
    </row>
    <row r="16" spans="1:16" x14ac:dyDescent="0.35">
      <c r="A16" s="2"/>
      <c r="B16" s="8" t="s">
        <v>30</v>
      </c>
      <c r="C16" s="14">
        <f>Given!C9</f>
        <v>0.08</v>
      </c>
      <c r="D16" s="2"/>
      <c r="E16" s="2"/>
      <c r="F16" s="2"/>
      <c r="G16" s="2"/>
      <c r="H16" s="2"/>
      <c r="I16" s="2"/>
      <c r="J16" s="2"/>
      <c r="K16" s="2"/>
      <c r="L16" s="2"/>
      <c r="M16" s="2"/>
      <c r="N16" s="2"/>
      <c r="O16" s="2"/>
      <c r="P16" s="2"/>
    </row>
    <row r="17" spans="1:16" x14ac:dyDescent="0.35">
      <c r="A17" s="2"/>
      <c r="B17" s="2"/>
      <c r="C17" s="2"/>
      <c r="D17" s="2"/>
      <c r="E17" s="2"/>
      <c r="F17" s="2"/>
      <c r="G17" s="2"/>
      <c r="H17" s="2"/>
      <c r="I17" s="2"/>
      <c r="J17" s="2"/>
      <c r="K17" s="2"/>
      <c r="L17" s="2"/>
      <c r="M17" s="2"/>
      <c r="N17" s="2"/>
      <c r="O17" s="2"/>
      <c r="P17" s="2"/>
    </row>
    <row r="18" spans="1:16" x14ac:dyDescent="0.35">
      <c r="A18" s="2"/>
      <c r="B18" s="2"/>
      <c r="C18" s="2"/>
      <c r="D18" s="2"/>
      <c r="E18" s="2"/>
      <c r="F18" s="2"/>
      <c r="G18" s="2"/>
      <c r="H18" s="2"/>
      <c r="I18" s="2"/>
      <c r="J18" s="2"/>
      <c r="K18" s="2"/>
      <c r="L18" s="2"/>
      <c r="M18" s="2"/>
      <c r="N18" s="2"/>
      <c r="O18" s="2"/>
      <c r="P18" s="2"/>
    </row>
    <row r="19" spans="1:16" x14ac:dyDescent="0.35">
      <c r="A19" s="2"/>
      <c r="B19" s="2"/>
      <c r="C19" s="2"/>
      <c r="D19" s="2"/>
      <c r="E19" s="2"/>
      <c r="F19" s="2"/>
      <c r="G19" s="2"/>
      <c r="H19" s="2"/>
      <c r="I19" s="2"/>
      <c r="J19" s="2"/>
      <c r="K19" s="2"/>
      <c r="L19" s="2"/>
      <c r="M19" s="2"/>
      <c r="N19" s="2"/>
      <c r="O19" s="2"/>
      <c r="P19" s="2"/>
    </row>
    <row r="20" spans="1:16" x14ac:dyDescent="0.35">
      <c r="A20" s="2"/>
      <c r="B20" s="8" t="s">
        <v>31</v>
      </c>
      <c r="C20" s="15">
        <f>IRR(C6:O6)</f>
        <v>7.6586755040058074E-2</v>
      </c>
      <c r="D20" s="2"/>
      <c r="E20" s="2"/>
      <c r="F20" s="2"/>
      <c r="G20" s="2"/>
      <c r="H20" s="2"/>
      <c r="I20" s="2"/>
      <c r="J20" s="2"/>
      <c r="K20" s="2"/>
      <c r="L20" s="2"/>
      <c r="M20" s="2"/>
      <c r="N20" s="2"/>
      <c r="O20" s="2"/>
      <c r="P20" s="2"/>
    </row>
    <row r="21" spans="1:16" x14ac:dyDescent="0.35">
      <c r="A21" s="2"/>
      <c r="B21" s="8" t="s">
        <v>32</v>
      </c>
      <c r="C21" s="16">
        <f>SUMIF(C8:O8,"&gt;0")</f>
        <v>844.79023537615444</v>
      </c>
      <c r="D21" s="2"/>
      <c r="E21" s="2"/>
      <c r="F21" s="2"/>
      <c r="G21" s="2"/>
      <c r="H21" s="2"/>
      <c r="I21" s="2"/>
      <c r="J21" s="2"/>
      <c r="K21" s="2"/>
      <c r="L21" s="2"/>
      <c r="M21" s="2"/>
      <c r="N21" s="2"/>
      <c r="O21" s="2"/>
      <c r="P21" s="2"/>
    </row>
    <row r="22" spans="1:16" x14ac:dyDescent="0.35">
      <c r="A22" s="2"/>
      <c r="B22" s="8" t="s">
        <v>33</v>
      </c>
      <c r="C22" s="16">
        <f>-SUMIF(C8:O8,"&lt;0")</f>
        <v>866.24253680088657</v>
      </c>
      <c r="D22" s="2"/>
      <c r="E22" s="2"/>
      <c r="F22" s="2"/>
      <c r="G22" s="2"/>
      <c r="H22" s="2"/>
      <c r="I22" s="2"/>
      <c r="J22" s="2"/>
      <c r="K22" s="2"/>
      <c r="L22" s="2"/>
      <c r="M22" s="2"/>
      <c r="N22" s="2"/>
      <c r="O22" s="2"/>
      <c r="P22" s="2"/>
    </row>
    <row r="23" spans="1:16" x14ac:dyDescent="0.35">
      <c r="A23" s="2"/>
      <c r="B23" s="8" t="s">
        <v>34</v>
      </c>
      <c r="C23" s="17">
        <f>C21/C22</f>
        <v>0.97523522510917382</v>
      </c>
      <c r="D23" s="2"/>
      <c r="E23" s="2"/>
      <c r="F23" s="2"/>
      <c r="G23" s="2"/>
      <c r="H23" s="2"/>
      <c r="I23" s="2"/>
      <c r="J23" s="2"/>
      <c r="K23" s="2"/>
      <c r="L23" s="2"/>
      <c r="M23" s="2"/>
      <c r="N23" s="2"/>
      <c r="O23" s="2"/>
      <c r="P23" s="2"/>
    </row>
    <row r="24" spans="1:16" x14ac:dyDescent="0.35">
      <c r="A24" s="2"/>
      <c r="B24" s="8" t="s">
        <v>35</v>
      </c>
      <c r="C24" s="17">
        <f>SUMPRODUCT(--(C9:O9&lt;0))-1+(-INDEX(C9:O9,SUMPRODUCT(--(C9:O9&lt;0))))/INDEX(C6:O6,SUMPRODUCT(--(C9:O9&lt;0))+1)</f>
        <v>8.4</v>
      </c>
      <c r="D24" s="2"/>
      <c r="E24" s="2"/>
      <c r="F24" s="2"/>
      <c r="G24" s="2"/>
      <c r="H24" s="2"/>
      <c r="I24" s="2"/>
      <c r="J24" s="2"/>
      <c r="K24" s="2"/>
      <c r="L24" s="2"/>
      <c r="M24" s="2"/>
      <c r="N24" s="2"/>
      <c r="O24" s="2"/>
      <c r="P24" s="2"/>
    </row>
    <row r="25" spans="1:16" x14ac:dyDescent="0.35">
      <c r="A25" s="2"/>
      <c r="B25" s="8" t="s">
        <v>36</v>
      </c>
      <c r="C25" s="18" t="str">
        <f>IF(COUNTIF(C10:O10,"&lt;0")=13,"Not recovered in 12 yrs",SUMPRODUCT(--(C10:O10&lt;0))-1+(-INDEX(C10:O10,SUMPRODUCT(--(C10:O10&lt;0))))/INDEX(C8:O8,SUMPRODUCT(--(C10:O10&lt;0))+1))</f>
        <v>Not recovered in 12 yrs</v>
      </c>
      <c r="D25" s="2"/>
      <c r="E25" s="2"/>
      <c r="F25" s="2"/>
      <c r="G25" s="2"/>
      <c r="H25" s="2"/>
      <c r="I25" s="2"/>
      <c r="J25" s="2"/>
      <c r="K25" s="2"/>
      <c r="L25" s="2"/>
      <c r="M25" s="2"/>
      <c r="N25" s="2"/>
      <c r="O25" s="2"/>
      <c r="P25" s="2"/>
    </row>
    <row r="26" spans="1:16" x14ac:dyDescent="0.35">
      <c r="A26" s="2"/>
      <c r="B26" s="2"/>
      <c r="C26" s="2"/>
      <c r="D26" s="2"/>
      <c r="E26" s="2"/>
      <c r="F26" s="2"/>
      <c r="G26" s="2"/>
      <c r="H26" s="2"/>
      <c r="I26" s="2"/>
      <c r="J26" s="2"/>
      <c r="K26" s="2"/>
      <c r="L26" s="2"/>
      <c r="M26" s="2"/>
      <c r="N26" s="2"/>
      <c r="O26" s="2"/>
      <c r="P26" s="2"/>
    </row>
  </sheetData>
  <mergeCells count="1">
    <mergeCell ref="B15:O15"/>
  </mergeCell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22"/>
  <sheetViews>
    <sheetView showGridLines="0" zoomScaleNormal="100" workbookViewId="0">
      <selection activeCell="D18" sqref="D18"/>
    </sheetView>
  </sheetViews>
  <sheetFormatPr defaultColWidth="8.6328125" defaultRowHeight="14.5" x14ac:dyDescent="0.35"/>
  <cols>
    <col min="1" max="1" width="2" style="20" customWidth="1"/>
    <col min="2" max="2" width="34" style="20" customWidth="1"/>
    <col min="3" max="15" width="11" style="20" customWidth="1"/>
    <col min="16" max="16384" width="8.6328125" style="20"/>
  </cols>
  <sheetData>
    <row r="1" spans="1:16" x14ac:dyDescent="0.35">
      <c r="A1" s="2"/>
      <c r="B1" s="2"/>
      <c r="C1" s="2"/>
      <c r="D1" s="2"/>
      <c r="E1" s="2"/>
      <c r="F1" s="2"/>
      <c r="G1" s="2"/>
      <c r="H1" s="2"/>
      <c r="I1" s="2"/>
      <c r="J1" s="2"/>
      <c r="K1" s="2"/>
      <c r="L1" s="2"/>
      <c r="M1" s="2"/>
      <c r="N1" s="2"/>
      <c r="O1" s="2"/>
      <c r="P1" s="19"/>
    </row>
    <row r="2" spans="1:16" ht="18" x14ac:dyDescent="0.4">
      <c r="A2" s="2"/>
      <c r="B2" s="3" t="s">
        <v>73</v>
      </c>
      <c r="C2" s="2"/>
      <c r="D2" s="2"/>
      <c r="E2" s="2"/>
      <c r="F2" s="2"/>
      <c r="G2" s="2"/>
      <c r="H2" s="2"/>
      <c r="I2" s="2"/>
      <c r="J2" s="2"/>
      <c r="K2" s="2"/>
      <c r="L2" s="2"/>
      <c r="M2" s="2"/>
      <c r="N2" s="2"/>
      <c r="O2" s="2"/>
      <c r="P2" s="19"/>
    </row>
    <row r="3" spans="1:16" x14ac:dyDescent="0.35">
      <c r="A3" s="2"/>
      <c r="B3" s="2"/>
      <c r="C3" s="2"/>
      <c r="D3" s="2"/>
      <c r="E3" s="2"/>
      <c r="F3" s="2"/>
      <c r="G3" s="2"/>
      <c r="H3" s="2"/>
      <c r="I3" s="2"/>
      <c r="J3" s="2"/>
      <c r="K3" s="2"/>
      <c r="L3" s="2"/>
      <c r="M3" s="2"/>
      <c r="N3" s="2"/>
      <c r="O3" s="2"/>
      <c r="P3" s="19"/>
    </row>
    <row r="4" spans="1:16" x14ac:dyDescent="0.35">
      <c r="A4" s="2"/>
      <c r="B4" s="6" t="s">
        <v>1</v>
      </c>
      <c r="C4" s="7">
        <v>2023</v>
      </c>
      <c r="D4" s="7">
        <v>2024</v>
      </c>
      <c r="E4" s="7">
        <v>2025</v>
      </c>
      <c r="F4" s="7">
        <v>2026</v>
      </c>
      <c r="G4" s="7">
        <v>2027</v>
      </c>
      <c r="H4" s="7">
        <v>2028</v>
      </c>
      <c r="I4" s="7">
        <v>2029</v>
      </c>
      <c r="J4" s="7">
        <v>2030</v>
      </c>
      <c r="K4" s="7">
        <v>2031</v>
      </c>
      <c r="L4" s="7">
        <v>2032</v>
      </c>
      <c r="M4" s="7">
        <v>2033</v>
      </c>
      <c r="N4" s="7">
        <v>2034</v>
      </c>
      <c r="O4" s="7">
        <v>2035</v>
      </c>
      <c r="P4" s="19"/>
    </row>
    <row r="5" spans="1:16" x14ac:dyDescent="0.35">
      <c r="A5" s="2"/>
      <c r="B5" s="8" t="s">
        <v>2</v>
      </c>
      <c r="C5" s="9">
        <v>0</v>
      </c>
      <c r="D5" s="9">
        <v>1</v>
      </c>
      <c r="E5" s="9">
        <v>2</v>
      </c>
      <c r="F5" s="9">
        <v>3</v>
      </c>
      <c r="G5" s="9">
        <v>4</v>
      </c>
      <c r="H5" s="9">
        <v>5</v>
      </c>
      <c r="I5" s="9">
        <v>6</v>
      </c>
      <c r="J5" s="9">
        <v>7</v>
      </c>
      <c r="K5" s="9">
        <v>8</v>
      </c>
      <c r="L5" s="9">
        <v>9</v>
      </c>
      <c r="M5" s="9">
        <v>10</v>
      </c>
      <c r="N5" s="9">
        <v>11</v>
      </c>
      <c r="O5" s="9">
        <v>12</v>
      </c>
      <c r="P5" s="19"/>
    </row>
    <row r="6" spans="1:16" x14ac:dyDescent="0.35">
      <c r="A6" s="2"/>
      <c r="B6" s="8" t="s">
        <v>23</v>
      </c>
      <c r="C6" s="10">
        <f>Given!C6</f>
        <v>-800</v>
      </c>
      <c r="D6" s="10">
        <f>Given!D6</f>
        <v>-20</v>
      </c>
      <c r="E6" s="10">
        <f>Given!E6</f>
        <v>-20</v>
      </c>
      <c r="F6" s="10">
        <f>Given!F6</f>
        <v>-20</v>
      </c>
      <c r="G6" s="10">
        <f>Given!G6</f>
        <v>-20</v>
      </c>
      <c r="H6" s="10">
        <f>Given!H6</f>
        <v>200</v>
      </c>
      <c r="I6" s="10">
        <f>Given!I6</f>
        <v>200</v>
      </c>
      <c r="J6" s="10">
        <f>Given!J6</f>
        <v>200</v>
      </c>
      <c r="K6" s="10">
        <f>Given!K6</f>
        <v>200</v>
      </c>
      <c r="L6" s="10">
        <f>Given!L6</f>
        <v>200</v>
      </c>
      <c r="M6" s="10">
        <f>Given!M6</f>
        <v>200</v>
      </c>
      <c r="N6" s="10">
        <f>Given!N6</f>
        <v>200</v>
      </c>
      <c r="O6" s="10">
        <f>Given!O6</f>
        <v>200</v>
      </c>
      <c r="P6" s="19"/>
    </row>
    <row r="7" spans="1:16" x14ac:dyDescent="0.35">
      <c r="A7" s="2"/>
      <c r="B7" s="8" t="s">
        <v>24</v>
      </c>
      <c r="C7" s="11">
        <f t="shared" ref="C7:O7" si="0">1/(1+$C$21)^C5</f>
        <v>1</v>
      </c>
      <c r="D7" s="11">
        <f t="shared" si="0"/>
        <v>0.93023255813953487</v>
      </c>
      <c r="E7" s="11">
        <f t="shared" si="0"/>
        <v>0.86533261222282321</v>
      </c>
      <c r="F7" s="11">
        <f t="shared" si="0"/>
        <v>0.80496056950960304</v>
      </c>
      <c r="G7" s="11">
        <f t="shared" si="0"/>
        <v>0.7488005297763749</v>
      </c>
      <c r="H7" s="11">
        <f t="shared" si="0"/>
        <v>0.69655863235011617</v>
      </c>
      <c r="I7" s="11">
        <f t="shared" si="0"/>
        <v>0.64796151846522443</v>
      </c>
      <c r="J7" s="11">
        <f t="shared" si="0"/>
        <v>0.60275490089788319</v>
      </c>
      <c r="K7" s="11">
        <f t="shared" si="0"/>
        <v>0.56070223339337966</v>
      </c>
      <c r="L7" s="11">
        <f t="shared" si="0"/>
        <v>0.52158347292407414</v>
      </c>
      <c r="M7" s="11">
        <f t="shared" si="0"/>
        <v>0.48519392830146441</v>
      </c>
      <c r="N7" s="11">
        <f t="shared" si="0"/>
        <v>0.45134318911764126</v>
      </c>
      <c r="O7" s="11">
        <f t="shared" si="0"/>
        <v>0.41985412941175931</v>
      </c>
      <c r="P7" s="19"/>
    </row>
    <row r="8" spans="1:16" x14ac:dyDescent="0.35">
      <c r="A8" s="2"/>
      <c r="B8" s="8" t="s">
        <v>25</v>
      </c>
      <c r="C8" s="12">
        <f t="shared" ref="C8:O8" si="1">C6*C7</f>
        <v>-800</v>
      </c>
      <c r="D8" s="12">
        <f t="shared" si="1"/>
        <v>-18.604651162790699</v>
      </c>
      <c r="E8" s="12">
        <f t="shared" si="1"/>
        <v>-17.306652244456465</v>
      </c>
      <c r="F8" s="12">
        <f t="shared" si="1"/>
        <v>-16.09921139019206</v>
      </c>
      <c r="G8" s="12">
        <f t="shared" si="1"/>
        <v>-14.976010595527498</v>
      </c>
      <c r="H8" s="12">
        <f t="shared" si="1"/>
        <v>139.31172647002325</v>
      </c>
      <c r="I8" s="12">
        <f t="shared" si="1"/>
        <v>129.5923036930449</v>
      </c>
      <c r="J8" s="12">
        <f t="shared" si="1"/>
        <v>120.55098017957664</v>
      </c>
      <c r="K8" s="12">
        <f t="shared" si="1"/>
        <v>112.14044667867593</v>
      </c>
      <c r="L8" s="12">
        <f t="shared" si="1"/>
        <v>104.31669458481483</v>
      </c>
      <c r="M8" s="12">
        <f t="shared" si="1"/>
        <v>97.038785660292888</v>
      </c>
      <c r="N8" s="12">
        <f t="shared" si="1"/>
        <v>90.268637823528252</v>
      </c>
      <c r="O8" s="12">
        <f t="shared" si="1"/>
        <v>83.970825882351861</v>
      </c>
      <c r="P8" s="19"/>
    </row>
    <row r="9" spans="1:16" x14ac:dyDescent="0.35">
      <c r="A9" s="2"/>
      <c r="B9" s="2"/>
      <c r="C9" s="2"/>
      <c r="D9" s="2"/>
      <c r="E9" s="2"/>
      <c r="F9" s="2"/>
      <c r="G9" s="2"/>
      <c r="H9" s="2"/>
      <c r="I9" s="2"/>
      <c r="J9" s="2"/>
      <c r="K9" s="2"/>
      <c r="L9" s="2"/>
      <c r="M9" s="2"/>
      <c r="N9" s="2"/>
      <c r="O9" s="2"/>
      <c r="P9" s="19"/>
    </row>
    <row r="10" spans="1:16" x14ac:dyDescent="0.35">
      <c r="A10" s="2"/>
      <c r="B10" s="2"/>
      <c r="C10" s="2"/>
      <c r="D10" s="2"/>
      <c r="E10" s="2"/>
      <c r="F10" s="2"/>
      <c r="G10" s="2"/>
      <c r="H10" s="2"/>
      <c r="I10" s="2"/>
      <c r="J10" s="2"/>
      <c r="K10" s="2"/>
      <c r="L10" s="2"/>
      <c r="M10" s="2"/>
      <c r="N10" s="2"/>
      <c r="O10" s="2"/>
      <c r="P10" s="19"/>
    </row>
    <row r="11" spans="1:16" x14ac:dyDescent="0.35">
      <c r="A11" s="2"/>
      <c r="B11" s="2"/>
      <c r="C11" s="2"/>
      <c r="D11" s="2"/>
      <c r="E11" s="2"/>
      <c r="F11" s="2"/>
      <c r="G11" s="2"/>
      <c r="H11" s="2"/>
      <c r="I11" s="2"/>
      <c r="J11" s="2"/>
      <c r="K11" s="2"/>
      <c r="L11" s="2"/>
      <c r="M11" s="2"/>
      <c r="N11" s="2"/>
      <c r="O11" s="2"/>
      <c r="P11" s="19"/>
    </row>
    <row r="12" spans="1:16" x14ac:dyDescent="0.35">
      <c r="A12" s="2"/>
      <c r="B12" s="2"/>
      <c r="C12" s="2"/>
      <c r="D12" s="2"/>
      <c r="E12" s="2"/>
      <c r="F12" s="2"/>
      <c r="G12" s="2"/>
      <c r="H12" s="2"/>
      <c r="I12" s="2"/>
      <c r="J12" s="2"/>
      <c r="K12" s="2"/>
      <c r="L12" s="2"/>
      <c r="M12" s="2"/>
      <c r="N12" s="2"/>
      <c r="O12" s="2"/>
      <c r="P12" s="19"/>
    </row>
    <row r="13" spans="1:16" x14ac:dyDescent="0.35">
      <c r="A13" s="2"/>
      <c r="B13" s="8" t="s">
        <v>28</v>
      </c>
      <c r="C13" s="13">
        <f>SUM(C8:O8)</f>
        <v>10.203875579341698</v>
      </c>
      <c r="D13" s="2"/>
      <c r="E13" s="2"/>
      <c r="F13" s="2"/>
      <c r="G13" s="2"/>
      <c r="H13" s="2"/>
      <c r="I13" s="2"/>
      <c r="J13" s="2"/>
      <c r="K13" s="2"/>
      <c r="L13" s="2"/>
      <c r="M13" s="2"/>
      <c r="N13" s="2"/>
      <c r="O13" s="2"/>
      <c r="P13" s="19"/>
    </row>
    <row r="14" spans="1:16" x14ac:dyDescent="0.35">
      <c r="A14" s="2"/>
      <c r="B14" s="2"/>
      <c r="C14" s="2"/>
      <c r="D14" s="2"/>
      <c r="E14" s="2"/>
      <c r="F14" s="2"/>
      <c r="G14" s="2"/>
      <c r="H14" s="2"/>
      <c r="I14" s="2"/>
      <c r="J14" s="2"/>
      <c r="K14" s="2"/>
      <c r="L14" s="2"/>
      <c r="M14" s="2"/>
      <c r="N14" s="2"/>
      <c r="O14" s="2"/>
      <c r="P14" s="19"/>
    </row>
    <row r="15" spans="1:16" x14ac:dyDescent="0.35">
      <c r="A15" s="2"/>
      <c r="B15" s="2"/>
      <c r="C15" s="2"/>
      <c r="D15" s="2"/>
      <c r="E15" s="2"/>
      <c r="F15" s="2"/>
      <c r="G15" s="2"/>
      <c r="H15" s="2"/>
      <c r="I15" s="2"/>
      <c r="J15" s="2"/>
      <c r="K15" s="2"/>
      <c r="L15" s="2"/>
      <c r="M15" s="2"/>
      <c r="N15" s="2"/>
      <c r="O15" s="2"/>
      <c r="P15" s="19"/>
    </row>
    <row r="16" spans="1:16" ht="15" customHeight="1" x14ac:dyDescent="0.35">
      <c r="A16" s="2"/>
      <c r="B16" s="41"/>
      <c r="C16" s="41"/>
      <c r="D16" s="41"/>
      <c r="E16" s="41"/>
      <c r="F16" s="41"/>
      <c r="G16" s="41"/>
      <c r="H16" s="41"/>
      <c r="I16" s="41"/>
      <c r="J16" s="41"/>
      <c r="K16" s="41"/>
      <c r="L16" s="41"/>
      <c r="M16" s="41"/>
      <c r="N16" s="41"/>
      <c r="O16" s="41"/>
      <c r="P16" s="19"/>
    </row>
    <row r="17" spans="1:16" x14ac:dyDescent="0.35">
      <c r="A17" s="2"/>
      <c r="B17" s="2"/>
      <c r="C17" s="2"/>
      <c r="D17" s="2"/>
      <c r="E17" s="2"/>
      <c r="F17" s="2"/>
      <c r="G17" s="2"/>
      <c r="H17" s="2"/>
      <c r="I17" s="2"/>
      <c r="J17" s="2"/>
      <c r="K17" s="2"/>
      <c r="L17" s="2"/>
      <c r="M17" s="2"/>
      <c r="N17" s="2"/>
      <c r="O17" s="2"/>
      <c r="P17" s="19"/>
    </row>
    <row r="18" spans="1:16" x14ac:dyDescent="0.35">
      <c r="A18" s="2"/>
      <c r="B18" s="4" t="s">
        <v>29</v>
      </c>
      <c r="C18" s="2"/>
      <c r="D18" s="2"/>
      <c r="E18" s="2"/>
      <c r="F18" s="2"/>
      <c r="G18" s="2"/>
      <c r="H18" s="2"/>
      <c r="I18" s="2"/>
      <c r="J18" s="2"/>
      <c r="K18" s="2"/>
      <c r="L18" s="2"/>
      <c r="M18" s="2"/>
      <c r="N18" s="2"/>
      <c r="O18" s="2"/>
      <c r="P18" s="19"/>
    </row>
    <row r="19" spans="1:16" x14ac:dyDescent="0.35">
      <c r="A19" s="2"/>
      <c r="B19" s="40" t="s">
        <v>75</v>
      </c>
      <c r="C19" s="40"/>
      <c r="D19" s="40"/>
      <c r="E19" s="40"/>
      <c r="F19" s="40"/>
      <c r="G19" s="40"/>
      <c r="H19" s="40"/>
      <c r="I19" s="40"/>
      <c r="J19" s="40"/>
      <c r="K19" s="40"/>
      <c r="L19" s="40"/>
      <c r="M19" s="40"/>
      <c r="N19" s="40"/>
      <c r="O19" s="40"/>
      <c r="P19" s="19"/>
    </row>
    <row r="20" spans="1:16" x14ac:dyDescent="0.35">
      <c r="A20" s="2"/>
      <c r="B20" s="42" t="s">
        <v>76</v>
      </c>
      <c r="C20" s="42"/>
      <c r="D20" s="42"/>
      <c r="E20" s="42"/>
      <c r="F20" s="42"/>
      <c r="G20" s="42"/>
      <c r="H20" s="42"/>
      <c r="I20" s="42"/>
      <c r="J20" s="42"/>
      <c r="K20" s="42"/>
      <c r="L20" s="42"/>
      <c r="M20" s="42"/>
      <c r="N20" s="42"/>
      <c r="O20" s="5"/>
      <c r="P20" s="19"/>
    </row>
    <row r="21" spans="1:16" x14ac:dyDescent="0.35">
      <c r="A21" s="2"/>
      <c r="B21" s="8" t="s">
        <v>30</v>
      </c>
      <c r="C21" s="14">
        <v>7.4999999999999997E-2</v>
      </c>
      <c r="D21" s="2"/>
      <c r="E21" s="2"/>
      <c r="F21" s="2"/>
      <c r="G21" s="2"/>
      <c r="H21" s="2"/>
      <c r="I21" s="2"/>
      <c r="J21" s="2"/>
      <c r="K21" s="2"/>
      <c r="L21" s="2"/>
      <c r="M21" s="2"/>
      <c r="N21" s="2"/>
      <c r="O21" s="2"/>
      <c r="P21" s="19"/>
    </row>
    <row r="22" spans="1:16" x14ac:dyDescent="0.35">
      <c r="A22" s="22"/>
      <c r="B22" s="22"/>
      <c r="C22" s="22"/>
      <c r="D22" s="22"/>
      <c r="E22" s="22"/>
      <c r="F22" s="22"/>
      <c r="G22" s="22"/>
      <c r="H22" s="22"/>
      <c r="I22" s="22"/>
      <c r="J22" s="22"/>
      <c r="K22" s="22"/>
      <c r="L22" s="22"/>
      <c r="M22" s="22"/>
      <c r="N22" s="22"/>
      <c r="O22" s="22"/>
    </row>
  </sheetData>
  <mergeCells count="3">
    <mergeCell ref="B16:O16"/>
    <mergeCell ref="B19:O19"/>
    <mergeCell ref="B20:N20"/>
  </mergeCell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21"/>
  <sheetViews>
    <sheetView showGridLines="0" zoomScaleNormal="100" workbookViewId="0">
      <selection activeCell="F19" sqref="F19"/>
    </sheetView>
  </sheetViews>
  <sheetFormatPr defaultColWidth="8.6328125" defaultRowHeight="14.5" x14ac:dyDescent="0.35"/>
  <cols>
    <col min="1" max="1" width="2" style="20" customWidth="1"/>
    <col min="2" max="2" width="34" style="20" customWidth="1"/>
    <col min="3" max="15" width="11" style="20" customWidth="1"/>
    <col min="16" max="16384" width="8.6328125" style="20"/>
  </cols>
  <sheetData>
    <row r="1" spans="1:16" x14ac:dyDescent="0.35">
      <c r="A1" s="2"/>
      <c r="B1" s="2"/>
      <c r="C1" s="2"/>
      <c r="D1" s="2"/>
      <c r="E1" s="2"/>
      <c r="F1" s="2"/>
      <c r="G1" s="2"/>
      <c r="H1" s="2"/>
      <c r="I1" s="2"/>
      <c r="J1" s="2"/>
      <c r="K1" s="2"/>
      <c r="L1" s="2"/>
      <c r="M1" s="2"/>
      <c r="N1" s="2"/>
      <c r="O1" s="2"/>
      <c r="P1" s="2"/>
    </row>
    <row r="2" spans="1:16" ht="18" x14ac:dyDescent="0.4">
      <c r="A2" s="2"/>
      <c r="B2" s="3" t="s">
        <v>72</v>
      </c>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2"/>
      <c r="B4" s="6" t="s">
        <v>1</v>
      </c>
      <c r="C4" s="7">
        <v>2023</v>
      </c>
      <c r="D4" s="7">
        <v>2024</v>
      </c>
      <c r="E4" s="7">
        <v>2025</v>
      </c>
      <c r="F4" s="7">
        <v>2026</v>
      </c>
      <c r="G4" s="7">
        <v>2027</v>
      </c>
      <c r="H4" s="7">
        <v>2028</v>
      </c>
      <c r="I4" s="7">
        <v>2029</v>
      </c>
      <c r="J4" s="7">
        <v>2030</v>
      </c>
      <c r="K4" s="7">
        <v>2031</v>
      </c>
      <c r="L4" s="7">
        <v>2032</v>
      </c>
      <c r="M4" s="7">
        <v>2033</v>
      </c>
      <c r="N4" s="7">
        <v>2034</v>
      </c>
      <c r="O4" s="7">
        <v>2035</v>
      </c>
      <c r="P4" s="2"/>
    </row>
    <row r="5" spans="1:16" x14ac:dyDescent="0.35">
      <c r="A5" s="2"/>
      <c r="B5" s="8" t="s">
        <v>2</v>
      </c>
      <c r="C5" s="9">
        <v>0</v>
      </c>
      <c r="D5" s="9">
        <v>1</v>
      </c>
      <c r="E5" s="9">
        <v>2</v>
      </c>
      <c r="F5" s="9">
        <v>3</v>
      </c>
      <c r="G5" s="9">
        <v>4</v>
      </c>
      <c r="H5" s="9">
        <v>5</v>
      </c>
      <c r="I5" s="9">
        <v>6</v>
      </c>
      <c r="J5" s="9">
        <v>7</v>
      </c>
      <c r="K5" s="9">
        <v>8</v>
      </c>
      <c r="L5" s="9">
        <v>9</v>
      </c>
      <c r="M5" s="9">
        <v>10</v>
      </c>
      <c r="N5" s="9">
        <v>11</v>
      </c>
      <c r="O5" s="9">
        <v>12</v>
      </c>
      <c r="P5" s="2"/>
    </row>
    <row r="6" spans="1:16" x14ac:dyDescent="0.35">
      <c r="A6" s="2"/>
      <c r="B6" s="8" t="s">
        <v>23</v>
      </c>
      <c r="C6" s="10">
        <f>Given!C6</f>
        <v>-800</v>
      </c>
      <c r="D6" s="10">
        <f>Given!D6</f>
        <v>-20</v>
      </c>
      <c r="E6" s="10">
        <f>Given!E6</f>
        <v>-20</v>
      </c>
      <c r="F6" s="10">
        <f>Given!F6</f>
        <v>-20</v>
      </c>
      <c r="G6" s="10">
        <f>Given!G6</f>
        <v>-20</v>
      </c>
      <c r="H6" s="10">
        <v>220</v>
      </c>
      <c r="I6" s="10">
        <v>220</v>
      </c>
      <c r="J6" s="10">
        <v>220</v>
      </c>
      <c r="K6" s="10">
        <v>220</v>
      </c>
      <c r="L6" s="10">
        <v>220</v>
      </c>
      <c r="M6" s="10">
        <v>220</v>
      </c>
      <c r="N6" s="10">
        <v>220</v>
      </c>
      <c r="O6" s="10">
        <v>220</v>
      </c>
      <c r="P6" s="2"/>
    </row>
    <row r="7" spans="1:16" x14ac:dyDescent="0.35">
      <c r="A7" s="2"/>
      <c r="B7" s="8" t="s">
        <v>24</v>
      </c>
      <c r="C7" s="11">
        <f t="shared" ref="C7:O7" si="0">1/(1+$C$19)^C5</f>
        <v>1</v>
      </c>
      <c r="D7" s="11">
        <f t="shared" si="0"/>
        <v>0.92592592592592582</v>
      </c>
      <c r="E7" s="11">
        <f t="shared" si="0"/>
        <v>0.85733882030178321</v>
      </c>
      <c r="F7" s="11">
        <f t="shared" si="0"/>
        <v>0.79383224102016958</v>
      </c>
      <c r="G7" s="11">
        <f t="shared" si="0"/>
        <v>0.73502985279645328</v>
      </c>
      <c r="H7" s="11">
        <f t="shared" si="0"/>
        <v>0.68058319703375303</v>
      </c>
      <c r="I7" s="11">
        <f t="shared" si="0"/>
        <v>0.63016962688310452</v>
      </c>
      <c r="J7" s="11">
        <f t="shared" si="0"/>
        <v>0.58349039526213387</v>
      </c>
      <c r="K7" s="11">
        <f t="shared" si="0"/>
        <v>0.54026888450197574</v>
      </c>
      <c r="L7" s="11">
        <f t="shared" si="0"/>
        <v>0.50024896713145905</v>
      </c>
      <c r="M7" s="11">
        <f t="shared" si="0"/>
        <v>0.46319348808468425</v>
      </c>
      <c r="N7" s="11">
        <f t="shared" si="0"/>
        <v>0.42888285933767062</v>
      </c>
      <c r="O7" s="11">
        <f t="shared" si="0"/>
        <v>0.39711375864599124</v>
      </c>
      <c r="P7" s="2"/>
    </row>
    <row r="8" spans="1:16" x14ac:dyDescent="0.35">
      <c r="A8" s="2"/>
      <c r="B8" s="8" t="s">
        <v>25</v>
      </c>
      <c r="C8" s="12">
        <f t="shared" ref="C8:O8" si="1">C6*C7</f>
        <v>-800</v>
      </c>
      <c r="D8" s="12">
        <f t="shared" si="1"/>
        <v>-18.518518518518515</v>
      </c>
      <c r="E8" s="12">
        <f t="shared" si="1"/>
        <v>-17.146776406035663</v>
      </c>
      <c r="F8" s="12">
        <f t="shared" si="1"/>
        <v>-15.876644820403392</v>
      </c>
      <c r="G8" s="12">
        <f t="shared" si="1"/>
        <v>-14.700597055929066</v>
      </c>
      <c r="H8" s="12">
        <f t="shared" si="1"/>
        <v>149.72830334742568</v>
      </c>
      <c r="I8" s="12">
        <f t="shared" si="1"/>
        <v>138.63731791428299</v>
      </c>
      <c r="J8" s="12">
        <f t="shared" si="1"/>
        <v>128.36788695766944</v>
      </c>
      <c r="K8" s="12">
        <f t="shared" si="1"/>
        <v>118.85915459043467</v>
      </c>
      <c r="L8" s="12">
        <f t="shared" si="1"/>
        <v>110.054772768921</v>
      </c>
      <c r="M8" s="12">
        <f t="shared" si="1"/>
        <v>101.90256737863054</v>
      </c>
      <c r="N8" s="12">
        <f t="shared" si="1"/>
        <v>94.354229054287529</v>
      </c>
      <c r="O8" s="12">
        <f t="shared" si="1"/>
        <v>87.365026902118075</v>
      </c>
      <c r="P8" s="2"/>
    </row>
    <row r="9" spans="1:16" x14ac:dyDescent="0.35">
      <c r="A9" s="2"/>
      <c r="B9" s="2"/>
      <c r="C9" s="2"/>
      <c r="D9" s="2"/>
      <c r="E9" s="2"/>
      <c r="F9" s="2"/>
      <c r="G9" s="2"/>
      <c r="H9" s="2"/>
      <c r="I9" s="2"/>
      <c r="J9" s="2"/>
      <c r="K9" s="2"/>
      <c r="L9" s="2"/>
      <c r="M9" s="2"/>
      <c r="N9" s="2"/>
      <c r="O9" s="2"/>
      <c r="P9" s="2"/>
    </row>
    <row r="10" spans="1:16" x14ac:dyDescent="0.35">
      <c r="A10" s="2"/>
      <c r="B10" s="2"/>
      <c r="C10" s="2"/>
      <c r="D10" s="2"/>
      <c r="E10" s="2"/>
      <c r="F10" s="2"/>
      <c r="G10" s="2"/>
      <c r="H10" s="2"/>
      <c r="I10" s="2"/>
      <c r="J10" s="2"/>
      <c r="K10" s="2"/>
      <c r="L10" s="2"/>
      <c r="M10" s="2"/>
      <c r="N10" s="2"/>
      <c r="O10" s="2"/>
      <c r="P10" s="2"/>
    </row>
    <row r="11" spans="1:16" x14ac:dyDescent="0.35">
      <c r="A11" s="2"/>
      <c r="B11" s="2"/>
      <c r="C11" s="2"/>
      <c r="D11" s="2"/>
      <c r="E11" s="2"/>
      <c r="F11" s="2"/>
      <c r="G11" s="2"/>
      <c r="H11" s="2"/>
      <c r="I11" s="2"/>
      <c r="J11" s="2"/>
      <c r="K11" s="2"/>
      <c r="L11" s="2"/>
      <c r="M11" s="2"/>
      <c r="N11" s="2"/>
      <c r="O11" s="2"/>
      <c r="P11" s="2"/>
    </row>
    <row r="12" spans="1:16" x14ac:dyDescent="0.35">
      <c r="A12" s="2"/>
      <c r="B12" s="2"/>
      <c r="C12" s="2"/>
      <c r="D12" s="2"/>
      <c r="E12" s="2"/>
      <c r="F12" s="2"/>
      <c r="G12" s="2"/>
      <c r="H12" s="2"/>
      <c r="I12" s="2"/>
      <c r="J12" s="2"/>
      <c r="K12" s="2"/>
      <c r="L12" s="2"/>
      <c r="M12" s="2"/>
      <c r="N12" s="2"/>
      <c r="O12" s="2"/>
      <c r="P12" s="2"/>
    </row>
    <row r="13" spans="1:16" x14ac:dyDescent="0.35">
      <c r="A13" s="2"/>
      <c r="B13" s="8" t="s">
        <v>28</v>
      </c>
      <c r="C13" s="13">
        <f>SUM(C8:O8)</f>
        <v>63.026722112883419</v>
      </c>
      <c r="D13" s="2"/>
      <c r="E13" s="2"/>
      <c r="F13" s="2"/>
      <c r="G13" s="2"/>
      <c r="H13" s="2"/>
      <c r="I13" s="2"/>
      <c r="J13" s="2"/>
      <c r="K13" s="2"/>
      <c r="L13" s="2"/>
      <c r="M13" s="2"/>
      <c r="N13" s="2"/>
      <c r="O13" s="2"/>
      <c r="P13" s="2"/>
    </row>
    <row r="14" spans="1:16" x14ac:dyDescent="0.35">
      <c r="A14" s="2"/>
      <c r="B14" s="2"/>
      <c r="C14" s="2"/>
      <c r="D14" s="2"/>
      <c r="E14" s="2"/>
      <c r="F14" s="2"/>
      <c r="G14" s="2"/>
      <c r="H14" s="2"/>
      <c r="I14" s="2"/>
      <c r="J14" s="2"/>
      <c r="K14" s="2"/>
      <c r="L14" s="2"/>
      <c r="M14" s="2"/>
      <c r="N14" s="2"/>
      <c r="O14" s="2"/>
      <c r="P14" s="2"/>
    </row>
    <row r="15" spans="1:16" x14ac:dyDescent="0.35">
      <c r="A15" s="2"/>
      <c r="B15" s="2"/>
      <c r="C15" s="2"/>
      <c r="D15" s="2"/>
      <c r="E15" s="2"/>
      <c r="F15" s="2"/>
      <c r="G15" s="2"/>
      <c r="H15" s="2"/>
      <c r="I15" s="2"/>
      <c r="J15" s="2"/>
      <c r="K15" s="2"/>
      <c r="L15" s="2"/>
      <c r="M15" s="2"/>
      <c r="N15" s="2"/>
      <c r="O15" s="2"/>
      <c r="P15" s="2"/>
    </row>
    <row r="16" spans="1:16" x14ac:dyDescent="0.35">
      <c r="A16" s="2"/>
      <c r="B16" s="4" t="s">
        <v>29</v>
      </c>
      <c r="C16" s="2"/>
      <c r="D16" s="2"/>
      <c r="E16" s="2"/>
      <c r="F16" s="2"/>
      <c r="G16" s="2"/>
      <c r="H16" s="2"/>
      <c r="I16" s="2"/>
      <c r="J16" s="2"/>
      <c r="K16" s="2"/>
      <c r="L16" s="2"/>
      <c r="M16" s="2"/>
      <c r="N16" s="2"/>
      <c r="O16" s="2"/>
      <c r="P16" s="2"/>
    </row>
    <row r="17" spans="1:16" x14ac:dyDescent="0.35">
      <c r="A17" s="2"/>
      <c r="B17" s="40" t="s">
        <v>77</v>
      </c>
      <c r="C17" s="40"/>
      <c r="D17" s="40"/>
      <c r="E17" s="40"/>
      <c r="F17" s="40"/>
      <c r="G17" s="40"/>
      <c r="H17" s="40"/>
      <c r="I17" s="40"/>
      <c r="J17" s="40"/>
      <c r="K17" s="40"/>
      <c r="L17" s="40"/>
      <c r="M17" s="40"/>
      <c r="N17" s="40"/>
      <c r="O17" s="40"/>
      <c r="P17" s="2"/>
    </row>
    <row r="18" spans="1:16" ht="35" customHeight="1" x14ac:dyDescent="0.35">
      <c r="A18" s="2"/>
      <c r="B18" s="40" t="s">
        <v>78</v>
      </c>
      <c r="C18" s="40"/>
      <c r="D18" s="40"/>
      <c r="E18" s="40"/>
      <c r="F18" s="40"/>
      <c r="G18" s="40"/>
      <c r="H18" s="40"/>
      <c r="I18" s="40"/>
      <c r="J18" s="40"/>
      <c r="K18" s="40"/>
      <c r="L18" s="40"/>
      <c r="M18" s="40"/>
      <c r="N18" s="40"/>
      <c r="O18" s="5"/>
      <c r="P18" s="2"/>
    </row>
    <row r="19" spans="1:16" x14ac:dyDescent="0.35">
      <c r="A19" s="2"/>
      <c r="B19" s="8" t="s">
        <v>30</v>
      </c>
      <c r="C19" s="14">
        <f>Given!C9</f>
        <v>0.08</v>
      </c>
      <c r="D19" s="2"/>
      <c r="E19" s="2"/>
      <c r="F19" s="2"/>
      <c r="G19" s="2"/>
      <c r="H19" s="2"/>
      <c r="I19" s="2"/>
      <c r="J19" s="2"/>
      <c r="K19" s="2"/>
      <c r="L19" s="2"/>
      <c r="M19" s="2"/>
      <c r="N19" s="2"/>
      <c r="O19" s="2"/>
      <c r="P19" s="2"/>
    </row>
    <row r="20" spans="1:16" x14ac:dyDescent="0.35">
      <c r="A20" s="2"/>
      <c r="B20" s="2"/>
      <c r="C20" s="2"/>
      <c r="D20" s="2"/>
      <c r="E20" s="2"/>
      <c r="F20" s="2"/>
      <c r="G20" s="2"/>
      <c r="H20" s="2"/>
      <c r="I20" s="2"/>
      <c r="J20" s="2"/>
      <c r="K20" s="2"/>
      <c r="L20" s="2"/>
      <c r="M20" s="2"/>
      <c r="N20" s="2"/>
      <c r="O20" s="2"/>
      <c r="P20" s="2"/>
    </row>
    <row r="21" spans="1:16" x14ac:dyDescent="0.35">
      <c r="A21" s="2"/>
      <c r="B21" s="2"/>
      <c r="C21" s="2"/>
      <c r="D21" s="2"/>
      <c r="E21" s="2"/>
      <c r="F21" s="2"/>
      <c r="G21" s="2"/>
      <c r="H21" s="2"/>
      <c r="I21" s="2"/>
      <c r="J21" s="2"/>
      <c r="K21" s="2"/>
      <c r="L21" s="2"/>
      <c r="M21" s="2"/>
      <c r="N21" s="2"/>
      <c r="O21" s="2"/>
      <c r="P21" s="2"/>
    </row>
  </sheetData>
  <mergeCells count="2">
    <mergeCell ref="B17:O17"/>
    <mergeCell ref="B18:N18"/>
  </mergeCell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23"/>
  <sheetViews>
    <sheetView showGridLines="0" zoomScaleNormal="100" workbookViewId="0">
      <selection activeCell="E18" sqref="E18"/>
    </sheetView>
  </sheetViews>
  <sheetFormatPr defaultColWidth="8.6328125" defaultRowHeight="14.5" x14ac:dyDescent="0.35"/>
  <cols>
    <col min="1" max="1" width="2" style="20" customWidth="1"/>
    <col min="2" max="2" width="34" style="20" customWidth="1"/>
    <col min="3" max="15" width="11" style="20" customWidth="1"/>
    <col min="16" max="16384" width="8.6328125" style="20"/>
  </cols>
  <sheetData>
    <row r="1" spans="1:16" x14ac:dyDescent="0.35">
      <c r="A1" s="2"/>
      <c r="B1" s="2"/>
      <c r="C1" s="2"/>
      <c r="D1" s="2"/>
      <c r="E1" s="2"/>
      <c r="F1" s="2"/>
      <c r="G1" s="2"/>
      <c r="H1" s="2"/>
      <c r="I1" s="2"/>
      <c r="J1" s="2"/>
      <c r="K1" s="2"/>
      <c r="L1" s="2"/>
      <c r="M1" s="2"/>
      <c r="N1" s="2"/>
      <c r="O1" s="2"/>
      <c r="P1" s="2"/>
    </row>
    <row r="2" spans="1:16" ht="18" x14ac:dyDescent="0.4">
      <c r="A2" s="2"/>
      <c r="B2" s="3" t="s">
        <v>74</v>
      </c>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2"/>
      <c r="B4" s="6" t="s">
        <v>1</v>
      </c>
      <c r="C4" s="7">
        <v>2023</v>
      </c>
      <c r="D4" s="7">
        <v>2024</v>
      </c>
      <c r="E4" s="7">
        <v>2025</v>
      </c>
      <c r="F4" s="7">
        <v>2026</v>
      </c>
      <c r="G4" s="7">
        <v>2027</v>
      </c>
      <c r="H4" s="7">
        <v>2028</v>
      </c>
      <c r="I4" s="7">
        <v>2029</v>
      </c>
      <c r="J4" s="7">
        <v>2030</v>
      </c>
      <c r="K4" s="7">
        <v>2031</v>
      </c>
      <c r="L4" s="7">
        <v>2032</v>
      </c>
      <c r="M4" s="7">
        <v>2033</v>
      </c>
      <c r="N4" s="7">
        <v>2034</v>
      </c>
      <c r="O4" s="7">
        <v>2035</v>
      </c>
      <c r="P4" s="2"/>
    </row>
    <row r="5" spans="1:16" x14ac:dyDescent="0.35">
      <c r="A5" s="2"/>
      <c r="B5" s="8" t="s">
        <v>2</v>
      </c>
      <c r="C5" s="9">
        <v>0</v>
      </c>
      <c r="D5" s="9">
        <v>1</v>
      </c>
      <c r="E5" s="9">
        <v>2</v>
      </c>
      <c r="F5" s="9">
        <v>3</v>
      </c>
      <c r="G5" s="9">
        <v>4</v>
      </c>
      <c r="H5" s="9">
        <v>5</v>
      </c>
      <c r="I5" s="9">
        <v>6</v>
      </c>
      <c r="J5" s="9">
        <v>7</v>
      </c>
      <c r="K5" s="9">
        <v>8</v>
      </c>
      <c r="L5" s="9">
        <v>9</v>
      </c>
      <c r="M5" s="9">
        <v>10</v>
      </c>
      <c r="N5" s="9">
        <v>11</v>
      </c>
      <c r="O5" s="9">
        <v>12</v>
      </c>
      <c r="P5" s="2"/>
    </row>
    <row r="6" spans="1:16" x14ac:dyDescent="0.35">
      <c r="A6" s="2"/>
      <c r="B6" s="8" t="s">
        <v>23</v>
      </c>
      <c r="C6" s="10">
        <f>Given!C6</f>
        <v>-800</v>
      </c>
      <c r="D6" s="10">
        <f>Given!D6</f>
        <v>-20</v>
      </c>
      <c r="E6" s="10">
        <f>Given!E6</f>
        <v>-20</v>
      </c>
      <c r="F6" s="10">
        <f>Given!F6</f>
        <v>-20</v>
      </c>
      <c r="G6" s="10">
        <f>Given!G6</f>
        <v>-20</v>
      </c>
      <c r="H6" s="10">
        <f>Given!H6</f>
        <v>200</v>
      </c>
      <c r="I6" s="10">
        <f>Given!I6</f>
        <v>200</v>
      </c>
      <c r="J6" s="10">
        <f>Given!J6</f>
        <v>200</v>
      </c>
      <c r="K6" s="10">
        <f>Given!K6</f>
        <v>200</v>
      </c>
      <c r="L6" s="10">
        <f>Given!L6</f>
        <v>200</v>
      </c>
      <c r="M6" s="10">
        <f>Given!M6</f>
        <v>200</v>
      </c>
      <c r="N6" s="10">
        <f>Given!N6</f>
        <v>200</v>
      </c>
      <c r="O6" s="10">
        <f>Given!O6+100</f>
        <v>300</v>
      </c>
      <c r="P6" s="2"/>
    </row>
    <row r="7" spans="1:16" x14ac:dyDescent="0.35">
      <c r="A7" s="2"/>
      <c r="B7" s="8" t="s">
        <v>24</v>
      </c>
      <c r="C7" s="11">
        <f t="shared" ref="C7:O7" si="0">1/(1+$C$21)^C5</f>
        <v>1</v>
      </c>
      <c r="D7" s="11">
        <f t="shared" si="0"/>
        <v>0.92592592592592582</v>
      </c>
      <c r="E7" s="11">
        <f t="shared" si="0"/>
        <v>0.85733882030178321</v>
      </c>
      <c r="F7" s="11">
        <f t="shared" si="0"/>
        <v>0.79383224102016958</v>
      </c>
      <c r="G7" s="11">
        <f t="shared" si="0"/>
        <v>0.73502985279645328</v>
      </c>
      <c r="H7" s="11">
        <f t="shared" si="0"/>
        <v>0.68058319703375303</v>
      </c>
      <c r="I7" s="11">
        <f t="shared" si="0"/>
        <v>0.63016962688310452</v>
      </c>
      <c r="J7" s="11">
        <f t="shared" si="0"/>
        <v>0.58349039526213387</v>
      </c>
      <c r="K7" s="11">
        <f t="shared" si="0"/>
        <v>0.54026888450197574</v>
      </c>
      <c r="L7" s="11">
        <f t="shared" si="0"/>
        <v>0.50024896713145905</v>
      </c>
      <c r="M7" s="11">
        <f t="shared" si="0"/>
        <v>0.46319348808468425</v>
      </c>
      <c r="N7" s="11">
        <f t="shared" si="0"/>
        <v>0.42888285933767062</v>
      </c>
      <c r="O7" s="11">
        <f t="shared" si="0"/>
        <v>0.39711375864599124</v>
      </c>
      <c r="P7" s="2"/>
    </row>
    <row r="8" spans="1:16" x14ac:dyDescent="0.35">
      <c r="A8" s="2"/>
      <c r="B8" s="8" t="s">
        <v>25</v>
      </c>
      <c r="C8" s="12">
        <f t="shared" ref="C8:O8" si="1">C6*C7</f>
        <v>-800</v>
      </c>
      <c r="D8" s="12">
        <f t="shared" si="1"/>
        <v>-18.518518518518515</v>
      </c>
      <c r="E8" s="12">
        <f t="shared" si="1"/>
        <v>-17.146776406035663</v>
      </c>
      <c r="F8" s="12">
        <f t="shared" si="1"/>
        <v>-15.876644820403392</v>
      </c>
      <c r="G8" s="12">
        <f t="shared" si="1"/>
        <v>-14.700597055929066</v>
      </c>
      <c r="H8" s="12">
        <f t="shared" si="1"/>
        <v>136.11663940675061</v>
      </c>
      <c r="I8" s="12">
        <f t="shared" si="1"/>
        <v>126.0339253766209</v>
      </c>
      <c r="J8" s="12">
        <f t="shared" si="1"/>
        <v>116.69807905242678</v>
      </c>
      <c r="K8" s="12">
        <f t="shared" si="1"/>
        <v>108.05377690039515</v>
      </c>
      <c r="L8" s="12">
        <f t="shared" si="1"/>
        <v>100.04979342629181</v>
      </c>
      <c r="M8" s="12">
        <f t="shared" si="1"/>
        <v>92.638697616936852</v>
      </c>
      <c r="N8" s="12">
        <f t="shared" si="1"/>
        <v>85.77657186753413</v>
      </c>
      <c r="O8" s="12">
        <f t="shared" si="1"/>
        <v>119.13412759379737</v>
      </c>
      <c r="P8" s="2"/>
    </row>
    <row r="9" spans="1:16" x14ac:dyDescent="0.35">
      <c r="A9" s="2"/>
      <c r="B9" s="2"/>
      <c r="C9" s="2"/>
      <c r="D9" s="2"/>
      <c r="E9" s="2"/>
      <c r="F9" s="2"/>
      <c r="G9" s="2"/>
      <c r="H9" s="2"/>
      <c r="I9" s="2"/>
      <c r="J9" s="2"/>
      <c r="K9" s="2"/>
      <c r="L9" s="2"/>
      <c r="M9" s="2"/>
      <c r="N9" s="2"/>
      <c r="O9" s="2"/>
      <c r="P9" s="2"/>
    </row>
    <row r="10" spans="1:16" x14ac:dyDescent="0.35">
      <c r="A10" s="2"/>
      <c r="B10" s="2"/>
      <c r="C10" s="2"/>
      <c r="D10" s="2"/>
      <c r="E10" s="2"/>
      <c r="F10" s="2"/>
      <c r="G10" s="2"/>
      <c r="H10" s="2"/>
      <c r="I10" s="2"/>
      <c r="J10" s="2"/>
      <c r="K10" s="2"/>
      <c r="L10" s="2"/>
      <c r="M10" s="2"/>
      <c r="N10" s="2"/>
      <c r="O10" s="2"/>
      <c r="P10" s="2"/>
    </row>
    <row r="11" spans="1:16" x14ac:dyDescent="0.35">
      <c r="A11" s="2"/>
      <c r="B11" s="2"/>
      <c r="C11" s="2"/>
      <c r="D11" s="2"/>
      <c r="E11" s="2"/>
      <c r="F11" s="2"/>
      <c r="G11" s="2"/>
      <c r="H11" s="2"/>
      <c r="I11" s="2"/>
      <c r="J11" s="2"/>
      <c r="K11" s="2"/>
      <c r="L11" s="2"/>
      <c r="M11" s="2"/>
      <c r="N11" s="2"/>
      <c r="O11" s="2"/>
      <c r="P11" s="2"/>
    </row>
    <row r="12" spans="1:16" x14ac:dyDescent="0.35">
      <c r="A12" s="2"/>
      <c r="B12" s="2"/>
      <c r="C12" s="2"/>
      <c r="D12" s="2"/>
      <c r="E12" s="2"/>
      <c r="F12" s="2"/>
      <c r="G12" s="2"/>
      <c r="H12" s="2"/>
      <c r="I12" s="2"/>
      <c r="J12" s="2"/>
      <c r="K12" s="2"/>
      <c r="L12" s="2"/>
      <c r="M12" s="2"/>
      <c r="N12" s="2"/>
      <c r="O12" s="2"/>
      <c r="P12" s="2"/>
    </row>
    <row r="13" spans="1:16" x14ac:dyDescent="0.35">
      <c r="A13" s="2"/>
      <c r="B13" s="8" t="s">
        <v>28</v>
      </c>
      <c r="C13" s="13">
        <f>SUM(C8:O8)</f>
        <v>18.259074439867007</v>
      </c>
      <c r="D13" s="2"/>
      <c r="E13" s="2"/>
      <c r="F13" s="2"/>
      <c r="G13" s="2"/>
      <c r="H13" s="2"/>
      <c r="I13" s="2"/>
      <c r="J13" s="2"/>
      <c r="K13" s="2"/>
      <c r="L13" s="2"/>
      <c r="M13" s="2"/>
      <c r="N13" s="2"/>
      <c r="O13" s="2"/>
      <c r="P13" s="2"/>
    </row>
    <row r="14" spans="1:16" x14ac:dyDescent="0.35">
      <c r="A14" s="2"/>
      <c r="B14" s="2"/>
      <c r="C14" s="2"/>
      <c r="D14" s="2"/>
      <c r="E14" s="2"/>
      <c r="F14" s="2"/>
      <c r="G14" s="2"/>
      <c r="H14" s="2"/>
      <c r="I14" s="2"/>
      <c r="J14" s="2"/>
      <c r="K14" s="2"/>
      <c r="L14" s="2"/>
      <c r="M14" s="2"/>
      <c r="N14" s="2"/>
      <c r="O14" s="2"/>
      <c r="P14" s="2"/>
    </row>
    <row r="15" spans="1:16" x14ac:dyDescent="0.35">
      <c r="A15" s="2"/>
      <c r="B15" s="2"/>
      <c r="C15" s="2"/>
      <c r="D15" s="2"/>
      <c r="E15" s="2"/>
      <c r="F15" s="2"/>
      <c r="G15" s="2"/>
      <c r="H15" s="2"/>
      <c r="I15" s="2"/>
      <c r="J15" s="2"/>
      <c r="K15" s="2"/>
      <c r="L15" s="2"/>
      <c r="M15" s="2"/>
      <c r="N15" s="2"/>
      <c r="O15" s="2"/>
      <c r="P15" s="2"/>
    </row>
    <row r="16" spans="1:16" ht="15" customHeight="1" x14ac:dyDescent="0.35">
      <c r="A16" s="2"/>
      <c r="B16" s="41"/>
      <c r="C16" s="41"/>
      <c r="D16" s="41"/>
      <c r="E16" s="41"/>
      <c r="F16" s="41"/>
      <c r="G16" s="41"/>
      <c r="H16" s="41"/>
      <c r="I16" s="41"/>
      <c r="J16" s="41"/>
      <c r="K16" s="41"/>
      <c r="L16" s="41"/>
      <c r="M16" s="41"/>
      <c r="N16" s="41"/>
      <c r="O16" s="41"/>
      <c r="P16" s="2"/>
    </row>
    <row r="17" spans="1:16" x14ac:dyDescent="0.35">
      <c r="A17" s="2"/>
      <c r="B17" s="2"/>
      <c r="C17" s="2"/>
      <c r="D17" s="2"/>
      <c r="E17" s="2"/>
      <c r="F17" s="2"/>
      <c r="G17" s="2"/>
      <c r="H17" s="2"/>
      <c r="I17" s="2"/>
      <c r="J17" s="2"/>
      <c r="K17" s="2"/>
      <c r="L17" s="2"/>
      <c r="M17" s="2"/>
      <c r="N17" s="2"/>
      <c r="O17" s="2"/>
      <c r="P17" s="2"/>
    </row>
    <row r="18" spans="1:16" x14ac:dyDescent="0.35">
      <c r="A18" s="2"/>
      <c r="B18" s="4" t="s">
        <v>29</v>
      </c>
      <c r="C18" s="2"/>
      <c r="D18" s="2"/>
      <c r="E18" s="2"/>
      <c r="F18" s="2"/>
      <c r="G18" s="2"/>
      <c r="H18" s="2"/>
      <c r="I18" s="2"/>
      <c r="J18" s="2"/>
      <c r="K18" s="2"/>
      <c r="L18" s="2"/>
      <c r="M18" s="2"/>
      <c r="N18" s="2"/>
      <c r="O18" s="2"/>
      <c r="P18" s="2"/>
    </row>
    <row r="19" spans="1:16" x14ac:dyDescent="0.35">
      <c r="A19" s="2"/>
      <c r="B19" s="40" t="s">
        <v>79</v>
      </c>
      <c r="C19" s="40"/>
      <c r="D19" s="40"/>
      <c r="E19" s="40"/>
      <c r="F19" s="40"/>
      <c r="G19" s="40"/>
      <c r="H19" s="40"/>
      <c r="I19" s="40"/>
      <c r="J19" s="40"/>
      <c r="K19" s="40"/>
      <c r="L19" s="40"/>
      <c r="M19" s="40"/>
      <c r="N19" s="40"/>
      <c r="O19" s="40"/>
      <c r="P19" s="2"/>
    </row>
    <row r="20" spans="1:16" ht="49" customHeight="1" x14ac:dyDescent="0.35">
      <c r="A20" s="2"/>
      <c r="B20" s="40" t="s">
        <v>80</v>
      </c>
      <c r="C20" s="40"/>
      <c r="D20" s="40"/>
      <c r="E20" s="40"/>
      <c r="F20" s="40"/>
      <c r="G20" s="40"/>
      <c r="H20" s="40"/>
      <c r="I20" s="40"/>
      <c r="J20" s="40"/>
      <c r="K20" s="5"/>
      <c r="L20" s="5"/>
      <c r="M20" s="5"/>
      <c r="N20" s="5"/>
      <c r="O20" s="5"/>
      <c r="P20" s="2"/>
    </row>
    <row r="21" spans="1:16" x14ac:dyDescent="0.35">
      <c r="A21" s="2"/>
      <c r="B21" s="8" t="s">
        <v>30</v>
      </c>
      <c r="C21" s="14">
        <f>Given!C9</f>
        <v>0.08</v>
      </c>
      <c r="D21" s="2"/>
      <c r="E21" s="2"/>
      <c r="F21" s="2"/>
      <c r="G21" s="2"/>
      <c r="H21" s="2"/>
      <c r="I21" s="2"/>
      <c r="J21" s="2"/>
      <c r="K21" s="2"/>
      <c r="L21" s="2"/>
      <c r="M21" s="2"/>
      <c r="N21" s="2"/>
      <c r="O21" s="2"/>
      <c r="P21" s="2"/>
    </row>
    <row r="22" spans="1:16" x14ac:dyDescent="0.35">
      <c r="A22" s="2"/>
      <c r="B22" s="2"/>
      <c r="C22" s="2"/>
      <c r="D22" s="2"/>
      <c r="E22" s="2"/>
      <c r="F22" s="2"/>
      <c r="G22" s="2"/>
      <c r="H22" s="2"/>
      <c r="I22" s="2"/>
      <c r="J22" s="2"/>
      <c r="K22" s="2"/>
      <c r="L22" s="2"/>
      <c r="M22" s="2"/>
      <c r="N22" s="2"/>
      <c r="O22" s="2"/>
      <c r="P22" s="2"/>
    </row>
    <row r="23" spans="1:16" x14ac:dyDescent="0.35">
      <c r="A23" s="2"/>
      <c r="B23" s="2"/>
      <c r="C23" s="2"/>
      <c r="D23" s="2"/>
      <c r="E23" s="2"/>
      <c r="F23" s="2"/>
      <c r="G23" s="2"/>
      <c r="H23" s="2"/>
      <c r="I23" s="2"/>
      <c r="J23" s="2"/>
      <c r="K23" s="2"/>
      <c r="L23" s="2"/>
      <c r="M23" s="2"/>
      <c r="N23" s="2"/>
      <c r="O23" s="2"/>
      <c r="P23" s="2"/>
    </row>
  </sheetData>
  <mergeCells count="3">
    <mergeCell ref="B16:O16"/>
    <mergeCell ref="B19:O19"/>
    <mergeCell ref="B20:J20"/>
  </mergeCell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P22"/>
  <sheetViews>
    <sheetView showGridLines="0" zoomScaleNormal="100" workbookViewId="0">
      <selection activeCell="C6" sqref="C6"/>
    </sheetView>
  </sheetViews>
  <sheetFormatPr defaultColWidth="8.6328125" defaultRowHeight="14.5" x14ac:dyDescent="0.35"/>
  <cols>
    <col min="1" max="1" width="2" style="20" customWidth="1"/>
    <col min="2" max="2" width="34" style="20" customWidth="1"/>
    <col min="3" max="15" width="11" style="20" customWidth="1"/>
    <col min="16" max="16384" width="8.6328125" style="20"/>
  </cols>
  <sheetData>
    <row r="1" spans="1:16" x14ac:dyDescent="0.35">
      <c r="A1" s="2"/>
      <c r="B1" s="2"/>
      <c r="C1" s="2"/>
      <c r="D1" s="2"/>
      <c r="E1" s="2"/>
      <c r="F1" s="2"/>
      <c r="G1" s="2"/>
      <c r="H1" s="2"/>
      <c r="I1" s="2"/>
      <c r="J1" s="2"/>
      <c r="K1" s="2"/>
      <c r="L1" s="2"/>
      <c r="M1" s="2"/>
      <c r="N1" s="2"/>
      <c r="O1" s="2"/>
      <c r="P1" s="2"/>
    </row>
    <row r="2" spans="1:16" ht="18" x14ac:dyDescent="0.4">
      <c r="A2" s="2"/>
      <c r="B2" s="3" t="s">
        <v>37</v>
      </c>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2"/>
      <c r="B4" s="6" t="s">
        <v>1</v>
      </c>
      <c r="C4" s="7">
        <v>2023</v>
      </c>
      <c r="D4" s="7">
        <v>2024</v>
      </c>
      <c r="E4" s="7">
        <v>2025</v>
      </c>
      <c r="F4" s="7">
        <v>2026</v>
      </c>
      <c r="G4" s="7">
        <v>2027</v>
      </c>
      <c r="H4" s="7">
        <v>2028</v>
      </c>
      <c r="I4" s="7">
        <v>2029</v>
      </c>
      <c r="J4" s="7">
        <v>2030</v>
      </c>
      <c r="K4" s="7">
        <v>2031</v>
      </c>
      <c r="L4" s="7">
        <v>2032</v>
      </c>
      <c r="M4" s="7">
        <v>2033</v>
      </c>
      <c r="N4" s="7">
        <v>2034</v>
      </c>
      <c r="O4" s="7">
        <v>2035</v>
      </c>
      <c r="P4" s="2"/>
    </row>
    <row r="5" spans="1:16" x14ac:dyDescent="0.35">
      <c r="A5" s="2"/>
      <c r="B5" s="8" t="s">
        <v>2</v>
      </c>
      <c r="C5" s="9">
        <v>0</v>
      </c>
      <c r="D5" s="9">
        <v>1</v>
      </c>
      <c r="E5" s="9">
        <v>2</v>
      </c>
      <c r="F5" s="9">
        <v>3</v>
      </c>
      <c r="G5" s="9">
        <v>4</v>
      </c>
      <c r="H5" s="9">
        <v>5</v>
      </c>
      <c r="I5" s="9">
        <v>6</v>
      </c>
      <c r="J5" s="9">
        <v>7</v>
      </c>
      <c r="K5" s="9">
        <v>8</v>
      </c>
      <c r="L5" s="9">
        <v>9</v>
      </c>
      <c r="M5" s="9">
        <v>10</v>
      </c>
      <c r="N5" s="9">
        <v>11</v>
      </c>
      <c r="O5" s="9">
        <v>12</v>
      </c>
      <c r="P5" s="2"/>
    </row>
    <row r="6" spans="1:16" x14ac:dyDescent="0.35">
      <c r="A6" s="2"/>
      <c r="B6" s="8" t="s">
        <v>23</v>
      </c>
      <c r="C6" s="10">
        <f>Given!C6</f>
        <v>-800</v>
      </c>
      <c r="D6" s="10">
        <f>Given!D6</f>
        <v>-20</v>
      </c>
      <c r="E6" s="10">
        <f>Given!E6</f>
        <v>-20</v>
      </c>
      <c r="F6" s="10">
        <f>Given!F6</f>
        <v>-20</v>
      </c>
      <c r="G6" s="10">
        <f>Given!G6</f>
        <v>-20</v>
      </c>
      <c r="H6" s="10">
        <f>Given!H6</f>
        <v>200</v>
      </c>
      <c r="I6" s="10">
        <f>Given!I6</f>
        <v>200</v>
      </c>
      <c r="J6" s="10">
        <f>Given!J6</f>
        <v>200</v>
      </c>
      <c r="K6" s="10">
        <f>Given!K6</f>
        <v>200</v>
      </c>
      <c r="L6" s="10">
        <f>Given!L6</f>
        <v>200</v>
      </c>
      <c r="M6" s="10">
        <f>Given!M6</f>
        <v>200</v>
      </c>
      <c r="N6" s="10">
        <f>Given!N6</f>
        <v>200</v>
      </c>
      <c r="O6" s="10">
        <f>Given!O6</f>
        <v>200</v>
      </c>
      <c r="P6" s="2"/>
    </row>
    <row r="7" spans="1:16" x14ac:dyDescent="0.35">
      <c r="A7" s="2"/>
      <c r="B7" s="8" t="s">
        <v>24</v>
      </c>
      <c r="C7" s="11">
        <f t="shared" ref="C7:O7" si="0">1/(1+$C$19)^C5</f>
        <v>1</v>
      </c>
      <c r="D7" s="11">
        <f t="shared" si="0"/>
        <v>0.89285714285714279</v>
      </c>
      <c r="E7" s="11">
        <f t="shared" si="0"/>
        <v>0.79719387755102034</v>
      </c>
      <c r="F7" s="11">
        <f t="shared" si="0"/>
        <v>0.71178024781341087</v>
      </c>
      <c r="G7" s="11">
        <f t="shared" si="0"/>
        <v>0.63551807840483121</v>
      </c>
      <c r="H7" s="11">
        <f t="shared" si="0"/>
        <v>0.56742685571859919</v>
      </c>
      <c r="I7" s="11">
        <f t="shared" si="0"/>
        <v>0.50663112117732068</v>
      </c>
      <c r="J7" s="11">
        <f t="shared" si="0"/>
        <v>0.45234921533689343</v>
      </c>
      <c r="K7" s="11">
        <f t="shared" si="0"/>
        <v>0.4038832279793691</v>
      </c>
      <c r="L7" s="11">
        <f t="shared" si="0"/>
        <v>0.36061002498157957</v>
      </c>
      <c r="M7" s="11">
        <f t="shared" si="0"/>
        <v>0.32197323659069599</v>
      </c>
      <c r="N7" s="11">
        <f t="shared" si="0"/>
        <v>0.28747610409883567</v>
      </c>
      <c r="O7" s="11">
        <f t="shared" si="0"/>
        <v>0.25667509294538904</v>
      </c>
      <c r="P7" s="2"/>
    </row>
    <row r="8" spans="1:16" x14ac:dyDescent="0.35">
      <c r="A8" s="2"/>
      <c r="B8" s="8" t="s">
        <v>25</v>
      </c>
      <c r="C8" s="12">
        <f t="shared" ref="C8:O8" si="1">C6*C7</f>
        <v>-800</v>
      </c>
      <c r="D8" s="12">
        <f t="shared" si="1"/>
        <v>-17.857142857142854</v>
      </c>
      <c r="E8" s="12">
        <f t="shared" si="1"/>
        <v>-15.943877551020407</v>
      </c>
      <c r="F8" s="12">
        <f t="shared" si="1"/>
        <v>-14.235604956268217</v>
      </c>
      <c r="G8" s="12">
        <f t="shared" si="1"/>
        <v>-12.710361568096625</v>
      </c>
      <c r="H8" s="12">
        <f t="shared" si="1"/>
        <v>113.48537114371983</v>
      </c>
      <c r="I8" s="12">
        <f t="shared" si="1"/>
        <v>101.32622423546414</v>
      </c>
      <c r="J8" s="12">
        <f t="shared" si="1"/>
        <v>90.46984306737869</v>
      </c>
      <c r="K8" s="12">
        <f t="shared" si="1"/>
        <v>80.776645595873816</v>
      </c>
      <c r="L8" s="12">
        <f t="shared" si="1"/>
        <v>72.122004996315908</v>
      </c>
      <c r="M8" s="12">
        <f t="shared" si="1"/>
        <v>64.394647318139192</v>
      </c>
      <c r="N8" s="12">
        <f t="shared" si="1"/>
        <v>57.495220819767134</v>
      </c>
      <c r="O8" s="12">
        <f t="shared" si="1"/>
        <v>51.335018589077805</v>
      </c>
      <c r="P8" s="2"/>
    </row>
    <row r="9" spans="1:16" x14ac:dyDescent="0.35">
      <c r="A9" s="2"/>
      <c r="B9" s="2"/>
      <c r="C9" s="2"/>
      <c r="D9" s="2"/>
      <c r="E9" s="2"/>
      <c r="F9" s="2"/>
      <c r="G9" s="2"/>
      <c r="H9" s="2"/>
      <c r="I9" s="2"/>
      <c r="J9" s="2"/>
      <c r="K9" s="2"/>
      <c r="L9" s="2"/>
      <c r="M9" s="2"/>
      <c r="N9" s="2"/>
      <c r="O9" s="2"/>
      <c r="P9" s="2"/>
    </row>
    <row r="10" spans="1:16" x14ac:dyDescent="0.35">
      <c r="A10" s="2"/>
      <c r="B10" s="2"/>
      <c r="C10" s="2"/>
      <c r="D10" s="2"/>
      <c r="E10" s="2"/>
      <c r="F10" s="2"/>
      <c r="G10" s="2"/>
      <c r="H10" s="2"/>
      <c r="I10" s="2"/>
      <c r="J10" s="2"/>
      <c r="K10" s="2"/>
      <c r="L10" s="2"/>
      <c r="M10" s="2"/>
      <c r="N10" s="2"/>
      <c r="O10" s="2"/>
      <c r="P10" s="2"/>
    </row>
    <row r="11" spans="1:16" x14ac:dyDescent="0.35">
      <c r="A11" s="2"/>
      <c r="B11" s="2"/>
      <c r="C11" s="2"/>
      <c r="D11" s="2"/>
      <c r="E11" s="2"/>
      <c r="F11" s="2"/>
      <c r="G11" s="2"/>
      <c r="H11" s="2"/>
      <c r="I11" s="2"/>
      <c r="J11" s="2"/>
      <c r="K11" s="2"/>
      <c r="L11" s="2"/>
      <c r="M11" s="2"/>
      <c r="N11" s="2"/>
      <c r="O11" s="2"/>
      <c r="P11" s="2"/>
    </row>
    <row r="12" spans="1:16" x14ac:dyDescent="0.35">
      <c r="A12" s="2"/>
      <c r="B12" s="2"/>
      <c r="C12" s="2"/>
      <c r="D12" s="2"/>
      <c r="E12" s="2"/>
      <c r="F12" s="2"/>
      <c r="G12" s="2"/>
      <c r="H12" s="2"/>
      <c r="I12" s="2"/>
      <c r="J12" s="2"/>
      <c r="K12" s="2"/>
      <c r="L12" s="2"/>
      <c r="M12" s="2"/>
      <c r="N12" s="2"/>
      <c r="O12" s="2"/>
      <c r="P12" s="2"/>
    </row>
    <row r="13" spans="1:16" x14ac:dyDescent="0.35">
      <c r="A13" s="2"/>
      <c r="B13" s="8" t="s">
        <v>28</v>
      </c>
      <c r="C13" s="13">
        <f>SUM(C8:O8)</f>
        <v>-229.34201116679159</v>
      </c>
      <c r="D13" s="2"/>
      <c r="E13" s="2"/>
      <c r="F13" s="2"/>
      <c r="G13" s="2"/>
      <c r="H13" s="2"/>
      <c r="I13" s="2"/>
      <c r="J13" s="2"/>
      <c r="K13" s="2"/>
      <c r="L13" s="2"/>
      <c r="M13" s="2"/>
      <c r="N13" s="2"/>
      <c r="O13" s="2"/>
      <c r="P13" s="2"/>
    </row>
    <row r="14" spans="1:16" x14ac:dyDescent="0.35">
      <c r="A14" s="2"/>
      <c r="B14" s="2"/>
      <c r="C14" s="2"/>
      <c r="D14" s="2"/>
      <c r="E14" s="2"/>
      <c r="F14" s="2"/>
      <c r="G14" s="2"/>
      <c r="H14" s="2"/>
      <c r="I14" s="2"/>
      <c r="J14" s="2"/>
      <c r="K14" s="2"/>
      <c r="L14" s="2"/>
      <c r="M14" s="2"/>
      <c r="N14" s="2"/>
      <c r="O14" s="2"/>
      <c r="P14" s="2"/>
    </row>
    <row r="15" spans="1:16" x14ac:dyDescent="0.35">
      <c r="A15" s="2"/>
      <c r="B15" s="2"/>
      <c r="C15" s="2"/>
      <c r="D15" s="2"/>
      <c r="E15" s="2"/>
      <c r="F15" s="2"/>
      <c r="G15" s="2"/>
      <c r="H15" s="2"/>
      <c r="I15" s="2"/>
      <c r="J15" s="2"/>
      <c r="K15" s="2"/>
      <c r="L15" s="2"/>
      <c r="M15" s="2"/>
      <c r="N15" s="2"/>
      <c r="O15" s="2"/>
      <c r="P15" s="2"/>
    </row>
    <row r="16" spans="1:16" x14ac:dyDescent="0.35">
      <c r="A16" s="2"/>
      <c r="B16" s="4" t="s">
        <v>29</v>
      </c>
      <c r="C16" s="2"/>
      <c r="D16" s="2"/>
      <c r="E16" s="2"/>
      <c r="F16" s="2"/>
      <c r="G16" s="2"/>
      <c r="H16" s="2"/>
      <c r="I16" s="2"/>
      <c r="J16" s="2"/>
      <c r="K16" s="2"/>
      <c r="L16" s="2"/>
      <c r="M16" s="2"/>
      <c r="N16" s="2"/>
      <c r="O16" s="2"/>
      <c r="P16" s="2"/>
    </row>
    <row r="17" spans="1:16" x14ac:dyDescent="0.35">
      <c r="A17" s="2"/>
      <c r="B17" s="40" t="s">
        <v>81</v>
      </c>
      <c r="C17" s="40"/>
      <c r="D17" s="40"/>
      <c r="E17" s="40"/>
      <c r="F17" s="40"/>
      <c r="G17" s="40"/>
      <c r="H17" s="40"/>
      <c r="I17" s="40"/>
      <c r="J17" s="40"/>
      <c r="K17" s="40"/>
      <c r="L17" s="40"/>
      <c r="M17" s="40"/>
      <c r="N17" s="40"/>
      <c r="O17" s="40"/>
      <c r="P17" s="2"/>
    </row>
    <row r="18" spans="1:16" ht="45" customHeight="1" x14ac:dyDescent="0.35">
      <c r="A18" s="2"/>
      <c r="B18" s="40" t="s">
        <v>82</v>
      </c>
      <c r="C18" s="40"/>
      <c r="D18" s="40"/>
      <c r="E18" s="40"/>
      <c r="F18" s="40"/>
      <c r="G18" s="40"/>
      <c r="H18" s="40"/>
      <c r="I18" s="40"/>
      <c r="J18" s="40"/>
      <c r="K18" s="40"/>
      <c r="L18" s="40"/>
      <c r="M18" s="40"/>
      <c r="N18" s="40"/>
      <c r="O18" s="5"/>
      <c r="P18" s="2"/>
    </row>
    <row r="19" spans="1:16" x14ac:dyDescent="0.35">
      <c r="A19" s="2"/>
      <c r="B19" s="8" t="s">
        <v>30</v>
      </c>
      <c r="C19" s="14">
        <v>0.12</v>
      </c>
      <c r="D19" s="2"/>
      <c r="E19" s="2"/>
      <c r="F19" s="2"/>
      <c r="G19" s="2"/>
      <c r="H19" s="2"/>
      <c r="I19" s="2"/>
      <c r="J19" s="2"/>
      <c r="K19" s="2"/>
      <c r="L19" s="2"/>
      <c r="M19" s="2"/>
      <c r="N19" s="2"/>
      <c r="O19" s="2"/>
      <c r="P19" s="2"/>
    </row>
    <row r="20" spans="1:16" x14ac:dyDescent="0.35">
      <c r="A20" s="2"/>
      <c r="B20" s="2"/>
      <c r="C20" s="2"/>
      <c r="D20" s="2"/>
      <c r="E20" s="2"/>
      <c r="F20" s="2"/>
      <c r="G20" s="2"/>
      <c r="H20" s="2"/>
      <c r="I20" s="2"/>
      <c r="J20" s="2"/>
      <c r="K20" s="2"/>
      <c r="L20" s="2"/>
      <c r="M20" s="2"/>
      <c r="N20" s="2"/>
      <c r="O20" s="2"/>
      <c r="P20" s="2"/>
    </row>
    <row r="21" spans="1:16" x14ac:dyDescent="0.35">
      <c r="A21" s="2"/>
      <c r="B21" s="2"/>
      <c r="C21" s="2"/>
      <c r="D21" s="2"/>
      <c r="E21" s="2"/>
      <c r="F21" s="2"/>
      <c r="G21" s="2"/>
      <c r="H21" s="2"/>
      <c r="I21" s="2"/>
      <c r="J21" s="2"/>
      <c r="K21" s="2"/>
      <c r="L21" s="2"/>
      <c r="M21" s="2"/>
      <c r="N21" s="2"/>
      <c r="O21" s="2"/>
      <c r="P21" s="2"/>
    </row>
    <row r="22" spans="1:16" x14ac:dyDescent="0.35">
      <c r="A22" s="2"/>
      <c r="B22" s="2"/>
      <c r="C22" s="2"/>
      <c r="D22" s="2"/>
      <c r="E22" s="2"/>
      <c r="F22" s="2"/>
      <c r="G22" s="2"/>
      <c r="H22" s="2"/>
      <c r="I22" s="2"/>
      <c r="J22" s="2"/>
      <c r="K22" s="2"/>
      <c r="L22" s="2"/>
      <c r="M22" s="2"/>
      <c r="N22" s="2"/>
      <c r="O22" s="2"/>
      <c r="P22" s="2"/>
    </row>
  </sheetData>
  <mergeCells count="2">
    <mergeCell ref="B17:O17"/>
    <mergeCell ref="B18:N18"/>
  </mergeCell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P26"/>
  <sheetViews>
    <sheetView showGridLines="0" zoomScaleNormal="100" workbookViewId="0">
      <selection activeCell="D22" sqref="D22"/>
    </sheetView>
  </sheetViews>
  <sheetFormatPr defaultColWidth="8.6328125" defaultRowHeight="14.5" x14ac:dyDescent="0.35"/>
  <cols>
    <col min="1" max="1" width="2" style="20" customWidth="1"/>
    <col min="2" max="2" width="61.54296875" style="20" customWidth="1"/>
    <col min="3" max="15" width="11" style="20" customWidth="1"/>
    <col min="16" max="16384" width="8.6328125" style="20"/>
  </cols>
  <sheetData>
    <row r="1" spans="1:16" x14ac:dyDescent="0.35">
      <c r="A1" s="2"/>
      <c r="B1" s="2"/>
      <c r="C1" s="2"/>
      <c r="D1" s="2"/>
      <c r="E1" s="2"/>
      <c r="F1" s="2"/>
      <c r="G1" s="2"/>
      <c r="H1" s="2"/>
      <c r="I1" s="2"/>
      <c r="J1" s="2"/>
      <c r="K1" s="2"/>
      <c r="L1" s="2"/>
      <c r="M1" s="2"/>
      <c r="N1" s="2"/>
      <c r="O1" s="2"/>
      <c r="P1" s="2"/>
    </row>
    <row r="2" spans="1:16" ht="18" x14ac:dyDescent="0.4">
      <c r="A2" s="2"/>
      <c r="B2" s="3" t="s">
        <v>38</v>
      </c>
      <c r="C2" s="2"/>
      <c r="D2" s="2"/>
      <c r="E2" s="2"/>
      <c r="F2" s="2"/>
      <c r="G2" s="2"/>
      <c r="H2" s="2"/>
      <c r="I2" s="2"/>
      <c r="J2" s="2"/>
      <c r="K2" s="2"/>
      <c r="L2" s="2"/>
      <c r="M2" s="2"/>
      <c r="N2" s="2"/>
      <c r="O2" s="2"/>
      <c r="P2" s="2"/>
    </row>
    <row r="3" spans="1:16" x14ac:dyDescent="0.35">
      <c r="A3" s="2"/>
      <c r="B3" s="2"/>
      <c r="C3" s="2"/>
      <c r="D3" s="2"/>
      <c r="E3" s="2"/>
      <c r="F3" s="2"/>
      <c r="G3" s="2"/>
      <c r="H3" s="2"/>
      <c r="I3" s="2"/>
      <c r="J3" s="2"/>
      <c r="K3" s="2"/>
      <c r="L3" s="2"/>
      <c r="M3" s="2"/>
      <c r="N3" s="2"/>
      <c r="O3" s="2"/>
      <c r="P3" s="2"/>
    </row>
    <row r="4" spans="1:16" x14ac:dyDescent="0.35">
      <c r="A4" s="2"/>
      <c r="B4" s="6" t="s">
        <v>1</v>
      </c>
      <c r="C4" s="7">
        <v>2023</v>
      </c>
      <c r="D4" s="7">
        <v>2024</v>
      </c>
      <c r="E4" s="7">
        <v>2025</v>
      </c>
      <c r="F4" s="7">
        <v>2026</v>
      </c>
      <c r="G4" s="7">
        <v>2027</v>
      </c>
      <c r="H4" s="7">
        <v>2028</v>
      </c>
      <c r="I4" s="7">
        <v>2029</v>
      </c>
      <c r="J4" s="7">
        <v>2030</v>
      </c>
      <c r="K4" s="7">
        <v>2031</v>
      </c>
      <c r="L4" s="7">
        <v>2032</v>
      </c>
      <c r="M4" s="7">
        <v>2033</v>
      </c>
      <c r="N4" s="7">
        <v>2034</v>
      </c>
      <c r="O4" s="7">
        <v>2035</v>
      </c>
      <c r="P4" s="2"/>
    </row>
    <row r="5" spans="1:16" x14ac:dyDescent="0.35">
      <c r="A5" s="2"/>
      <c r="B5" s="8" t="s">
        <v>2</v>
      </c>
      <c r="C5" s="9">
        <v>0</v>
      </c>
      <c r="D5" s="9">
        <v>1</v>
      </c>
      <c r="E5" s="9">
        <v>2</v>
      </c>
      <c r="F5" s="9">
        <v>3</v>
      </c>
      <c r="G5" s="9">
        <v>4</v>
      </c>
      <c r="H5" s="9">
        <v>5</v>
      </c>
      <c r="I5" s="9">
        <v>6</v>
      </c>
      <c r="J5" s="9">
        <v>7</v>
      </c>
      <c r="K5" s="9">
        <v>8</v>
      </c>
      <c r="L5" s="9">
        <v>9</v>
      </c>
      <c r="M5" s="9">
        <v>10</v>
      </c>
      <c r="N5" s="9">
        <v>11</v>
      </c>
      <c r="O5" s="9">
        <v>12</v>
      </c>
      <c r="P5" s="2"/>
    </row>
    <row r="6" spans="1:16" x14ac:dyDescent="0.35">
      <c r="A6" s="2"/>
      <c r="B6" s="8" t="s">
        <v>23</v>
      </c>
      <c r="C6" s="10">
        <f>Given!C6</f>
        <v>-800</v>
      </c>
      <c r="D6" s="10">
        <f>Given!D6</f>
        <v>-20</v>
      </c>
      <c r="E6" s="10">
        <f>Given!E6</f>
        <v>-20</v>
      </c>
      <c r="F6" s="10">
        <f>Given!F6</f>
        <v>-20</v>
      </c>
      <c r="G6" s="10">
        <f>Given!G6</f>
        <v>-20</v>
      </c>
      <c r="H6" s="10">
        <f>Given!H6</f>
        <v>200</v>
      </c>
      <c r="I6" s="10">
        <f>Given!I6</f>
        <v>200</v>
      </c>
      <c r="J6" s="10">
        <f>Given!J6</f>
        <v>200</v>
      </c>
      <c r="K6" s="10">
        <f>Given!K6</f>
        <v>200</v>
      </c>
      <c r="L6" s="10">
        <f>Given!L6</f>
        <v>200</v>
      </c>
      <c r="M6" s="10">
        <f>Given!M6</f>
        <v>200</v>
      </c>
      <c r="N6" s="10">
        <v>0</v>
      </c>
      <c r="O6" s="10">
        <v>0</v>
      </c>
      <c r="P6" s="2"/>
    </row>
    <row r="7" spans="1:16" x14ac:dyDescent="0.35">
      <c r="A7" s="2"/>
      <c r="B7" s="8" t="s">
        <v>24</v>
      </c>
      <c r="C7" s="11">
        <f t="shared" ref="C7:O7" si="0">1/(1+$C$20)^C5</f>
        <v>1</v>
      </c>
      <c r="D7" s="11">
        <f t="shared" si="0"/>
        <v>0.92592592592592582</v>
      </c>
      <c r="E7" s="11">
        <f t="shared" si="0"/>
        <v>0.85733882030178321</v>
      </c>
      <c r="F7" s="11">
        <f t="shared" si="0"/>
        <v>0.79383224102016958</v>
      </c>
      <c r="G7" s="11">
        <f t="shared" si="0"/>
        <v>0.73502985279645328</v>
      </c>
      <c r="H7" s="11">
        <f t="shared" si="0"/>
        <v>0.68058319703375303</v>
      </c>
      <c r="I7" s="11">
        <f t="shared" si="0"/>
        <v>0.63016962688310452</v>
      </c>
      <c r="J7" s="11">
        <f t="shared" si="0"/>
        <v>0.58349039526213387</v>
      </c>
      <c r="K7" s="11">
        <f t="shared" si="0"/>
        <v>0.54026888450197574</v>
      </c>
      <c r="L7" s="11">
        <f t="shared" si="0"/>
        <v>0.50024896713145905</v>
      </c>
      <c r="M7" s="11">
        <f t="shared" si="0"/>
        <v>0.46319348808468425</v>
      </c>
      <c r="N7" s="11">
        <f t="shared" si="0"/>
        <v>0.42888285933767062</v>
      </c>
      <c r="O7" s="11">
        <f t="shared" si="0"/>
        <v>0.39711375864599124</v>
      </c>
      <c r="P7" s="2"/>
    </row>
    <row r="8" spans="1:16" x14ac:dyDescent="0.35">
      <c r="A8" s="2"/>
      <c r="B8" s="8" t="s">
        <v>25</v>
      </c>
      <c r="C8" s="12">
        <f t="shared" ref="C8:O8" si="1">C6*C7</f>
        <v>-800</v>
      </c>
      <c r="D8" s="12">
        <f t="shared" si="1"/>
        <v>-18.518518518518515</v>
      </c>
      <c r="E8" s="12">
        <f t="shared" si="1"/>
        <v>-17.146776406035663</v>
      </c>
      <c r="F8" s="12">
        <f t="shared" si="1"/>
        <v>-15.876644820403392</v>
      </c>
      <c r="G8" s="12">
        <f t="shared" si="1"/>
        <v>-14.700597055929066</v>
      </c>
      <c r="H8" s="12">
        <f t="shared" si="1"/>
        <v>136.11663940675061</v>
      </c>
      <c r="I8" s="12">
        <f t="shared" si="1"/>
        <v>126.0339253766209</v>
      </c>
      <c r="J8" s="12">
        <f t="shared" si="1"/>
        <v>116.69807905242678</v>
      </c>
      <c r="K8" s="12">
        <f t="shared" si="1"/>
        <v>108.05377690039515</v>
      </c>
      <c r="L8" s="12">
        <f t="shared" si="1"/>
        <v>100.04979342629181</v>
      </c>
      <c r="M8" s="12">
        <f t="shared" si="1"/>
        <v>92.638697616936852</v>
      </c>
      <c r="N8" s="12">
        <f t="shared" si="1"/>
        <v>0</v>
      </c>
      <c r="O8" s="12">
        <f t="shared" si="1"/>
        <v>0</v>
      </c>
      <c r="P8" s="2"/>
    </row>
    <row r="9" spans="1:16" x14ac:dyDescent="0.35">
      <c r="A9" s="2"/>
      <c r="B9" s="2"/>
      <c r="C9" s="2"/>
      <c r="D9" s="2"/>
      <c r="E9" s="2"/>
      <c r="F9" s="2"/>
      <c r="G9" s="2"/>
      <c r="H9" s="2"/>
      <c r="I9" s="2"/>
      <c r="J9" s="2"/>
      <c r="K9" s="2"/>
      <c r="L9" s="2"/>
      <c r="M9" s="2"/>
      <c r="N9" s="2"/>
      <c r="O9" s="2"/>
      <c r="P9" s="2"/>
    </row>
    <row r="10" spans="1:16" x14ac:dyDescent="0.35">
      <c r="A10" s="2"/>
      <c r="B10" s="2"/>
      <c r="C10" s="2"/>
      <c r="D10" s="2"/>
      <c r="E10" s="2"/>
      <c r="F10" s="2"/>
      <c r="G10" s="2"/>
      <c r="H10" s="2"/>
      <c r="I10" s="2"/>
      <c r="J10" s="2"/>
      <c r="K10" s="2"/>
      <c r="L10" s="2"/>
      <c r="M10" s="2"/>
      <c r="N10" s="2"/>
      <c r="O10" s="2"/>
      <c r="P10" s="2"/>
    </row>
    <row r="11" spans="1:16" x14ac:dyDescent="0.35">
      <c r="A11" s="2"/>
      <c r="B11" s="2"/>
      <c r="C11" s="2"/>
      <c r="D11" s="2"/>
      <c r="E11" s="2"/>
      <c r="F11" s="2"/>
      <c r="G11" s="2"/>
      <c r="H11" s="2"/>
      <c r="I11" s="2"/>
      <c r="J11" s="2"/>
      <c r="K11" s="2"/>
      <c r="L11" s="2"/>
      <c r="M11" s="2"/>
      <c r="N11" s="2"/>
      <c r="O11" s="2"/>
      <c r="P11" s="2"/>
    </row>
    <row r="12" spans="1:16" x14ac:dyDescent="0.35">
      <c r="A12" s="2"/>
      <c r="B12" s="2"/>
      <c r="C12" s="2"/>
      <c r="D12" s="2"/>
      <c r="E12" s="2"/>
      <c r="F12" s="2"/>
      <c r="G12" s="2"/>
      <c r="H12" s="2"/>
      <c r="I12" s="2"/>
      <c r="J12" s="2"/>
      <c r="K12" s="2"/>
      <c r="L12" s="2"/>
      <c r="M12" s="2"/>
      <c r="N12" s="2"/>
      <c r="O12" s="2"/>
      <c r="P12" s="2"/>
    </row>
    <row r="13" spans="1:16" x14ac:dyDescent="0.35">
      <c r="A13" s="2"/>
      <c r="B13" s="8" t="s">
        <v>28</v>
      </c>
      <c r="C13" s="13">
        <f>SUM(C8:O8)</f>
        <v>-186.6516250214645</v>
      </c>
      <c r="D13" s="2"/>
      <c r="E13" s="2"/>
      <c r="F13" s="2"/>
      <c r="G13" s="2"/>
      <c r="H13" s="2"/>
      <c r="I13" s="2"/>
      <c r="J13" s="2"/>
      <c r="K13" s="2"/>
      <c r="L13" s="2"/>
      <c r="M13" s="2"/>
      <c r="N13" s="2"/>
      <c r="O13" s="2"/>
      <c r="P13" s="2"/>
    </row>
    <row r="14" spans="1:16" x14ac:dyDescent="0.35">
      <c r="A14" s="2"/>
      <c r="B14" s="2"/>
      <c r="C14" s="2"/>
      <c r="D14" s="2"/>
      <c r="E14" s="2"/>
      <c r="F14" s="2"/>
      <c r="G14" s="2"/>
      <c r="H14" s="2"/>
      <c r="I14" s="2"/>
      <c r="J14" s="2"/>
      <c r="K14" s="2"/>
      <c r="L14" s="2"/>
      <c r="M14" s="2"/>
      <c r="N14" s="2"/>
      <c r="O14" s="2"/>
      <c r="P14" s="2"/>
    </row>
    <row r="15" spans="1:16" x14ac:dyDescent="0.35">
      <c r="A15" s="2"/>
      <c r="B15" s="8" t="s">
        <v>39</v>
      </c>
      <c r="C15" s="23">
        <v>0.1</v>
      </c>
      <c r="D15" s="2"/>
      <c r="E15" s="2"/>
      <c r="F15" s="2"/>
      <c r="G15" s="2"/>
      <c r="H15" s="2"/>
      <c r="I15" s="2"/>
      <c r="J15" s="2"/>
      <c r="K15" s="2"/>
      <c r="L15" s="2"/>
      <c r="M15" s="2"/>
      <c r="N15" s="2"/>
      <c r="O15" s="2"/>
      <c r="P15" s="2"/>
    </row>
    <row r="16" spans="1:16" x14ac:dyDescent="0.35">
      <c r="A16" s="2"/>
      <c r="B16" s="8" t="s">
        <v>40</v>
      </c>
      <c r="C16" s="24">
        <f>1-C15</f>
        <v>0.9</v>
      </c>
      <c r="D16" s="2"/>
      <c r="E16" s="2"/>
      <c r="F16" s="2"/>
      <c r="G16" s="2"/>
      <c r="H16" s="2"/>
      <c r="I16" s="2"/>
      <c r="J16" s="2"/>
      <c r="K16" s="2"/>
      <c r="L16" s="2"/>
      <c r="M16" s="2"/>
      <c r="N16" s="2"/>
      <c r="O16" s="2"/>
      <c r="P16" s="2"/>
    </row>
    <row r="17" spans="1:16" x14ac:dyDescent="0.35">
      <c r="A17" s="2"/>
      <c r="B17" s="8" t="s">
        <v>41</v>
      </c>
      <c r="C17" s="25">
        <f>'Q3'!C13</f>
        <v>-21.452301424732113</v>
      </c>
      <c r="D17" s="2"/>
      <c r="E17" s="2"/>
      <c r="F17" s="2"/>
      <c r="G17" s="2"/>
      <c r="H17" s="2"/>
      <c r="I17" s="2"/>
      <c r="J17" s="2"/>
      <c r="K17" s="2"/>
      <c r="L17" s="2"/>
      <c r="M17" s="2"/>
      <c r="N17" s="2"/>
      <c r="O17" s="2"/>
      <c r="P17" s="2"/>
    </row>
    <row r="18" spans="1:16" x14ac:dyDescent="0.35">
      <c r="A18" s="2"/>
      <c r="B18" s="8" t="s">
        <v>42</v>
      </c>
      <c r="C18" s="13">
        <f>C15*C13+C16*C17</f>
        <v>-37.972233784405354</v>
      </c>
      <c r="D18" s="2"/>
      <c r="E18" s="2"/>
      <c r="F18" s="2"/>
      <c r="G18" s="2"/>
      <c r="H18" s="2"/>
      <c r="I18" s="2"/>
      <c r="J18" s="2"/>
      <c r="K18" s="2"/>
      <c r="L18" s="2"/>
      <c r="M18" s="2"/>
      <c r="N18" s="2"/>
      <c r="O18" s="2"/>
      <c r="P18" s="2"/>
    </row>
    <row r="19" spans="1:16" x14ac:dyDescent="0.35">
      <c r="A19" s="2"/>
      <c r="B19" s="2"/>
      <c r="C19" s="2"/>
      <c r="D19" s="2"/>
      <c r="E19" s="2"/>
      <c r="F19" s="2"/>
      <c r="G19" s="2"/>
      <c r="H19" s="2"/>
      <c r="I19" s="2"/>
      <c r="J19" s="2"/>
      <c r="K19" s="2"/>
      <c r="L19" s="2"/>
      <c r="M19" s="2"/>
      <c r="N19" s="2"/>
      <c r="O19" s="2"/>
      <c r="P19" s="2"/>
    </row>
    <row r="20" spans="1:16" x14ac:dyDescent="0.35">
      <c r="A20" s="2"/>
      <c r="B20" s="8" t="s">
        <v>30</v>
      </c>
      <c r="C20" s="14">
        <f>Given!C9</f>
        <v>0.08</v>
      </c>
      <c r="D20" s="2"/>
      <c r="E20" s="2"/>
      <c r="F20" s="2"/>
      <c r="G20" s="2"/>
      <c r="H20" s="2"/>
      <c r="I20" s="2"/>
      <c r="J20" s="2"/>
      <c r="K20" s="2"/>
      <c r="L20" s="2"/>
      <c r="M20" s="2"/>
      <c r="N20" s="2"/>
      <c r="O20" s="2"/>
      <c r="P20" s="2"/>
    </row>
    <row r="21" spans="1:16" ht="15" customHeight="1" x14ac:dyDescent="0.35">
      <c r="A21" s="2"/>
      <c r="B21" s="41"/>
      <c r="C21" s="41"/>
      <c r="D21" s="41"/>
      <c r="E21" s="41"/>
      <c r="F21" s="41"/>
      <c r="G21" s="41"/>
      <c r="H21" s="41"/>
      <c r="I21" s="41"/>
      <c r="J21" s="41"/>
      <c r="K21" s="41"/>
      <c r="L21" s="41"/>
      <c r="M21" s="41"/>
      <c r="N21" s="41"/>
      <c r="O21" s="41"/>
      <c r="P21" s="2"/>
    </row>
    <row r="22" spans="1:16" x14ac:dyDescent="0.35">
      <c r="A22" s="2"/>
      <c r="B22" s="2"/>
      <c r="C22" s="2"/>
      <c r="D22" s="2"/>
      <c r="E22" s="2"/>
      <c r="F22" s="2"/>
      <c r="G22" s="2"/>
      <c r="H22" s="2"/>
      <c r="I22" s="2"/>
      <c r="J22" s="2"/>
      <c r="K22" s="2"/>
      <c r="L22" s="2"/>
      <c r="M22" s="2"/>
      <c r="N22" s="2"/>
      <c r="O22" s="2"/>
      <c r="P22" s="2"/>
    </row>
    <row r="23" spans="1:16" x14ac:dyDescent="0.35">
      <c r="A23" s="2"/>
      <c r="B23" s="4" t="s">
        <v>29</v>
      </c>
      <c r="C23" s="2"/>
      <c r="D23" s="2"/>
      <c r="E23" s="2"/>
      <c r="F23" s="2"/>
      <c r="G23" s="2"/>
      <c r="H23" s="2"/>
      <c r="I23" s="2"/>
      <c r="J23" s="2"/>
      <c r="K23" s="2"/>
      <c r="L23" s="2"/>
      <c r="M23" s="2"/>
      <c r="N23" s="2"/>
      <c r="O23" s="2"/>
      <c r="P23" s="2"/>
    </row>
    <row r="24" spans="1:16" x14ac:dyDescent="0.35">
      <c r="A24" s="2"/>
      <c r="B24" s="40" t="s">
        <v>83</v>
      </c>
      <c r="C24" s="40"/>
      <c r="D24" s="40"/>
      <c r="E24" s="40"/>
      <c r="F24" s="40"/>
      <c r="G24" s="40"/>
      <c r="H24" s="40"/>
      <c r="I24" s="40"/>
      <c r="J24" s="40"/>
      <c r="K24" s="40"/>
      <c r="L24" s="40"/>
      <c r="M24" s="40"/>
      <c r="N24" s="40"/>
      <c r="O24" s="40"/>
      <c r="P24" s="2"/>
    </row>
    <row r="25" spans="1:16" x14ac:dyDescent="0.35">
      <c r="A25" s="2"/>
      <c r="B25" s="43" t="s">
        <v>84</v>
      </c>
      <c r="C25" s="43"/>
      <c r="D25" s="43"/>
      <c r="E25" s="43"/>
      <c r="F25" s="43"/>
      <c r="G25" s="43"/>
      <c r="H25" s="43"/>
      <c r="I25" s="43"/>
      <c r="J25" s="43"/>
      <c r="K25" s="43"/>
      <c r="L25" s="43"/>
      <c r="M25" s="43"/>
      <c r="N25" s="2"/>
      <c r="O25" s="2"/>
      <c r="P25" s="2"/>
    </row>
    <row r="26" spans="1:16" x14ac:dyDescent="0.35">
      <c r="A26" s="2"/>
      <c r="B26" s="26"/>
      <c r="C26" s="26"/>
      <c r="D26" s="26"/>
      <c r="E26" s="26"/>
      <c r="F26" s="26"/>
      <c r="G26" s="26"/>
      <c r="H26" s="26"/>
      <c r="I26" s="26"/>
      <c r="J26" s="26"/>
      <c r="K26" s="26"/>
      <c r="L26" s="26"/>
      <c r="M26" s="26"/>
      <c r="N26" s="2"/>
      <c r="O26" s="2"/>
      <c r="P26" s="2"/>
    </row>
  </sheetData>
  <mergeCells count="3">
    <mergeCell ref="B21:O21"/>
    <mergeCell ref="B24:O24"/>
    <mergeCell ref="B25:M25"/>
  </mergeCells>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G12"/>
  <sheetViews>
    <sheetView showGridLines="0" tabSelected="1" zoomScaleNormal="100" workbookViewId="0">
      <selection activeCell="E12" sqref="E12"/>
    </sheetView>
  </sheetViews>
  <sheetFormatPr defaultColWidth="8.6328125" defaultRowHeight="14.5" x14ac:dyDescent="0.35"/>
  <cols>
    <col min="1" max="1" width="2" style="20" customWidth="1"/>
    <col min="2" max="2" width="38" style="20" customWidth="1"/>
    <col min="3" max="3" width="13" style="20" customWidth="1"/>
    <col min="4" max="4" width="15" style="20" customWidth="1"/>
    <col min="5" max="5" width="30" style="20" customWidth="1"/>
    <col min="6" max="6" width="55" style="20" customWidth="1"/>
    <col min="7" max="16384" width="8.6328125" style="20"/>
  </cols>
  <sheetData>
    <row r="1" spans="1:7" x14ac:dyDescent="0.35">
      <c r="A1" s="2"/>
      <c r="B1" s="2"/>
      <c r="C1" s="2"/>
      <c r="D1" s="2"/>
      <c r="E1" s="2"/>
      <c r="F1" s="2"/>
      <c r="G1" s="2"/>
    </row>
    <row r="2" spans="1:7" ht="18" x14ac:dyDescent="0.4">
      <c r="A2" s="2"/>
      <c r="B2" s="3" t="s">
        <v>43</v>
      </c>
      <c r="C2" s="2"/>
      <c r="D2" s="2"/>
      <c r="E2" s="2"/>
      <c r="F2" s="2"/>
      <c r="G2" s="2"/>
    </row>
    <row r="3" spans="1:7" x14ac:dyDescent="0.35">
      <c r="A3" s="2"/>
      <c r="B3" s="2"/>
      <c r="C3" s="2"/>
      <c r="D3" s="2"/>
      <c r="E3" s="2"/>
      <c r="F3" s="2"/>
      <c r="G3" s="2"/>
    </row>
    <row r="4" spans="1:7" ht="27.75" customHeight="1" x14ac:dyDescent="0.35">
      <c r="A4" s="2"/>
      <c r="B4" s="27" t="s">
        <v>44</v>
      </c>
      <c r="C4" s="27" t="s">
        <v>28</v>
      </c>
      <c r="D4" s="27" t="s">
        <v>45</v>
      </c>
      <c r="E4" s="32" t="s">
        <v>46</v>
      </c>
      <c r="F4" s="27" t="s">
        <v>47</v>
      </c>
      <c r="G4" s="2"/>
    </row>
    <row r="5" spans="1:7" ht="39.75" customHeight="1" x14ac:dyDescent="0.35">
      <c r="A5" s="2"/>
      <c r="B5" s="28" t="s">
        <v>48</v>
      </c>
      <c r="C5" s="29">
        <f>'Q3'!C13</f>
        <v>-21.452301424732113</v>
      </c>
      <c r="D5" s="30" t="s">
        <v>49</v>
      </c>
      <c r="E5" s="33" t="s">
        <v>49</v>
      </c>
      <c r="F5" s="31" t="s">
        <v>85</v>
      </c>
      <c r="G5" s="2"/>
    </row>
    <row r="6" spans="1:7" ht="39.75" customHeight="1" x14ac:dyDescent="0.35">
      <c r="A6" s="2"/>
      <c r="B6" s="28" t="s">
        <v>50</v>
      </c>
      <c r="C6" s="29">
        <f>'Q4-B'!C13</f>
        <v>10.203875579341698</v>
      </c>
      <c r="D6" s="29">
        <f>C6-C5</f>
        <v>31.656177004073811</v>
      </c>
      <c r="E6" s="33" t="s">
        <v>51</v>
      </c>
      <c r="F6" s="31" t="s">
        <v>86</v>
      </c>
      <c r="G6" s="2"/>
    </row>
    <row r="7" spans="1:7" ht="39.75" customHeight="1" x14ac:dyDescent="0.35">
      <c r="A7" s="2"/>
      <c r="B7" s="28" t="s">
        <v>52</v>
      </c>
      <c r="C7" s="29">
        <f>'Q4 - C'!C13</f>
        <v>63.026722112883419</v>
      </c>
      <c r="D7" s="29">
        <f>C7-C5</f>
        <v>84.479023537615532</v>
      </c>
      <c r="E7" s="33" t="s">
        <v>53</v>
      </c>
      <c r="F7" s="31" t="s">
        <v>87</v>
      </c>
      <c r="G7" s="2"/>
    </row>
    <row r="8" spans="1:7" ht="39.75" customHeight="1" x14ac:dyDescent="0.35">
      <c r="A8" s="2"/>
      <c r="B8" s="28" t="s">
        <v>54</v>
      </c>
      <c r="C8" s="29">
        <f>'Q4 - D'!C13</f>
        <v>18.259074439867007</v>
      </c>
      <c r="D8" s="29">
        <f>C8-C5</f>
        <v>39.71137586459912</v>
      </c>
      <c r="E8" s="33" t="s">
        <v>55</v>
      </c>
      <c r="F8" s="31" t="s">
        <v>88</v>
      </c>
      <c r="G8" s="2"/>
    </row>
    <row r="9" spans="1:7" ht="39.75" customHeight="1" x14ac:dyDescent="0.35">
      <c r="A9" s="2"/>
      <c r="B9" s="28" t="s">
        <v>56</v>
      </c>
      <c r="C9" s="29">
        <f>'Q4 - Custom1'!C13</f>
        <v>-229.34201116679159</v>
      </c>
      <c r="D9" s="29">
        <f>C9-C5</f>
        <v>-207.88970974205949</v>
      </c>
      <c r="E9" s="33" t="s">
        <v>57</v>
      </c>
      <c r="F9" s="31" t="s">
        <v>89</v>
      </c>
      <c r="G9" s="2"/>
    </row>
    <row r="10" spans="1:7" ht="39.75" customHeight="1" x14ac:dyDescent="0.35">
      <c r="A10" s="2"/>
      <c r="B10" s="28" t="s">
        <v>58</v>
      </c>
      <c r="C10" s="29">
        <f>'Q4 - Custom2'!C18</f>
        <v>-37.972233784405354</v>
      </c>
      <c r="D10" s="29">
        <f>C10-C5</f>
        <v>-16.519932359673241</v>
      </c>
      <c r="E10" s="33" t="s">
        <v>59</v>
      </c>
      <c r="F10" s="31" t="s">
        <v>90</v>
      </c>
      <c r="G10" s="2"/>
    </row>
    <row r="11" spans="1:7" x14ac:dyDescent="0.35">
      <c r="A11" s="2"/>
      <c r="B11" s="2"/>
      <c r="C11" s="2"/>
      <c r="D11" s="2"/>
      <c r="E11" s="2"/>
      <c r="F11" s="2"/>
      <c r="G11" s="2"/>
    </row>
    <row r="12" spans="1:7" x14ac:dyDescent="0.35">
      <c r="A12" s="2"/>
      <c r="B12" s="2"/>
      <c r="C12" s="2"/>
      <c r="D12" s="2"/>
      <c r="E12" s="2"/>
      <c r="F12" s="2"/>
      <c r="G12" s="2"/>
    </row>
  </sheetData>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O18"/>
  <sheetViews>
    <sheetView showGridLines="0" zoomScaleNormal="100" workbookViewId="0">
      <selection activeCell="B15" sqref="B15"/>
    </sheetView>
  </sheetViews>
  <sheetFormatPr defaultColWidth="8.6328125" defaultRowHeight="14.5" x14ac:dyDescent="0.35"/>
  <cols>
    <col min="1" max="1" width="2" style="34" customWidth="1"/>
    <col min="2" max="2" width="67.1796875" style="34" bestFit="1" customWidth="1"/>
    <col min="3" max="16384" width="8.6328125" style="34"/>
  </cols>
  <sheetData>
    <row r="1" spans="1:15" x14ac:dyDescent="0.35">
      <c r="A1" s="36"/>
      <c r="B1" s="36"/>
      <c r="C1" s="36"/>
      <c r="D1" s="36"/>
      <c r="E1" s="36"/>
      <c r="F1" s="36"/>
      <c r="G1" s="36"/>
      <c r="H1" s="36"/>
      <c r="I1" s="36"/>
      <c r="J1" s="36"/>
      <c r="K1" s="36"/>
      <c r="L1" s="36"/>
      <c r="M1" s="36"/>
      <c r="N1" s="36"/>
      <c r="O1" s="35"/>
    </row>
    <row r="2" spans="1:15" ht="18" x14ac:dyDescent="0.4">
      <c r="A2" s="36"/>
      <c r="B2" s="37" t="s">
        <v>60</v>
      </c>
      <c r="C2" s="36"/>
      <c r="D2" s="36"/>
      <c r="E2" s="36"/>
      <c r="F2" s="36"/>
      <c r="G2" s="36"/>
      <c r="H2" s="36"/>
      <c r="I2" s="36"/>
      <c r="J2" s="36"/>
      <c r="K2" s="36"/>
      <c r="L2" s="36"/>
      <c r="M2" s="36"/>
      <c r="N2" s="36"/>
      <c r="O2" s="35"/>
    </row>
    <row r="3" spans="1:15" x14ac:dyDescent="0.35">
      <c r="A3" s="36"/>
      <c r="B3" s="36"/>
      <c r="C3" s="36"/>
      <c r="D3" s="36"/>
      <c r="E3" s="36"/>
      <c r="F3" s="36"/>
      <c r="G3" s="36"/>
      <c r="H3" s="36"/>
      <c r="I3" s="36"/>
      <c r="J3" s="36"/>
      <c r="K3" s="36"/>
      <c r="L3" s="36"/>
      <c r="M3" s="36"/>
      <c r="N3" s="36"/>
      <c r="O3" s="35"/>
    </row>
    <row r="4" spans="1:15" ht="15.5" x14ac:dyDescent="0.35">
      <c r="A4" s="36"/>
      <c r="B4" s="38" t="s">
        <v>61</v>
      </c>
      <c r="C4" s="36"/>
      <c r="D4" s="36"/>
      <c r="E4" s="36"/>
      <c r="F4" s="36"/>
      <c r="G4" s="36"/>
      <c r="H4" s="36"/>
      <c r="I4" s="36"/>
      <c r="J4" s="36"/>
      <c r="K4" s="36"/>
      <c r="L4" s="36"/>
      <c r="M4" s="36"/>
      <c r="N4" s="36"/>
      <c r="O4" s="35"/>
    </row>
    <row r="5" spans="1:15" ht="30" customHeight="1" x14ac:dyDescent="0.35">
      <c r="A5" s="36"/>
      <c r="B5" s="39" t="s">
        <v>62</v>
      </c>
      <c r="C5" s="39"/>
      <c r="D5" s="39"/>
      <c r="E5" s="39"/>
      <c r="F5" s="39"/>
      <c r="G5" s="39"/>
      <c r="H5" s="39"/>
      <c r="I5" s="39"/>
      <c r="J5" s="39"/>
      <c r="K5" s="39"/>
      <c r="L5" s="39"/>
      <c r="M5" s="39"/>
      <c r="N5" s="39"/>
      <c r="O5" s="35"/>
    </row>
    <row r="6" spans="1:15" x14ac:dyDescent="0.35">
      <c r="A6" s="36"/>
      <c r="B6" s="36"/>
      <c r="C6" s="36"/>
      <c r="D6" s="36"/>
      <c r="E6" s="36"/>
      <c r="F6" s="36"/>
      <c r="G6" s="36"/>
      <c r="H6" s="36"/>
      <c r="I6" s="36"/>
      <c r="J6" s="36"/>
      <c r="K6" s="36"/>
      <c r="L6" s="36"/>
      <c r="M6" s="36"/>
      <c r="N6" s="36"/>
      <c r="O6" s="35"/>
    </row>
    <row r="7" spans="1:15" ht="30" customHeight="1" x14ac:dyDescent="0.35">
      <c r="A7" s="36"/>
      <c r="B7" s="39" t="s">
        <v>63</v>
      </c>
      <c r="C7" s="39"/>
      <c r="D7" s="39"/>
      <c r="E7" s="39"/>
      <c r="F7" s="39"/>
      <c r="G7" s="39"/>
      <c r="H7" s="39"/>
      <c r="I7" s="39"/>
      <c r="J7" s="39"/>
      <c r="K7" s="39"/>
      <c r="L7" s="39"/>
      <c r="M7" s="39"/>
      <c r="N7" s="39"/>
      <c r="O7" s="35"/>
    </row>
    <row r="8" spans="1:15" x14ac:dyDescent="0.35">
      <c r="A8" s="36"/>
      <c r="B8" s="36"/>
      <c r="C8" s="36"/>
      <c r="D8" s="36"/>
      <c r="E8" s="36"/>
      <c r="F8" s="36"/>
      <c r="G8" s="36"/>
      <c r="H8" s="36"/>
      <c r="I8" s="36"/>
      <c r="J8" s="36"/>
      <c r="K8" s="36"/>
      <c r="L8" s="36"/>
      <c r="M8" s="36"/>
      <c r="N8" s="36"/>
      <c r="O8" s="35"/>
    </row>
    <row r="9" spans="1:15" ht="15" customHeight="1" x14ac:dyDescent="0.35">
      <c r="A9" s="36"/>
      <c r="B9" s="39" t="s">
        <v>64</v>
      </c>
      <c r="C9" s="39"/>
      <c r="D9" s="39"/>
      <c r="E9" s="39"/>
      <c r="F9" s="39"/>
      <c r="G9" s="39"/>
      <c r="H9" s="39"/>
      <c r="I9" s="39"/>
      <c r="J9" s="39"/>
      <c r="K9" s="39"/>
      <c r="L9" s="39"/>
      <c r="M9" s="39"/>
      <c r="N9" s="39"/>
      <c r="O9" s="35"/>
    </row>
    <row r="10" spans="1:15" x14ac:dyDescent="0.35">
      <c r="A10" s="36"/>
      <c r="B10" s="36"/>
      <c r="C10" s="36"/>
      <c r="D10" s="36"/>
      <c r="E10" s="36"/>
      <c r="F10" s="36"/>
      <c r="G10" s="36"/>
      <c r="H10" s="36"/>
      <c r="I10" s="36"/>
      <c r="J10" s="36"/>
      <c r="K10" s="36"/>
      <c r="L10" s="36"/>
      <c r="M10" s="36"/>
      <c r="N10" s="36"/>
      <c r="O10" s="35"/>
    </row>
    <row r="11" spans="1:15" ht="30" customHeight="1" x14ac:dyDescent="0.35">
      <c r="A11" s="36"/>
      <c r="B11" s="39" t="s">
        <v>65</v>
      </c>
      <c r="C11" s="39"/>
      <c r="D11" s="39"/>
      <c r="E11" s="39"/>
      <c r="F11" s="39"/>
      <c r="G11" s="39"/>
      <c r="H11" s="39"/>
      <c r="I11" s="39"/>
      <c r="J11" s="39"/>
      <c r="K11" s="39"/>
      <c r="L11" s="39"/>
      <c r="M11" s="39"/>
      <c r="N11" s="39"/>
      <c r="O11" s="35"/>
    </row>
    <row r="12" spans="1:15" x14ac:dyDescent="0.35">
      <c r="A12" s="36"/>
      <c r="B12" s="36"/>
      <c r="C12" s="36"/>
      <c r="D12" s="36"/>
      <c r="E12" s="36"/>
      <c r="F12" s="36"/>
      <c r="G12" s="36"/>
      <c r="H12" s="36"/>
      <c r="I12" s="36"/>
      <c r="J12" s="36"/>
      <c r="K12" s="36"/>
      <c r="L12" s="36"/>
      <c r="M12" s="36"/>
      <c r="N12" s="36"/>
      <c r="O12" s="35"/>
    </row>
    <row r="13" spans="1:15" ht="15.5" x14ac:dyDescent="0.35">
      <c r="A13" s="36"/>
      <c r="B13" s="38" t="s">
        <v>66</v>
      </c>
      <c r="C13" s="36"/>
      <c r="D13" s="36"/>
      <c r="E13" s="36"/>
      <c r="F13" s="36"/>
      <c r="G13" s="36"/>
      <c r="H13" s="36"/>
      <c r="I13" s="36"/>
      <c r="J13" s="36"/>
      <c r="K13" s="36"/>
      <c r="L13" s="36"/>
      <c r="M13" s="36"/>
      <c r="N13" s="36"/>
      <c r="O13" s="35"/>
    </row>
    <row r="14" spans="1:15" ht="45" customHeight="1" x14ac:dyDescent="0.35">
      <c r="A14" s="36"/>
      <c r="B14" s="39" t="s">
        <v>67</v>
      </c>
      <c r="C14" s="39"/>
      <c r="D14" s="39"/>
      <c r="E14" s="39"/>
      <c r="F14" s="39"/>
      <c r="G14" s="39"/>
      <c r="H14" s="39"/>
      <c r="I14" s="39"/>
      <c r="J14" s="39"/>
      <c r="K14" s="39"/>
      <c r="L14" s="39"/>
      <c r="M14" s="39"/>
      <c r="N14" s="39"/>
      <c r="O14" s="35"/>
    </row>
    <row r="15" spans="1:15" x14ac:dyDescent="0.35">
      <c r="A15" s="36"/>
      <c r="B15" s="36"/>
      <c r="C15" s="36"/>
      <c r="D15" s="36"/>
      <c r="E15" s="36"/>
      <c r="F15" s="36"/>
      <c r="G15" s="36"/>
      <c r="H15" s="36"/>
      <c r="I15" s="36"/>
      <c r="J15" s="36"/>
      <c r="K15" s="36"/>
      <c r="L15" s="36"/>
      <c r="M15" s="36"/>
      <c r="N15" s="36"/>
      <c r="O15" s="35"/>
    </row>
    <row r="16" spans="1:15" ht="15.5" x14ac:dyDescent="0.35">
      <c r="A16" s="36"/>
      <c r="B16" s="38" t="s">
        <v>68</v>
      </c>
      <c r="C16" s="36"/>
      <c r="D16" s="36"/>
      <c r="E16" s="36"/>
      <c r="F16" s="36"/>
      <c r="G16" s="36"/>
      <c r="H16" s="36"/>
      <c r="I16" s="36"/>
      <c r="J16" s="36"/>
      <c r="K16" s="36"/>
      <c r="L16" s="36"/>
      <c r="M16" s="36"/>
      <c r="N16" s="36"/>
      <c r="O16" s="35"/>
    </row>
    <row r="17" spans="1:15" ht="75" customHeight="1" x14ac:dyDescent="0.35">
      <c r="A17" s="36"/>
      <c r="B17" s="39" t="s">
        <v>69</v>
      </c>
      <c r="C17" s="39"/>
      <c r="D17" s="39"/>
      <c r="E17" s="39"/>
      <c r="F17" s="39"/>
      <c r="G17" s="39"/>
      <c r="H17" s="39"/>
      <c r="I17" s="39"/>
      <c r="J17" s="39"/>
      <c r="K17" s="39"/>
      <c r="L17" s="39"/>
      <c r="M17" s="39"/>
      <c r="N17" s="39"/>
      <c r="O17" s="35"/>
    </row>
    <row r="18" spans="1:15" x14ac:dyDescent="0.35">
      <c r="A18" s="36"/>
      <c r="B18" s="36"/>
      <c r="C18" s="36"/>
      <c r="D18" s="36"/>
      <c r="E18" s="36"/>
      <c r="F18" s="36"/>
      <c r="G18" s="36"/>
      <c r="H18" s="36"/>
      <c r="I18" s="36"/>
      <c r="J18" s="36"/>
      <c r="K18" s="36"/>
      <c r="L18" s="36"/>
      <c r="M18" s="36"/>
      <c r="N18" s="36"/>
      <c r="O18" s="35"/>
    </row>
  </sheetData>
  <mergeCells count="6">
    <mergeCell ref="B17:N17"/>
    <mergeCell ref="B5:N5"/>
    <mergeCell ref="B7:N7"/>
    <mergeCell ref="B9:N9"/>
    <mergeCell ref="B11:N11"/>
    <mergeCell ref="B14:N14"/>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Given</vt:lpstr>
      <vt:lpstr>Q1</vt:lpstr>
      <vt:lpstr>Q2</vt:lpstr>
      <vt:lpstr>Q3</vt:lpstr>
      <vt:lpstr>Q4-B</vt:lpstr>
      <vt:lpstr>Q4 - C</vt:lpstr>
      <vt:lpstr>Q4 - D</vt:lpstr>
      <vt:lpstr>Q4 - Custom1</vt:lpstr>
      <vt:lpstr>Q4 - Custom2</vt:lpstr>
      <vt:lpstr>Summary</vt:lpstr>
      <vt:lpstr>Q5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Naman Jain</cp:lastModifiedBy>
  <cp:revision>0</cp:revision>
  <dcterms:created xsi:type="dcterms:W3CDTF">2026-09-23T04:17:04Z</dcterms:created>
  <dcterms:modified xsi:type="dcterms:W3CDTF">2026-09-23T05:31:19Z</dcterms:modified>
  <dc:language>en-US</dc:language>
</cp:coreProperties>
</file>