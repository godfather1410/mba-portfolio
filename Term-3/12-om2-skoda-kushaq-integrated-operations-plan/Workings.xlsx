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NeT\Desktop\"/>
    </mc:Choice>
  </mc:AlternateContent>
  <xr:revisionPtr revIDLastSave="0" documentId="13_ncr:1_{6AD12734-A31B-4E2F-A327-91F9E0D147E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PP" sheetId="1" r:id="rId1"/>
    <sheet name="BOM" sheetId="2" r:id="rId2"/>
    <sheet name="MRP" sheetId="3" r:id="rId3"/>
    <sheet name="Inventory Policy - Ty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B15" i="4" s="1"/>
  <c r="B13" i="4"/>
  <c r="B17" i="4" s="1"/>
  <c r="K122" i="3"/>
  <c r="K118" i="3"/>
  <c r="K112" i="3"/>
  <c r="J112" i="3"/>
  <c r="K108" i="3"/>
  <c r="K102" i="3"/>
  <c r="K92" i="3"/>
  <c r="J92" i="3"/>
  <c r="K82" i="3"/>
  <c r="K72" i="3"/>
  <c r="K62" i="3"/>
  <c r="K58" i="3"/>
  <c r="K52" i="3"/>
  <c r="J52" i="3"/>
  <c r="K48" i="3"/>
  <c r="K42" i="3"/>
  <c r="K98" i="3" s="1"/>
  <c r="K32" i="3"/>
  <c r="K78" i="3" s="1"/>
  <c r="K22" i="3"/>
  <c r="K68" i="3" s="1"/>
  <c r="K12" i="3"/>
  <c r="K38" i="3" s="1"/>
  <c r="B31" i="1"/>
  <c r="B30" i="1"/>
  <c r="B29" i="1"/>
  <c r="B28" i="1"/>
  <c r="B27" i="1"/>
  <c r="D22" i="1"/>
  <c r="D21" i="1"/>
  <c r="D20" i="1"/>
  <c r="D19" i="1"/>
  <c r="D18" i="1"/>
  <c r="D17" i="1"/>
  <c r="D16" i="1"/>
  <c r="D15" i="1"/>
  <c r="E15" i="1" s="1"/>
  <c r="B23" i="4" l="1"/>
  <c r="F15" i="1"/>
  <c r="D27" i="1"/>
  <c r="B26" i="4"/>
  <c r="B18" i="4"/>
  <c r="B27" i="4" s="1"/>
  <c r="B24" i="4"/>
  <c r="B16" i="4"/>
  <c r="B25" i="4" s="1"/>
  <c r="K18" i="3"/>
  <c r="K88" i="3"/>
  <c r="K28" i="3"/>
  <c r="C27" i="1"/>
  <c r="G15" i="1" l="1"/>
  <c r="H15" i="1" l="1"/>
  <c r="D8" i="3"/>
  <c r="D10" i="3" s="1"/>
  <c r="D11" i="3" s="1"/>
  <c r="D9" i="3" l="1"/>
  <c r="C16" i="1"/>
  <c r="E16" i="1" l="1"/>
  <c r="F16" i="1"/>
  <c r="G16" i="1" l="1"/>
  <c r="E8" i="3" l="1"/>
  <c r="E10" i="3" s="1"/>
  <c r="E11" i="3" s="1"/>
  <c r="H16" i="1"/>
  <c r="C17" i="1" l="1"/>
  <c r="D12" i="3"/>
  <c r="E9" i="3"/>
  <c r="D28" i="3" l="1"/>
  <c r="D30" i="3" s="1"/>
  <c r="D31" i="3" s="1"/>
  <c r="D18" i="3"/>
  <c r="D20" i="3" s="1"/>
  <c r="D21" i="3" s="1"/>
  <c r="D38" i="3"/>
  <c r="D40" i="3" s="1"/>
  <c r="D41" i="3" s="1"/>
  <c r="E17" i="1"/>
  <c r="D19" i="3" l="1"/>
  <c r="F17" i="1"/>
  <c r="D39" i="3"/>
  <c r="D29" i="3"/>
  <c r="G17" i="1" l="1"/>
  <c r="F8" i="3" l="1"/>
  <c r="F10" i="3" s="1"/>
  <c r="F11" i="3" s="1"/>
  <c r="H17" i="1"/>
  <c r="E12" i="3" l="1"/>
  <c r="F9" i="3"/>
  <c r="C18" i="1"/>
  <c r="E18" i="1" l="1"/>
  <c r="E28" i="3"/>
  <c r="E30" i="3" s="1"/>
  <c r="E31" i="3" s="1"/>
  <c r="E38" i="3"/>
  <c r="E40" i="3" s="1"/>
  <c r="E41" i="3" s="1"/>
  <c r="E18" i="3"/>
  <c r="E20" i="3" s="1"/>
  <c r="E21" i="3" s="1"/>
  <c r="D32" i="3" l="1"/>
  <c r="D78" i="3" s="1"/>
  <c r="D80" i="3" s="1"/>
  <c r="D81" i="3" s="1"/>
  <c r="E29" i="3"/>
  <c r="D22" i="3"/>
  <c r="E19" i="3"/>
  <c r="D42" i="3"/>
  <c r="E39" i="3"/>
  <c r="F18" i="1"/>
  <c r="G18" i="1" s="1"/>
  <c r="G8" i="3" l="1"/>
  <c r="G10" i="3" s="1"/>
  <c r="G11" i="3" s="1"/>
  <c r="H18" i="1"/>
  <c r="D88" i="3"/>
  <c r="D90" i="3" s="1"/>
  <c r="D91" i="3" s="1"/>
  <c r="D98" i="3"/>
  <c r="D100" i="3" s="1"/>
  <c r="D101" i="3" s="1"/>
  <c r="D58" i="3"/>
  <c r="D60" i="3" s="1"/>
  <c r="D61" i="3" s="1"/>
  <c r="D48" i="3"/>
  <c r="D50" i="3" s="1"/>
  <c r="D51" i="3" s="1"/>
  <c r="D68" i="3"/>
  <c r="D70" i="3" s="1"/>
  <c r="D71" i="3" s="1"/>
  <c r="D79" i="3"/>
  <c r="D49" i="3" l="1"/>
  <c r="D69" i="3"/>
  <c r="D59" i="3"/>
  <c r="D89" i="3"/>
  <c r="D99" i="3"/>
  <c r="C19" i="1"/>
  <c r="F12" i="3"/>
  <c r="G9" i="3"/>
  <c r="F28" i="3" l="1"/>
  <c r="F30" i="3" s="1"/>
  <c r="F31" i="3" s="1"/>
  <c r="F38" i="3"/>
  <c r="F40" i="3" s="1"/>
  <c r="F41" i="3" s="1"/>
  <c r="F18" i="3"/>
  <c r="F20" i="3" s="1"/>
  <c r="F21" i="3" s="1"/>
  <c r="E19" i="1"/>
  <c r="F19" i="1"/>
  <c r="E22" i="3" l="1"/>
  <c r="F19" i="3"/>
  <c r="G19" i="1"/>
  <c r="E32" i="3"/>
  <c r="E78" i="3" s="1"/>
  <c r="E80" i="3" s="1"/>
  <c r="E81" i="3" s="1"/>
  <c r="F29" i="3"/>
  <c r="E42" i="3"/>
  <c r="F39" i="3"/>
  <c r="E88" i="3" l="1"/>
  <c r="E90" i="3" s="1"/>
  <c r="E91" i="3" s="1"/>
  <c r="E98" i="3"/>
  <c r="E100" i="3" s="1"/>
  <c r="E101" i="3" s="1"/>
  <c r="D82" i="3"/>
  <c r="E79" i="3"/>
  <c r="H8" i="3"/>
  <c r="H10" i="3" s="1"/>
  <c r="H11" i="3" s="1"/>
  <c r="H19" i="1"/>
  <c r="E58" i="3"/>
  <c r="E60" i="3" s="1"/>
  <c r="E61" i="3" s="1"/>
  <c r="E48" i="3"/>
  <c r="E50" i="3" s="1"/>
  <c r="E51" i="3" s="1"/>
  <c r="E68" i="3"/>
  <c r="E70" i="3" s="1"/>
  <c r="E71" i="3" s="1"/>
  <c r="C20" i="1" l="1"/>
  <c r="E49" i="3"/>
  <c r="G12" i="3"/>
  <c r="H9" i="3"/>
  <c r="D102" i="3"/>
  <c r="E99" i="3"/>
  <c r="D72" i="3"/>
  <c r="E69" i="3"/>
  <c r="D62" i="3"/>
  <c r="E59" i="3"/>
  <c r="D118" i="3"/>
  <c r="D120" i="3" s="1"/>
  <c r="D121" i="3" s="1"/>
  <c r="D108" i="3"/>
  <c r="D110" i="3" s="1"/>
  <c r="D111" i="3" s="1"/>
  <c r="E89" i="3"/>
  <c r="D119" i="3" l="1"/>
  <c r="D109" i="3"/>
  <c r="G18" i="3"/>
  <c r="G20" i="3" s="1"/>
  <c r="G21" i="3" s="1"/>
  <c r="G28" i="3"/>
  <c r="G30" i="3" s="1"/>
  <c r="G31" i="3" s="1"/>
  <c r="G38" i="3"/>
  <c r="G40" i="3" s="1"/>
  <c r="G41" i="3" s="1"/>
  <c r="E20" i="1"/>
  <c r="F20" i="1" s="1"/>
  <c r="F32" i="3" l="1"/>
  <c r="F78" i="3" s="1"/>
  <c r="F80" i="3" s="1"/>
  <c r="F81" i="3" s="1"/>
  <c r="G29" i="3"/>
  <c r="F22" i="3"/>
  <c r="G19" i="3"/>
  <c r="G20" i="1"/>
  <c r="F42" i="3"/>
  <c r="G39" i="3"/>
  <c r="F88" i="3" l="1"/>
  <c r="F90" i="3" s="1"/>
  <c r="F91" i="3" s="1"/>
  <c r="F98" i="3"/>
  <c r="F100" i="3" s="1"/>
  <c r="F101" i="3" s="1"/>
  <c r="I8" i="3"/>
  <c r="I10" i="3" s="1"/>
  <c r="I11" i="3" s="1"/>
  <c r="H20" i="1"/>
  <c r="C21" i="1" s="1"/>
  <c r="F58" i="3"/>
  <c r="F60" i="3" s="1"/>
  <c r="F61" i="3" s="1"/>
  <c r="F68" i="3"/>
  <c r="F70" i="3" s="1"/>
  <c r="F71" i="3" s="1"/>
  <c r="F48" i="3"/>
  <c r="F50" i="3" s="1"/>
  <c r="F51" i="3" s="1"/>
  <c r="E82" i="3"/>
  <c r="F79" i="3"/>
  <c r="E118" i="3" l="1"/>
  <c r="E120" i="3" s="1"/>
  <c r="E121" i="3" s="1"/>
  <c r="E108" i="3"/>
  <c r="E110" i="3" s="1"/>
  <c r="E111" i="3" s="1"/>
  <c r="D52" i="3"/>
  <c r="F49" i="3"/>
  <c r="E72" i="3"/>
  <c r="F69" i="3"/>
  <c r="E62" i="3"/>
  <c r="F59" i="3"/>
  <c r="E21" i="1"/>
  <c r="F21" i="1"/>
  <c r="H12" i="3"/>
  <c r="I9" i="3"/>
  <c r="E102" i="3"/>
  <c r="F99" i="3"/>
  <c r="D92" i="3"/>
  <c r="F89" i="3"/>
  <c r="G21" i="1" l="1"/>
  <c r="H28" i="3"/>
  <c r="H30" i="3" s="1"/>
  <c r="H31" i="3" s="1"/>
  <c r="H38" i="3"/>
  <c r="H40" i="3" s="1"/>
  <c r="H41" i="3" s="1"/>
  <c r="H18" i="3"/>
  <c r="H20" i="3" s="1"/>
  <c r="H21" i="3" s="1"/>
  <c r="E109" i="3"/>
  <c r="D122" i="3"/>
  <c r="E119" i="3"/>
  <c r="G22" i="3" l="1"/>
  <c r="H19" i="3"/>
  <c r="G32" i="3"/>
  <c r="G78" i="3" s="1"/>
  <c r="G80" i="3" s="1"/>
  <c r="G81" i="3" s="1"/>
  <c r="H29" i="3"/>
  <c r="G42" i="3"/>
  <c r="H39" i="3"/>
  <c r="J8" i="3"/>
  <c r="J10" i="3" s="1"/>
  <c r="J11" i="3" s="1"/>
  <c r="H21" i="1"/>
  <c r="C22" i="1" s="1"/>
  <c r="E22" i="1" l="1"/>
  <c r="I12" i="3"/>
  <c r="J9" i="3"/>
  <c r="G98" i="3"/>
  <c r="G100" i="3" s="1"/>
  <c r="G101" i="3" s="1"/>
  <c r="G88" i="3"/>
  <c r="G90" i="3" s="1"/>
  <c r="G91" i="3" s="1"/>
  <c r="F82" i="3"/>
  <c r="G79" i="3"/>
  <c r="G58" i="3"/>
  <c r="G60" i="3" s="1"/>
  <c r="G61" i="3" s="1"/>
  <c r="G48" i="3"/>
  <c r="G50" i="3" s="1"/>
  <c r="G51" i="3" s="1"/>
  <c r="G68" i="3"/>
  <c r="G70" i="3" s="1"/>
  <c r="G71" i="3" s="1"/>
  <c r="E92" i="3" l="1"/>
  <c r="G89" i="3"/>
  <c r="F72" i="3"/>
  <c r="G69" i="3"/>
  <c r="E52" i="3"/>
  <c r="G49" i="3"/>
  <c r="F62" i="3"/>
  <c r="G59" i="3"/>
  <c r="F118" i="3"/>
  <c r="F120" i="3" s="1"/>
  <c r="F121" i="3" s="1"/>
  <c r="F108" i="3"/>
  <c r="F110" i="3" s="1"/>
  <c r="F111" i="3" s="1"/>
  <c r="F102" i="3"/>
  <c r="G99" i="3"/>
  <c r="I18" i="3"/>
  <c r="I20" i="3" s="1"/>
  <c r="I21" i="3" s="1"/>
  <c r="I38" i="3"/>
  <c r="I40" i="3" s="1"/>
  <c r="I41" i="3" s="1"/>
  <c r="I28" i="3"/>
  <c r="I30" i="3" s="1"/>
  <c r="I31" i="3" s="1"/>
  <c r="C28" i="1"/>
  <c r="D28" i="1" s="1"/>
  <c r="F22" i="1"/>
  <c r="C29" i="1" s="1"/>
  <c r="D29" i="1" s="1"/>
  <c r="H32" i="3" l="1"/>
  <c r="H78" i="3" s="1"/>
  <c r="H80" i="3" s="1"/>
  <c r="H81" i="3" s="1"/>
  <c r="I29" i="3"/>
  <c r="D112" i="3"/>
  <c r="F109" i="3"/>
  <c r="H22" i="3"/>
  <c r="I19" i="3"/>
  <c r="G22" i="1"/>
  <c r="H42" i="3"/>
  <c r="I39" i="3"/>
  <c r="E122" i="3"/>
  <c r="F119" i="3"/>
  <c r="H98" i="3" l="1"/>
  <c r="H100" i="3" s="1"/>
  <c r="H101" i="3" s="1"/>
  <c r="H88" i="3"/>
  <c r="H90" i="3" s="1"/>
  <c r="H91" i="3" s="1"/>
  <c r="H58" i="3"/>
  <c r="H60" i="3" s="1"/>
  <c r="H61" i="3" s="1"/>
  <c r="H68" i="3"/>
  <c r="H70" i="3" s="1"/>
  <c r="H71" i="3" s="1"/>
  <c r="H48" i="3"/>
  <c r="H50" i="3" s="1"/>
  <c r="H51" i="3" s="1"/>
  <c r="G82" i="3"/>
  <c r="H79" i="3"/>
  <c r="K8" i="3"/>
  <c r="K10" i="3" s="1"/>
  <c r="K11" i="3" s="1"/>
  <c r="H22" i="1"/>
  <c r="G72" i="3" l="1"/>
  <c r="H69" i="3"/>
  <c r="C30" i="1"/>
  <c r="D30" i="1" s="1"/>
  <c r="D32" i="1" s="1"/>
  <c r="C31" i="1"/>
  <c r="D31" i="1" s="1"/>
  <c r="F92" i="3"/>
  <c r="H89" i="3"/>
  <c r="J12" i="3"/>
  <c r="K9" i="3"/>
  <c r="G118" i="3"/>
  <c r="G120" i="3" s="1"/>
  <c r="G121" i="3" s="1"/>
  <c r="G108" i="3"/>
  <c r="G110" i="3" s="1"/>
  <c r="G111" i="3" s="1"/>
  <c r="F52" i="3"/>
  <c r="H49" i="3"/>
  <c r="G62" i="3"/>
  <c r="H59" i="3"/>
  <c r="G102" i="3"/>
  <c r="H99" i="3"/>
  <c r="F122" i="3" l="1"/>
  <c r="G119" i="3"/>
  <c r="J28" i="3"/>
  <c r="J30" i="3" s="1"/>
  <c r="J31" i="3" s="1"/>
  <c r="J38" i="3"/>
  <c r="J40" i="3" s="1"/>
  <c r="J41" i="3" s="1"/>
  <c r="J18" i="3"/>
  <c r="J20" i="3" s="1"/>
  <c r="J21" i="3" s="1"/>
  <c r="E112" i="3"/>
  <c r="G109" i="3"/>
  <c r="I42" i="3" l="1"/>
  <c r="J39" i="3"/>
  <c r="I22" i="3"/>
  <c r="J19" i="3"/>
  <c r="I32" i="3"/>
  <c r="I78" i="3" s="1"/>
  <c r="I80" i="3" s="1"/>
  <c r="I81" i="3" s="1"/>
  <c r="J29" i="3"/>
  <c r="K30" i="3" l="1"/>
  <c r="K31" i="3" s="1"/>
  <c r="J32" i="3" s="1"/>
  <c r="J78" i="3" s="1"/>
  <c r="H82" i="3"/>
  <c r="I79" i="3"/>
  <c r="K20" i="3"/>
  <c r="K21" i="3" s="1"/>
  <c r="J22" i="3" s="1"/>
  <c r="I68" i="3"/>
  <c r="I70" i="3" s="1"/>
  <c r="I71" i="3" s="1"/>
  <c r="I48" i="3"/>
  <c r="I50" i="3" s="1"/>
  <c r="I51" i="3" s="1"/>
  <c r="I58" i="3"/>
  <c r="I60" i="3" s="1"/>
  <c r="I61" i="3" s="1"/>
  <c r="K40" i="3"/>
  <c r="K41" i="3" s="1"/>
  <c r="J42" i="3" s="1"/>
  <c r="I98" i="3"/>
  <c r="I100" i="3" s="1"/>
  <c r="I101" i="3" s="1"/>
  <c r="I88" i="3"/>
  <c r="I90" i="3" s="1"/>
  <c r="I91" i="3" s="1"/>
  <c r="G92" i="3" l="1"/>
  <c r="I89" i="3"/>
  <c r="G52" i="3"/>
  <c r="I49" i="3"/>
  <c r="J98" i="3"/>
  <c r="J88" i="3"/>
  <c r="J90" i="3" s="1"/>
  <c r="J91" i="3" s="1"/>
  <c r="H92" i="3" s="1"/>
  <c r="K39" i="3"/>
  <c r="J48" i="3"/>
  <c r="J50" i="3" s="1"/>
  <c r="J51" i="3" s="1"/>
  <c r="H52" i="3" s="1"/>
  <c r="J68" i="3"/>
  <c r="J58" i="3"/>
  <c r="H102" i="3"/>
  <c r="I99" i="3"/>
  <c r="H62" i="3"/>
  <c r="I59" i="3"/>
  <c r="H72" i="3"/>
  <c r="I69" i="3"/>
  <c r="K19" i="3"/>
  <c r="H118" i="3"/>
  <c r="H120" i="3" s="1"/>
  <c r="H121" i="3" s="1"/>
  <c r="H108" i="3"/>
  <c r="H110" i="3" s="1"/>
  <c r="H111" i="3" s="1"/>
  <c r="J80" i="3"/>
  <c r="J81" i="3" s="1"/>
  <c r="I82" i="3" s="1"/>
  <c r="K29" i="3"/>
  <c r="I108" i="3" l="1"/>
  <c r="I118" i="3"/>
  <c r="J70" i="3"/>
  <c r="J71" i="3" s="1"/>
  <c r="I72" i="3" s="1"/>
  <c r="F112" i="3"/>
  <c r="H109" i="3"/>
  <c r="J69" i="3"/>
  <c r="J89" i="3"/>
  <c r="G122" i="3"/>
  <c r="H119" i="3"/>
  <c r="J79" i="3"/>
  <c r="J60" i="3"/>
  <c r="J61" i="3" s="1"/>
  <c r="I62" i="3" s="1"/>
  <c r="J100" i="3"/>
  <c r="J101" i="3" s="1"/>
  <c r="I102" i="3" s="1"/>
  <c r="J49" i="3"/>
  <c r="K50" i="3" l="1"/>
  <c r="K51" i="3" s="1"/>
  <c r="I52" i="3" s="1"/>
  <c r="K49" i="3"/>
  <c r="J59" i="3"/>
  <c r="K90" i="3"/>
  <c r="K91" i="3" s="1"/>
  <c r="I92" i="3" s="1"/>
  <c r="K70" i="3"/>
  <c r="K71" i="3" s="1"/>
  <c r="J72" i="3" s="1"/>
  <c r="I120" i="3"/>
  <c r="I121" i="3" s="1"/>
  <c r="H122" i="3" s="1"/>
  <c r="K80" i="3"/>
  <c r="K81" i="3" s="1"/>
  <c r="J82" i="3" s="1"/>
  <c r="J99" i="3"/>
  <c r="I110" i="3"/>
  <c r="I111" i="3" s="1"/>
  <c r="G112" i="3" s="1"/>
  <c r="K100" i="3" l="1"/>
  <c r="K101" i="3" s="1"/>
  <c r="J102" i="3" s="1"/>
  <c r="J118" i="3"/>
  <c r="J108" i="3"/>
  <c r="K79" i="3"/>
  <c r="I109" i="3"/>
  <c r="K69" i="3"/>
  <c r="K89" i="3"/>
  <c r="I119" i="3"/>
  <c r="K60" i="3"/>
  <c r="K61" i="3" s="1"/>
  <c r="J62" i="3" s="1"/>
  <c r="K59" i="3" l="1"/>
  <c r="J110" i="3"/>
  <c r="J111" i="3" s="1"/>
  <c r="H112" i="3" s="1"/>
  <c r="J120" i="3"/>
  <c r="J121" i="3" s="1"/>
  <c r="I122" i="3" s="1"/>
  <c r="K99" i="3"/>
  <c r="J109" i="3" l="1"/>
  <c r="J119" i="3"/>
  <c r="K120" i="3" l="1"/>
  <c r="K121" i="3" s="1"/>
  <c r="J122" i="3" s="1"/>
  <c r="K110" i="3"/>
  <c r="K111" i="3" s="1"/>
  <c r="I112" i="3" s="1"/>
  <c r="K109" i="3"/>
  <c r="K119" i="3" l="1"/>
</calcChain>
</file>

<file path=xl/sharedStrings.xml><?xml version="1.0" encoding="utf-8"?>
<sst xmlns="http://schemas.openxmlformats.org/spreadsheetml/2006/main" count="248" uniqueCount="100">
  <si>
    <t>Parameters</t>
  </si>
  <si>
    <t>Regular-time production (RP, units/month)</t>
  </si>
  <si>
    <t>Overtime cap (OT_MAX, units/month)</t>
  </si>
  <si>
    <t>Subcontract cap (SC_MAX, units/month)</t>
  </si>
  <si>
    <t>Regular-time cost (Rs/unit)</t>
  </si>
  <si>
    <t>Overtime cost (Rs/unit)</t>
  </si>
  <si>
    <t>Subcontract cost (Rs/unit)</t>
  </si>
  <si>
    <t>Holding cost (Rs/unit/month)</t>
  </si>
  <si>
    <t>Backorder cost (Rs/unit/month)</t>
  </si>
  <si>
    <t>Month-by-month plan</t>
  </si>
  <si>
    <t>Month</t>
  </si>
  <si>
    <t>Demand</t>
  </si>
  <si>
    <t>Beg. Inv/(Backlog)</t>
  </si>
  <si>
    <t>Regular Prod (RP)</t>
  </si>
  <si>
    <t>Overtime (OT)</t>
  </si>
  <si>
    <t>Subcontract (SC)</t>
  </si>
  <si>
    <t>Total Supply</t>
  </si>
  <si>
    <t>End Inv/(Backlog)</t>
  </si>
  <si>
    <t>Cost Breakdown</t>
  </si>
  <si>
    <t>Cost component</t>
  </si>
  <si>
    <t>Rate</t>
  </si>
  <si>
    <t>Quantity (formula)</t>
  </si>
  <si>
    <t>Cost (Rs)</t>
  </si>
  <si>
    <t>Regular time</t>
  </si>
  <si>
    <t>Overtime</t>
  </si>
  <si>
    <t>Subcontract</t>
  </si>
  <si>
    <t>Inventory holding</t>
  </si>
  <si>
    <t>Backorder</t>
  </si>
  <si>
    <t>TOTAL APP COST (Rs)</t>
  </si>
  <si>
    <t>Item</t>
  </si>
  <si>
    <t>Level</t>
  </si>
  <si>
    <t>Parent</t>
  </si>
  <si>
    <t>Qty/Parent</t>
  </si>
  <si>
    <t>Lot rule</t>
  </si>
  <si>
    <t>Lot size</t>
  </si>
  <si>
    <t>Lead time (mo.)</t>
  </si>
  <si>
    <t>On-hand inv.</t>
  </si>
  <si>
    <t>Skoda Kushaq (finished vehicle)</t>
  </si>
  <si>
    <t>—</t>
  </si>
  <si>
    <t>L4L</t>
  </si>
  <si>
    <t>Engine Assembly</t>
  </si>
  <si>
    <t>Kushaq</t>
  </si>
  <si>
    <t>Chassis Assembly</t>
  </si>
  <si>
    <t>Body Assembly</t>
  </si>
  <si>
    <t>Engine Block</t>
  </si>
  <si>
    <t>FOQ</t>
  </si>
  <si>
    <t>Wiring Harness</t>
  </si>
  <si>
    <t>Fastener Kit</t>
  </si>
  <si>
    <t>Engine Asm.(x2)/Chassis Asm.(x3)</t>
  </si>
  <si>
    <t>2 / 3</t>
  </si>
  <si>
    <t>Wheel &amp; Tyre Sub-assembly</t>
  </si>
  <si>
    <t>Steel Body Panel Set</t>
  </si>
  <si>
    <t>Paint (litres)</t>
  </si>
  <si>
    <t>Tyre</t>
  </si>
  <si>
    <t>Wheel &amp; Tyre Sub-asm.</t>
  </si>
  <si>
    <t>Alloy Rim</t>
  </si>
  <si>
    <t>Period</t>
  </si>
  <si>
    <t>M1</t>
  </si>
  <si>
    <t>M2</t>
  </si>
  <si>
    <t>M3</t>
  </si>
  <si>
    <t>M4</t>
  </si>
  <si>
    <t>M5</t>
  </si>
  <si>
    <t>M6</t>
  </si>
  <si>
    <t>M7</t>
  </si>
  <si>
    <t>M8</t>
  </si>
  <si>
    <t>Item:</t>
  </si>
  <si>
    <t>OH:</t>
  </si>
  <si>
    <t>LT (mo):</t>
  </si>
  <si>
    <t>Lot rule:</t>
  </si>
  <si>
    <t>Gross Requirements</t>
  </si>
  <si>
    <t>Projected Avail. Balance</t>
  </si>
  <si>
    <t>Net Requirements</t>
  </si>
  <si>
    <t>Planned Order Receipts</t>
  </si>
  <si>
    <t>Planned Order Releases</t>
  </si>
  <si>
    <t>Inputs (assumptions)</t>
  </si>
  <si>
    <t>Mean monthly demand, D̄ (tyres/month)</t>
  </si>
  <si>
    <t>Std. dev. of monthly demand, σ (tyres/month)</t>
  </si>
  <si>
    <t>Supplier lead time, LT (months)</t>
  </si>
  <si>
    <t>Ordering/setup cost, S (Rs/order)</t>
  </si>
  <si>
    <t>Holding cost, H (Rs/tyre/month)</t>
  </si>
  <si>
    <t>Cycle service level (Z-value)</t>
  </si>
  <si>
    <t>Formulas and results</t>
  </si>
  <si>
    <t>Economic Order Quantity, Q* = √(2 × D̄ × S / H)</t>
  </si>
  <si>
    <t>Std. dev. of demand during lead time, σ_LT = σ × √LT</t>
  </si>
  <si>
    <t>Safety Stock, SS = Z × σ_LT</t>
  </si>
  <si>
    <t>Reorder Point, ROP = (D̄ × LT) + SS</t>
  </si>
  <si>
    <t>Orders per year = (D̄ × 12) / Q*</t>
  </si>
  <si>
    <t>Cycle length (days) = 365 / Orders per year</t>
  </si>
  <si>
    <t>Resulting Policy Summary</t>
  </si>
  <si>
    <t>Parameter</t>
  </si>
  <si>
    <t>Value</t>
  </si>
  <si>
    <t>Order quantity (Q*, EOQ, rounded)</t>
  </si>
  <si>
    <t>Safety stock (SS, rounded)</t>
  </si>
  <si>
    <t>Reorder point (ROP, rounded)</t>
  </si>
  <si>
    <t>Approx. orders per year</t>
  </si>
  <si>
    <t>Approx. cycle length (days)</t>
  </si>
  <si>
    <t>Aggregate Production Plan (Hybrid Strategy) - Skoda Kushaq</t>
  </si>
  <si>
    <t>Bill of Materials - Skoda Kushaq</t>
  </si>
  <si>
    <t>Material Requirements Planning - Skoda Kushaq (all items, Months 1 - 8)</t>
  </si>
  <si>
    <t>Continuous Review (Q-Model) Inventory Policy - 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</si>
</sst>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/>
    <xf numFmtId="164" fontId="2" fillId="0" borderId="0" xfId="0" applyNumberFormat="1" applyFont="1"/>
    <xf numFmtId="0" fontId="6" fillId="0" borderId="0" xfId="0" applyFont="1"/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7823200" cy="438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651250"/>
          <a:ext cx="7823200" cy="4381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showGridLines="0" workbookViewId="0">
      <selection activeCell="F31" sqref="F31"/>
    </sheetView>
  </sheetViews>
  <sheetFormatPr defaultRowHeight="14.5" x14ac:dyDescent="0.35"/>
  <cols>
    <col min="1" max="1" width="39.6328125" style="1" customWidth="1"/>
    <col min="2" max="2" width="22" style="1" customWidth="1"/>
    <col min="3" max="11" width="10" style="1" customWidth="1"/>
    <col min="12" max="12" width="14" style="1" customWidth="1"/>
    <col min="13" max="16384" width="8.7265625" style="1"/>
  </cols>
  <sheetData>
    <row r="1" spans="1:13" ht="17" x14ac:dyDescent="0.4">
      <c r="A1" s="18" t="s">
        <v>96</v>
      </c>
      <c r="B1" s="18"/>
      <c r="C1" s="18"/>
      <c r="D1" s="18"/>
      <c r="E1" s="18"/>
      <c r="F1"/>
      <c r="G1"/>
      <c r="H1"/>
      <c r="I1"/>
    </row>
    <row r="2" spans="1:13" x14ac:dyDescent="0.35">
      <c r="A2"/>
      <c r="B2"/>
      <c r="C2"/>
      <c r="D2"/>
      <c r="E2"/>
      <c r="F2"/>
      <c r="G2"/>
      <c r="H2"/>
      <c r="I2"/>
      <c r="J2"/>
      <c r="K2" s="3"/>
      <c r="L2" s="3"/>
      <c r="M2" s="8"/>
    </row>
    <row r="3" spans="1:13" x14ac:dyDescent="0.35">
      <c r="A3" s="5" t="s">
        <v>0</v>
      </c>
      <c r="C3"/>
      <c r="D3"/>
      <c r="E3"/>
      <c r="F3"/>
      <c r="G3"/>
      <c r="H3"/>
      <c r="I3"/>
      <c r="J3"/>
      <c r="M3" s="2"/>
    </row>
    <row r="4" spans="1:13" x14ac:dyDescent="0.35">
      <c r="A4" s="1" t="s">
        <v>1</v>
      </c>
      <c r="B4" s="1">
        <v>1350</v>
      </c>
      <c r="C4"/>
      <c r="D4"/>
      <c r="E4"/>
      <c r="F4"/>
      <c r="G4"/>
      <c r="H4"/>
      <c r="I4"/>
      <c r="J4"/>
      <c r="M4" s="2"/>
    </row>
    <row r="5" spans="1:13" x14ac:dyDescent="0.35">
      <c r="A5" s="1" t="s">
        <v>2</v>
      </c>
      <c r="B5" s="1">
        <v>250</v>
      </c>
      <c r="C5"/>
      <c r="D5"/>
      <c r="E5"/>
      <c r="F5"/>
      <c r="G5"/>
      <c r="H5"/>
      <c r="I5"/>
      <c r="J5"/>
      <c r="M5" s="2"/>
    </row>
    <row r="6" spans="1:13" x14ac:dyDescent="0.35">
      <c r="A6" s="1" t="s">
        <v>3</v>
      </c>
      <c r="B6" s="1">
        <v>300</v>
      </c>
      <c r="C6"/>
      <c r="D6"/>
      <c r="E6"/>
      <c r="F6"/>
      <c r="G6"/>
      <c r="H6"/>
      <c r="I6"/>
      <c r="J6"/>
      <c r="M6" s="2"/>
    </row>
    <row r="7" spans="1:13" x14ac:dyDescent="0.35">
      <c r="A7" s="1" t="s">
        <v>4</v>
      </c>
      <c r="B7" s="1">
        <v>700000</v>
      </c>
      <c r="C7"/>
      <c r="D7"/>
      <c r="E7"/>
      <c r="F7"/>
      <c r="G7"/>
      <c r="H7"/>
      <c r="I7"/>
      <c r="J7"/>
      <c r="M7" s="2"/>
    </row>
    <row r="8" spans="1:13" x14ac:dyDescent="0.35">
      <c r="A8" s="1" t="s">
        <v>5</v>
      </c>
      <c r="B8" s="1">
        <v>750000</v>
      </c>
      <c r="C8"/>
      <c r="D8"/>
      <c r="E8"/>
      <c r="F8"/>
      <c r="G8"/>
      <c r="H8"/>
      <c r="I8"/>
      <c r="J8"/>
      <c r="M8" s="2"/>
    </row>
    <row r="9" spans="1:13" x14ac:dyDescent="0.35">
      <c r="A9" s="1" t="s">
        <v>6</v>
      </c>
      <c r="B9" s="1">
        <v>780000</v>
      </c>
      <c r="C9"/>
      <c r="D9"/>
      <c r="E9"/>
      <c r="F9"/>
      <c r="G9"/>
      <c r="H9"/>
      <c r="I9"/>
      <c r="J9"/>
      <c r="M9" s="2"/>
    </row>
    <row r="10" spans="1:13" x14ac:dyDescent="0.35">
      <c r="A10" s="1" t="s">
        <v>7</v>
      </c>
      <c r="B10" s="1">
        <v>5000</v>
      </c>
      <c r="C10"/>
      <c r="D10"/>
      <c r="E10"/>
      <c r="F10"/>
      <c r="G10"/>
      <c r="H10"/>
      <c r="I10"/>
      <c r="J10"/>
      <c r="M10" s="2"/>
    </row>
    <row r="11" spans="1:13" x14ac:dyDescent="0.35">
      <c r="A11" s="1" t="s">
        <v>8</v>
      </c>
      <c r="B11" s="1">
        <v>15000</v>
      </c>
      <c r="C11"/>
      <c r="D11"/>
      <c r="E11"/>
      <c r="F11"/>
      <c r="G11"/>
      <c r="H11"/>
      <c r="I11"/>
      <c r="J11"/>
      <c r="M11" s="2"/>
    </row>
    <row r="12" spans="1:13" x14ac:dyDescent="0.35">
      <c r="A12"/>
      <c r="B12"/>
      <c r="C12"/>
      <c r="D12"/>
      <c r="E12"/>
      <c r="F12"/>
      <c r="G12"/>
      <c r="H12"/>
      <c r="I12"/>
      <c r="J12"/>
      <c r="M12" s="2"/>
    </row>
    <row r="13" spans="1:13" x14ac:dyDescent="0.35">
      <c r="A13" s="5" t="s">
        <v>9</v>
      </c>
      <c r="I13"/>
      <c r="J13"/>
      <c r="M13" s="2"/>
    </row>
    <row r="14" spans="1:13" ht="36" x14ac:dyDescent="0.35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/>
      <c r="J14"/>
      <c r="M14" s="2"/>
    </row>
    <row r="15" spans="1:13" x14ac:dyDescent="0.35">
      <c r="A15" s="7">
        <v>1</v>
      </c>
      <c r="B15" s="7">
        <v>1000</v>
      </c>
      <c r="C15" s="7">
        <v>0</v>
      </c>
      <c r="D15" s="7">
        <f t="shared" ref="D15:D22" si="0">$B$4</f>
        <v>1350</v>
      </c>
      <c r="E15" s="7">
        <f t="shared" ref="E15:E22" si="1">MIN($B$5, MAX(0, B15-(C15+D15)))</f>
        <v>0</v>
      </c>
      <c r="F15" s="7">
        <f t="shared" ref="F15:F22" si="2">MIN($B$6, MAX(0, B15-(C15+D15+E15)))</f>
        <v>0</v>
      </c>
      <c r="G15" s="7">
        <f t="shared" ref="G15:G22" si="3">D15+E15+F15</f>
        <v>1350</v>
      </c>
      <c r="H15" s="7">
        <f t="shared" ref="H15:H22" si="4">C15+G15-B15</f>
        <v>350</v>
      </c>
      <c r="I15"/>
      <c r="J15"/>
      <c r="M15" s="2"/>
    </row>
    <row r="16" spans="1:13" x14ac:dyDescent="0.35">
      <c r="A16" s="7">
        <v>2</v>
      </c>
      <c r="B16" s="7">
        <v>1100</v>
      </c>
      <c r="C16" s="7">
        <f t="shared" ref="C16:C22" si="5">H15</f>
        <v>350</v>
      </c>
      <c r="D16" s="7">
        <f t="shared" si="0"/>
        <v>1350</v>
      </c>
      <c r="E16" s="7">
        <f t="shared" si="1"/>
        <v>0</v>
      </c>
      <c r="F16" s="7">
        <f t="shared" si="2"/>
        <v>0</v>
      </c>
      <c r="G16" s="7">
        <f t="shared" si="3"/>
        <v>1350</v>
      </c>
      <c r="H16" s="7">
        <f t="shared" si="4"/>
        <v>600</v>
      </c>
      <c r="I16"/>
      <c r="J16"/>
      <c r="M16" s="2"/>
    </row>
    <row r="17" spans="1:13" x14ac:dyDescent="0.35">
      <c r="A17" s="7">
        <v>3</v>
      </c>
      <c r="B17" s="7">
        <v>1300</v>
      </c>
      <c r="C17" s="7">
        <f t="shared" si="5"/>
        <v>600</v>
      </c>
      <c r="D17" s="7">
        <f t="shared" si="0"/>
        <v>1350</v>
      </c>
      <c r="E17" s="7">
        <f t="shared" si="1"/>
        <v>0</v>
      </c>
      <c r="F17" s="7">
        <f t="shared" si="2"/>
        <v>0</v>
      </c>
      <c r="G17" s="7">
        <f t="shared" si="3"/>
        <v>1350</v>
      </c>
      <c r="H17" s="7">
        <f t="shared" si="4"/>
        <v>650</v>
      </c>
      <c r="I17"/>
      <c r="J17"/>
      <c r="M17" s="2"/>
    </row>
    <row r="18" spans="1:13" x14ac:dyDescent="0.35">
      <c r="A18" s="7">
        <v>4</v>
      </c>
      <c r="B18" s="7">
        <v>1700</v>
      </c>
      <c r="C18" s="7">
        <f t="shared" si="5"/>
        <v>650</v>
      </c>
      <c r="D18" s="7">
        <f t="shared" si="0"/>
        <v>1350</v>
      </c>
      <c r="E18" s="7">
        <f t="shared" si="1"/>
        <v>0</v>
      </c>
      <c r="F18" s="7">
        <f t="shared" si="2"/>
        <v>0</v>
      </c>
      <c r="G18" s="7">
        <f t="shared" si="3"/>
        <v>1350</v>
      </c>
      <c r="H18" s="7">
        <f t="shared" si="4"/>
        <v>300</v>
      </c>
      <c r="I18"/>
      <c r="J18"/>
      <c r="M18" s="2"/>
    </row>
    <row r="19" spans="1:13" x14ac:dyDescent="0.35">
      <c r="A19" s="7">
        <v>5</v>
      </c>
      <c r="B19" s="7">
        <v>2100</v>
      </c>
      <c r="C19" s="7">
        <f t="shared" si="5"/>
        <v>300</v>
      </c>
      <c r="D19" s="7">
        <f t="shared" si="0"/>
        <v>1350</v>
      </c>
      <c r="E19" s="7">
        <f t="shared" si="1"/>
        <v>250</v>
      </c>
      <c r="F19" s="7">
        <f t="shared" si="2"/>
        <v>200</v>
      </c>
      <c r="G19" s="7">
        <f t="shared" si="3"/>
        <v>1800</v>
      </c>
      <c r="H19" s="7">
        <f t="shared" si="4"/>
        <v>0</v>
      </c>
      <c r="I19"/>
      <c r="J19"/>
      <c r="M19" s="2"/>
    </row>
    <row r="20" spans="1:13" x14ac:dyDescent="0.35">
      <c r="A20" s="7">
        <v>6</v>
      </c>
      <c r="B20" s="7">
        <v>2200</v>
      </c>
      <c r="C20" s="7">
        <f t="shared" si="5"/>
        <v>0</v>
      </c>
      <c r="D20" s="7">
        <f t="shared" si="0"/>
        <v>1350</v>
      </c>
      <c r="E20" s="7">
        <f t="shared" si="1"/>
        <v>250</v>
      </c>
      <c r="F20" s="7">
        <f t="shared" si="2"/>
        <v>300</v>
      </c>
      <c r="G20" s="7">
        <f t="shared" si="3"/>
        <v>1900</v>
      </c>
      <c r="H20" s="7">
        <f t="shared" si="4"/>
        <v>-300</v>
      </c>
      <c r="I20"/>
      <c r="J20"/>
      <c r="M20" s="2"/>
    </row>
    <row r="21" spans="1:13" x14ac:dyDescent="0.35">
      <c r="A21" s="7">
        <v>7</v>
      </c>
      <c r="B21" s="7">
        <v>1800</v>
      </c>
      <c r="C21" s="7">
        <f t="shared" si="5"/>
        <v>-300</v>
      </c>
      <c r="D21" s="7">
        <f t="shared" si="0"/>
        <v>1350</v>
      </c>
      <c r="E21" s="7">
        <f t="shared" si="1"/>
        <v>250</v>
      </c>
      <c r="F21" s="7">
        <f t="shared" si="2"/>
        <v>300</v>
      </c>
      <c r="G21" s="7">
        <f t="shared" si="3"/>
        <v>1900</v>
      </c>
      <c r="H21" s="7">
        <f t="shared" si="4"/>
        <v>-200</v>
      </c>
      <c r="I21"/>
      <c r="J21"/>
      <c r="M21" s="2"/>
    </row>
    <row r="22" spans="1:13" x14ac:dyDescent="0.35">
      <c r="A22" s="7">
        <v>8</v>
      </c>
      <c r="B22" s="7">
        <v>1300</v>
      </c>
      <c r="C22" s="7">
        <f t="shared" si="5"/>
        <v>-200</v>
      </c>
      <c r="D22" s="7">
        <f t="shared" si="0"/>
        <v>1350</v>
      </c>
      <c r="E22" s="7">
        <f t="shared" si="1"/>
        <v>150</v>
      </c>
      <c r="F22" s="7">
        <f t="shared" si="2"/>
        <v>0</v>
      </c>
      <c r="G22" s="7">
        <f t="shared" si="3"/>
        <v>1500</v>
      </c>
      <c r="H22" s="7">
        <f t="shared" si="4"/>
        <v>0</v>
      </c>
      <c r="I22"/>
      <c r="J22"/>
      <c r="M22" s="2"/>
    </row>
    <row r="23" spans="1:13" x14ac:dyDescent="0.35">
      <c r="A23"/>
      <c r="B23"/>
      <c r="C23"/>
      <c r="D23"/>
      <c r="E23"/>
      <c r="F23"/>
      <c r="G23"/>
      <c r="H23"/>
      <c r="I23"/>
      <c r="J23"/>
      <c r="M23" s="2"/>
    </row>
    <row r="24" spans="1:13" x14ac:dyDescent="0.35">
      <c r="A24" s="16"/>
      <c r="B24" s="16"/>
      <c r="C24"/>
      <c r="D24"/>
      <c r="E24"/>
      <c r="F24"/>
      <c r="G24"/>
      <c r="H24"/>
      <c r="I24"/>
      <c r="J24"/>
      <c r="M24" s="2"/>
    </row>
    <row r="25" spans="1:13" x14ac:dyDescent="0.35">
      <c r="A25" s="4" t="s">
        <v>18</v>
      </c>
      <c r="B25"/>
      <c r="C25"/>
      <c r="D25"/>
      <c r="E25"/>
      <c r="F25"/>
      <c r="G25"/>
      <c r="H25"/>
      <c r="I25"/>
      <c r="J25"/>
      <c r="M25" s="2"/>
    </row>
    <row r="26" spans="1:13" ht="48" x14ac:dyDescent="0.35">
      <c r="A26" s="6" t="s">
        <v>19</v>
      </c>
      <c r="B26" s="6" t="s">
        <v>20</v>
      </c>
      <c r="C26" s="6" t="s">
        <v>21</v>
      </c>
      <c r="D26" s="6" t="s">
        <v>22</v>
      </c>
      <c r="E26"/>
      <c r="F26"/>
      <c r="G26"/>
      <c r="H26"/>
      <c r="I26"/>
      <c r="J26"/>
      <c r="M26" s="2"/>
    </row>
    <row r="27" spans="1:13" ht="36" x14ac:dyDescent="0.35">
      <c r="A27" s="7" t="s">
        <v>23</v>
      </c>
      <c r="B27" s="7">
        <f>$B$7</f>
        <v>700000</v>
      </c>
      <c r="C27" s="7">
        <f>SUM(D15:D22)</f>
        <v>10800</v>
      </c>
      <c r="D27" s="7">
        <f>B27*C27</f>
        <v>7560000000</v>
      </c>
      <c r="E27"/>
      <c r="F27"/>
      <c r="G27"/>
      <c r="H27"/>
      <c r="I27"/>
      <c r="J27"/>
      <c r="M27" s="2"/>
    </row>
    <row r="28" spans="1:13" ht="24" x14ac:dyDescent="0.35">
      <c r="A28" s="7" t="s">
        <v>24</v>
      </c>
      <c r="B28" s="7">
        <f>$B$8</f>
        <v>750000</v>
      </c>
      <c r="C28" s="7">
        <f>SUM(E15:E22)</f>
        <v>900</v>
      </c>
      <c r="D28" s="7">
        <f>B28*C28</f>
        <v>675000000</v>
      </c>
      <c r="E28"/>
      <c r="F28"/>
      <c r="G28"/>
      <c r="H28"/>
      <c r="I28"/>
      <c r="J28"/>
      <c r="M28" s="2"/>
    </row>
    <row r="29" spans="1:13" ht="36" x14ac:dyDescent="0.35">
      <c r="A29" s="7" t="s">
        <v>25</v>
      </c>
      <c r="B29" s="7">
        <f>$B$9</f>
        <v>780000</v>
      </c>
      <c r="C29" s="7">
        <f>SUM(F15:F22)</f>
        <v>800</v>
      </c>
      <c r="D29" s="7">
        <f>B29*C29</f>
        <v>624000000</v>
      </c>
      <c r="E29"/>
      <c r="F29"/>
      <c r="G29"/>
      <c r="H29"/>
      <c r="I29"/>
      <c r="J29"/>
      <c r="M29" s="2"/>
    </row>
    <row r="30" spans="1:13" x14ac:dyDescent="0.35">
      <c r="A30" s="7" t="s">
        <v>26</v>
      </c>
      <c r="B30" s="7">
        <f>$B$10</f>
        <v>5000</v>
      </c>
      <c r="C30" s="7">
        <f>SUMIF(H15:H22,"&gt;0")</f>
        <v>1900</v>
      </c>
      <c r="D30" s="7">
        <f>B30*C30</f>
        <v>9500000</v>
      </c>
      <c r="E30"/>
      <c r="F30"/>
      <c r="G30"/>
      <c r="H30"/>
      <c r="I30"/>
      <c r="J30"/>
      <c r="M30" s="2"/>
    </row>
    <row r="31" spans="1:13" x14ac:dyDescent="0.35">
      <c r="A31" s="17" t="s">
        <v>27</v>
      </c>
      <c r="B31" s="17">
        <f>$B$11</f>
        <v>15000</v>
      </c>
      <c r="C31" s="17">
        <f>-SUMIF(H15:H22,"&lt;0")</f>
        <v>500</v>
      </c>
      <c r="D31" s="17">
        <f>B31*C31</f>
        <v>7500000</v>
      </c>
      <c r="E31"/>
      <c r="F31"/>
      <c r="G31"/>
      <c r="H31"/>
      <c r="I31"/>
      <c r="J31"/>
      <c r="M31" s="2"/>
    </row>
    <row r="32" spans="1:13" x14ac:dyDescent="0.35">
      <c r="A32" s="6" t="s">
        <v>28</v>
      </c>
      <c r="B32" s="6"/>
      <c r="C32" s="6"/>
      <c r="D32" s="6">
        <f>SUM(D27:D31)</f>
        <v>8876000000</v>
      </c>
      <c r="E32"/>
      <c r="F32"/>
      <c r="G32"/>
      <c r="H32"/>
      <c r="I32"/>
      <c r="J32"/>
      <c r="M32" s="2"/>
    </row>
    <row r="33" spans="1:13" x14ac:dyDescent="0.35">
      <c r="A33"/>
      <c r="B33"/>
      <c r="C33"/>
      <c r="D33"/>
      <c r="E33"/>
      <c r="F33"/>
      <c r="G33"/>
      <c r="H33"/>
      <c r="I33"/>
      <c r="J33"/>
      <c r="K33" s="2"/>
      <c r="M33" s="2"/>
    </row>
    <row r="34" spans="1:13" x14ac:dyDescent="0.35">
      <c r="A34"/>
      <c r="B34"/>
      <c r="C34"/>
      <c r="D34"/>
      <c r="E34"/>
      <c r="F34"/>
      <c r="G34"/>
      <c r="H34"/>
      <c r="I34"/>
      <c r="J34"/>
      <c r="K34" s="2"/>
      <c r="M34" s="2"/>
    </row>
    <row r="35" spans="1:13" x14ac:dyDescent="0.35">
      <c r="A35"/>
      <c r="B35"/>
      <c r="C35"/>
      <c r="D35"/>
      <c r="E35"/>
      <c r="F35"/>
      <c r="G35"/>
      <c r="H35"/>
      <c r="I35"/>
      <c r="J35"/>
      <c r="K35" s="2"/>
      <c r="M35" s="2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</row>
  </sheetData>
  <mergeCells count="1">
    <mergeCell ref="A1:E1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topLeftCell="A7" workbookViewId="0">
      <selection activeCell="I32" sqref="I32"/>
    </sheetView>
  </sheetViews>
  <sheetFormatPr defaultRowHeight="14.5" x14ac:dyDescent="0.35"/>
  <cols>
    <col min="1" max="1" width="26" style="1" customWidth="1"/>
    <col min="2" max="2" width="7" style="1" customWidth="1"/>
    <col min="3" max="3" width="24" style="1" customWidth="1"/>
    <col min="4" max="4" width="10" style="1" customWidth="1"/>
    <col min="5" max="5" width="13" style="1" customWidth="1"/>
    <col min="6" max="7" width="11" style="1" customWidth="1"/>
    <col min="8" max="8" width="13" style="1" customWidth="1"/>
    <col min="9" max="16384" width="8.7265625" style="1"/>
  </cols>
  <sheetData>
    <row r="1" spans="1:9" ht="17" x14ac:dyDescent="0.4">
      <c r="A1" s="19" t="s">
        <v>97</v>
      </c>
      <c r="B1" s="20"/>
      <c r="C1" s="20"/>
      <c r="D1" s="20"/>
      <c r="E1" s="20"/>
      <c r="F1" s="20"/>
      <c r="G1" s="20"/>
      <c r="H1" s="20"/>
      <c r="I1"/>
    </row>
    <row r="2" spans="1:9" x14ac:dyDescent="0.35">
      <c r="A2"/>
      <c r="B2"/>
      <c r="C2"/>
      <c r="D2"/>
      <c r="E2"/>
      <c r="F2"/>
      <c r="G2"/>
      <c r="H2"/>
      <c r="I2"/>
    </row>
    <row r="3" spans="1:9" ht="24" x14ac:dyDescent="0.35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/>
    </row>
    <row r="4" spans="1:9" x14ac:dyDescent="0.35">
      <c r="A4" s="7" t="s">
        <v>37</v>
      </c>
      <c r="B4" s="7">
        <v>0</v>
      </c>
      <c r="C4" s="7" t="s">
        <v>38</v>
      </c>
      <c r="D4" s="7">
        <v>1</v>
      </c>
      <c r="E4" s="7" t="s">
        <v>39</v>
      </c>
      <c r="F4" s="7" t="s">
        <v>38</v>
      </c>
      <c r="G4" s="7">
        <v>1</v>
      </c>
      <c r="H4" s="7">
        <v>15</v>
      </c>
      <c r="I4"/>
    </row>
    <row r="5" spans="1:9" x14ac:dyDescent="0.35">
      <c r="A5" s="7" t="s">
        <v>40</v>
      </c>
      <c r="B5" s="7">
        <v>1</v>
      </c>
      <c r="C5" s="7" t="s">
        <v>41</v>
      </c>
      <c r="D5" s="7">
        <v>1</v>
      </c>
      <c r="E5" s="7" t="s">
        <v>39</v>
      </c>
      <c r="F5" s="7" t="s">
        <v>38</v>
      </c>
      <c r="G5" s="7">
        <v>1</v>
      </c>
      <c r="H5" s="7">
        <v>0</v>
      </c>
      <c r="I5"/>
    </row>
    <row r="6" spans="1:9" x14ac:dyDescent="0.35">
      <c r="A6" s="7" t="s">
        <v>42</v>
      </c>
      <c r="B6" s="7">
        <v>1</v>
      </c>
      <c r="C6" s="7" t="s">
        <v>41</v>
      </c>
      <c r="D6" s="7">
        <v>1</v>
      </c>
      <c r="E6" s="7" t="s">
        <v>39</v>
      </c>
      <c r="F6" s="7" t="s">
        <v>38</v>
      </c>
      <c r="G6" s="7">
        <v>1</v>
      </c>
      <c r="H6" s="7">
        <v>0</v>
      </c>
      <c r="I6"/>
    </row>
    <row r="7" spans="1:9" x14ac:dyDescent="0.35">
      <c r="A7" s="7" t="s">
        <v>43</v>
      </c>
      <c r="B7" s="7">
        <v>1</v>
      </c>
      <c r="C7" s="7" t="s">
        <v>41</v>
      </c>
      <c r="D7" s="7">
        <v>1</v>
      </c>
      <c r="E7" s="7" t="s">
        <v>39</v>
      </c>
      <c r="F7" s="7" t="s">
        <v>38</v>
      </c>
      <c r="G7" s="7">
        <v>1</v>
      </c>
      <c r="H7" s="7">
        <v>0</v>
      </c>
      <c r="I7"/>
    </row>
    <row r="8" spans="1:9" x14ac:dyDescent="0.35">
      <c r="A8" s="7" t="s">
        <v>44</v>
      </c>
      <c r="B8" s="7">
        <v>2</v>
      </c>
      <c r="C8" s="7" t="s">
        <v>40</v>
      </c>
      <c r="D8" s="7">
        <v>1</v>
      </c>
      <c r="E8" s="7" t="s">
        <v>45</v>
      </c>
      <c r="F8" s="7">
        <v>2000</v>
      </c>
      <c r="G8" s="7">
        <v>2</v>
      </c>
      <c r="H8" s="7">
        <v>1000</v>
      </c>
      <c r="I8"/>
    </row>
    <row r="9" spans="1:9" x14ac:dyDescent="0.35">
      <c r="A9" s="7" t="s">
        <v>46</v>
      </c>
      <c r="B9" s="7">
        <v>2</v>
      </c>
      <c r="C9" s="7" t="s">
        <v>40</v>
      </c>
      <c r="D9" s="7">
        <v>1</v>
      </c>
      <c r="E9" s="7" t="s">
        <v>39</v>
      </c>
      <c r="F9" s="7" t="s">
        <v>38</v>
      </c>
      <c r="G9" s="7">
        <v>1</v>
      </c>
      <c r="H9" s="7">
        <v>0</v>
      </c>
      <c r="I9"/>
    </row>
    <row r="10" spans="1:9" x14ac:dyDescent="0.35">
      <c r="A10" s="7" t="s">
        <v>47</v>
      </c>
      <c r="B10" s="7">
        <v>2</v>
      </c>
      <c r="C10" s="7" t="s">
        <v>48</v>
      </c>
      <c r="D10" s="7" t="s">
        <v>49</v>
      </c>
      <c r="E10" s="7" t="s">
        <v>45</v>
      </c>
      <c r="F10" s="7">
        <v>8000</v>
      </c>
      <c r="G10" s="7">
        <v>1</v>
      </c>
      <c r="H10" s="7">
        <v>6000</v>
      </c>
      <c r="I10"/>
    </row>
    <row r="11" spans="1:9" x14ac:dyDescent="0.35">
      <c r="A11" s="7" t="s">
        <v>50</v>
      </c>
      <c r="B11" s="7">
        <v>2</v>
      </c>
      <c r="C11" s="7" t="s">
        <v>42</v>
      </c>
      <c r="D11" s="7">
        <v>4</v>
      </c>
      <c r="E11" s="7" t="s">
        <v>39</v>
      </c>
      <c r="F11" s="7" t="s">
        <v>38</v>
      </c>
      <c r="G11" s="7">
        <v>1</v>
      </c>
      <c r="H11" s="7">
        <v>0</v>
      </c>
      <c r="I11"/>
    </row>
    <row r="12" spans="1:9" x14ac:dyDescent="0.35">
      <c r="A12" s="7" t="s">
        <v>51</v>
      </c>
      <c r="B12" s="7">
        <v>2</v>
      </c>
      <c r="C12" s="7" t="s">
        <v>43</v>
      </c>
      <c r="D12" s="7">
        <v>1</v>
      </c>
      <c r="E12" s="7" t="s">
        <v>45</v>
      </c>
      <c r="F12" s="7">
        <v>2000</v>
      </c>
      <c r="G12" s="7">
        <v>2</v>
      </c>
      <c r="H12" s="7">
        <v>1000</v>
      </c>
      <c r="I12"/>
    </row>
    <row r="13" spans="1:9" x14ac:dyDescent="0.35">
      <c r="A13" s="7" t="s">
        <v>52</v>
      </c>
      <c r="B13" s="7">
        <v>2</v>
      </c>
      <c r="C13" s="7" t="s">
        <v>43</v>
      </c>
      <c r="D13" s="7">
        <v>3</v>
      </c>
      <c r="E13" s="7" t="s">
        <v>45</v>
      </c>
      <c r="F13" s="7">
        <v>5000</v>
      </c>
      <c r="G13" s="7">
        <v>1</v>
      </c>
      <c r="H13" s="7">
        <v>0</v>
      </c>
      <c r="I13"/>
    </row>
    <row r="14" spans="1:9" x14ac:dyDescent="0.35">
      <c r="A14" s="7" t="s">
        <v>53</v>
      </c>
      <c r="B14" s="7">
        <v>3</v>
      </c>
      <c r="C14" s="7" t="s">
        <v>54</v>
      </c>
      <c r="D14" s="7">
        <v>1</v>
      </c>
      <c r="E14" s="7" t="s">
        <v>45</v>
      </c>
      <c r="F14" s="7">
        <v>6000</v>
      </c>
      <c r="G14" s="7">
        <v>2</v>
      </c>
      <c r="H14" s="7">
        <v>0</v>
      </c>
      <c r="I14"/>
    </row>
    <row r="15" spans="1:9" x14ac:dyDescent="0.35">
      <c r="A15" s="7" t="s">
        <v>55</v>
      </c>
      <c r="B15" s="7">
        <v>3</v>
      </c>
      <c r="C15" s="7" t="s">
        <v>54</v>
      </c>
      <c r="D15" s="7">
        <v>1</v>
      </c>
      <c r="E15" s="7" t="s">
        <v>39</v>
      </c>
      <c r="F15" s="7" t="s">
        <v>38</v>
      </c>
      <c r="G15" s="7">
        <v>1</v>
      </c>
      <c r="H15" s="7">
        <v>0</v>
      </c>
      <c r="I15"/>
    </row>
    <row r="16" spans="1:9" x14ac:dyDescent="0.35">
      <c r="A16"/>
      <c r="B16"/>
      <c r="C16"/>
      <c r="D16"/>
      <c r="E16"/>
      <c r="F16"/>
      <c r="G16"/>
      <c r="H16"/>
      <c r="I16"/>
    </row>
    <row r="17" spans="1:9" x14ac:dyDescent="0.35">
      <c r="A17"/>
      <c r="B17"/>
      <c r="C17"/>
      <c r="D17"/>
      <c r="E17"/>
      <c r="F17"/>
      <c r="G17"/>
      <c r="H17"/>
      <c r="I17"/>
    </row>
    <row r="18" spans="1:9" x14ac:dyDescent="0.35">
      <c r="A18"/>
      <c r="B18"/>
      <c r="C18"/>
      <c r="D18"/>
      <c r="E18"/>
      <c r="F18"/>
      <c r="G18"/>
      <c r="H18"/>
      <c r="I18"/>
    </row>
    <row r="19" spans="1:9" x14ac:dyDescent="0.35">
      <c r="A19"/>
      <c r="B19"/>
      <c r="C19"/>
      <c r="D19"/>
      <c r="E19"/>
      <c r="F19"/>
      <c r="G19"/>
      <c r="H19"/>
      <c r="I19"/>
    </row>
    <row r="20" spans="1:9" x14ac:dyDescent="0.35">
      <c r="A20"/>
      <c r="B20"/>
      <c r="C20"/>
      <c r="D20"/>
      <c r="E20"/>
      <c r="F20"/>
      <c r="G20"/>
      <c r="H20"/>
      <c r="I20"/>
    </row>
    <row r="21" spans="1:9" x14ac:dyDescent="0.35">
      <c r="A21"/>
      <c r="B21"/>
      <c r="C21"/>
      <c r="D21"/>
      <c r="E21"/>
      <c r="F21"/>
      <c r="G21"/>
      <c r="H21"/>
      <c r="I21"/>
    </row>
    <row r="22" spans="1:9" x14ac:dyDescent="0.35">
      <c r="A22"/>
      <c r="B22"/>
      <c r="C22"/>
      <c r="D22"/>
      <c r="E22"/>
      <c r="F22"/>
      <c r="G22"/>
      <c r="H22"/>
      <c r="I22"/>
    </row>
    <row r="23" spans="1:9" x14ac:dyDescent="0.35">
      <c r="A23"/>
      <c r="B23"/>
      <c r="C23"/>
      <c r="D23"/>
      <c r="E23"/>
      <c r="F23"/>
      <c r="G23"/>
      <c r="H23"/>
      <c r="I23"/>
    </row>
    <row r="24" spans="1:9" x14ac:dyDescent="0.35">
      <c r="A24"/>
      <c r="B24"/>
      <c r="C24"/>
      <c r="D24"/>
      <c r="E24"/>
      <c r="F24"/>
      <c r="G24"/>
      <c r="H24"/>
      <c r="I24"/>
    </row>
    <row r="25" spans="1:9" x14ac:dyDescent="0.35">
      <c r="A25"/>
      <c r="B25"/>
      <c r="C25"/>
      <c r="D25"/>
      <c r="E25"/>
      <c r="F25"/>
      <c r="G25"/>
      <c r="H25"/>
      <c r="I25"/>
    </row>
    <row r="26" spans="1:9" x14ac:dyDescent="0.35">
      <c r="A26"/>
      <c r="B26"/>
      <c r="C26"/>
      <c r="D26"/>
      <c r="E26"/>
      <c r="F26"/>
      <c r="G26"/>
      <c r="H26"/>
      <c r="I26"/>
    </row>
    <row r="27" spans="1:9" x14ac:dyDescent="0.35">
      <c r="A27"/>
      <c r="B27"/>
      <c r="C27"/>
      <c r="D27"/>
      <c r="E27"/>
      <c r="F27"/>
      <c r="G27"/>
      <c r="H27"/>
      <c r="I27"/>
    </row>
    <row r="28" spans="1:9" x14ac:dyDescent="0.35">
      <c r="A28"/>
      <c r="B28"/>
      <c r="C28"/>
      <c r="D28"/>
      <c r="E28"/>
      <c r="F28"/>
      <c r="G28"/>
      <c r="H28"/>
      <c r="I28"/>
    </row>
    <row r="29" spans="1:9" x14ac:dyDescent="0.35">
      <c r="A29"/>
      <c r="B29"/>
      <c r="C29"/>
      <c r="D29"/>
      <c r="E29"/>
      <c r="F29"/>
      <c r="G29"/>
      <c r="H29"/>
      <c r="I29"/>
    </row>
    <row r="30" spans="1:9" x14ac:dyDescent="0.35">
      <c r="A30"/>
      <c r="B30"/>
      <c r="C30"/>
      <c r="D30"/>
      <c r="E30"/>
      <c r="F30"/>
      <c r="G30"/>
      <c r="H30"/>
      <c r="I30"/>
    </row>
    <row r="31" spans="1:9" x14ac:dyDescent="0.35">
      <c r="A31"/>
      <c r="B31"/>
      <c r="C31"/>
      <c r="D31"/>
      <c r="E31"/>
      <c r="F31"/>
      <c r="G31"/>
      <c r="H31"/>
      <c r="I31"/>
    </row>
    <row r="32" spans="1:9" x14ac:dyDescent="0.35">
      <c r="A32"/>
      <c r="B32"/>
      <c r="C32"/>
      <c r="D32"/>
      <c r="E32"/>
      <c r="F32"/>
      <c r="G32"/>
      <c r="H32"/>
      <c r="I32"/>
    </row>
    <row r="33" spans="1:9" x14ac:dyDescent="0.35">
      <c r="A33"/>
      <c r="B33"/>
      <c r="C33"/>
      <c r="D33"/>
      <c r="E33"/>
      <c r="F33"/>
      <c r="G33"/>
      <c r="H33"/>
      <c r="I33"/>
    </row>
    <row r="34" spans="1:9" x14ac:dyDescent="0.35">
      <c r="A34"/>
      <c r="B34"/>
      <c r="C34"/>
      <c r="D34"/>
      <c r="E34"/>
      <c r="F34"/>
      <c r="G34"/>
      <c r="H34"/>
      <c r="I34"/>
    </row>
    <row r="35" spans="1:9" x14ac:dyDescent="0.35">
      <c r="A35"/>
      <c r="B35"/>
      <c r="C35"/>
      <c r="D35"/>
      <c r="E35"/>
      <c r="F35"/>
      <c r="G35"/>
      <c r="H35"/>
      <c r="I35"/>
    </row>
    <row r="36" spans="1:9" x14ac:dyDescent="0.35">
      <c r="A36"/>
      <c r="B36"/>
      <c r="C36"/>
      <c r="D36"/>
      <c r="E36"/>
      <c r="F36"/>
      <c r="G36"/>
      <c r="H36"/>
      <c r="I36"/>
    </row>
    <row r="37" spans="1:9" x14ac:dyDescent="0.35">
      <c r="A37"/>
      <c r="B37"/>
      <c r="C37"/>
      <c r="D37"/>
      <c r="E37"/>
      <c r="F37"/>
      <c r="G37"/>
      <c r="H37"/>
      <c r="I37"/>
    </row>
    <row r="38" spans="1:9" x14ac:dyDescent="0.35">
      <c r="A38"/>
      <c r="B38"/>
      <c r="C38"/>
      <c r="D38"/>
      <c r="E38"/>
      <c r="F38"/>
      <c r="G38"/>
      <c r="H38"/>
      <c r="I38"/>
    </row>
    <row r="39" spans="1:9" x14ac:dyDescent="0.35">
      <c r="A39"/>
      <c r="B39"/>
      <c r="C39"/>
      <c r="D39"/>
      <c r="E39"/>
      <c r="F39"/>
      <c r="G39"/>
      <c r="H39"/>
      <c r="I39"/>
    </row>
    <row r="40" spans="1:9" x14ac:dyDescent="0.35">
      <c r="A40"/>
      <c r="B40"/>
      <c r="C40"/>
      <c r="D40"/>
      <c r="E40"/>
      <c r="F40"/>
      <c r="G40"/>
      <c r="H40"/>
      <c r="I40"/>
    </row>
    <row r="41" spans="1:9" x14ac:dyDescent="0.35">
      <c r="A41"/>
      <c r="B41"/>
      <c r="C41"/>
      <c r="D41"/>
      <c r="E41"/>
      <c r="F41"/>
      <c r="G41"/>
      <c r="H41"/>
      <c r="I41"/>
    </row>
    <row r="42" spans="1:9" x14ac:dyDescent="0.35">
      <c r="A42"/>
      <c r="B42"/>
      <c r="C42"/>
      <c r="D42"/>
      <c r="E42"/>
      <c r="F42"/>
      <c r="G42"/>
      <c r="H42"/>
      <c r="I42"/>
    </row>
    <row r="43" spans="1:9" x14ac:dyDescent="0.35">
      <c r="A43"/>
      <c r="B43"/>
      <c r="C43"/>
      <c r="D43"/>
      <c r="E43"/>
      <c r="F43"/>
      <c r="G43"/>
      <c r="H43"/>
      <c r="I43"/>
    </row>
    <row r="44" spans="1:9" x14ac:dyDescent="0.35">
      <c r="A44"/>
      <c r="B44"/>
      <c r="C44"/>
      <c r="D44"/>
      <c r="E44"/>
      <c r="F44"/>
      <c r="G44"/>
      <c r="H44"/>
      <c r="I44"/>
    </row>
  </sheetData>
  <mergeCells count="1">
    <mergeCell ref="A1:H1"/>
  </mergeCell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1"/>
  <sheetViews>
    <sheetView showGridLines="0" tabSelected="1" topLeftCell="A106" workbookViewId="0">
      <selection activeCell="F128" sqref="F128"/>
    </sheetView>
  </sheetViews>
  <sheetFormatPr defaultRowHeight="14.5" x14ac:dyDescent="0.35"/>
  <cols>
    <col min="1" max="1" width="7.6328125" style="1" bestFit="1" customWidth="1"/>
    <col min="2" max="2" width="11.90625" style="23" customWidth="1"/>
    <col min="3" max="3" width="21.08984375" style="1" bestFit="1" customWidth="1"/>
    <col min="4" max="11" width="10" style="1" customWidth="1"/>
    <col min="12" max="12" width="3.7265625" style="1" customWidth="1"/>
    <col min="13" max="13" width="3" style="1" customWidth="1"/>
    <col min="14" max="14" width="3.26953125" style="1" customWidth="1"/>
    <col min="15" max="16384" width="8.7265625" style="1"/>
  </cols>
  <sheetData>
    <row r="1" spans="1:14" x14ac:dyDescent="0.35">
      <c r="A1" s="21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/>
      <c r="M1"/>
      <c r="N1"/>
    </row>
    <row r="2" spans="1:14" ht="20" customHeight="1" x14ac:dyDescent="0.35"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" t="s">
        <v>62</v>
      </c>
      <c r="J2" s="10" t="s">
        <v>63</v>
      </c>
      <c r="K2" s="10" t="s">
        <v>64</v>
      </c>
      <c r="L2"/>
      <c r="M2"/>
      <c r="N2"/>
    </row>
    <row r="3" spans="1:14" ht="20" customHeight="1" x14ac:dyDescent="0.35">
      <c r="L3"/>
      <c r="M3"/>
      <c r="N3"/>
    </row>
    <row r="4" spans="1:14" ht="71" customHeight="1" x14ac:dyDescent="0.35">
      <c r="A4" s="5" t="s">
        <v>65</v>
      </c>
      <c r="B4" s="24" t="s">
        <v>37</v>
      </c>
      <c r="L4"/>
      <c r="M4"/>
      <c r="N4"/>
    </row>
    <row r="5" spans="1:14" ht="20" customHeight="1" x14ac:dyDescent="0.35">
      <c r="A5" s="1" t="s">
        <v>66</v>
      </c>
      <c r="B5" s="23">
        <v>15</v>
      </c>
      <c r="L5"/>
      <c r="M5"/>
      <c r="N5"/>
    </row>
    <row r="6" spans="1:14" ht="20" customHeight="1" x14ac:dyDescent="0.35">
      <c r="A6" s="1" t="s">
        <v>67</v>
      </c>
      <c r="B6" s="23">
        <v>1</v>
      </c>
      <c r="L6"/>
      <c r="M6"/>
      <c r="N6"/>
    </row>
    <row r="7" spans="1:14" ht="20" customHeight="1" x14ac:dyDescent="0.35">
      <c r="A7" s="1" t="s">
        <v>68</v>
      </c>
      <c r="B7" s="23" t="s">
        <v>39</v>
      </c>
      <c r="L7"/>
      <c r="M7"/>
      <c r="N7"/>
    </row>
    <row r="8" spans="1:14" ht="20" customHeight="1" x14ac:dyDescent="0.35">
      <c r="C8" s="12" t="s">
        <v>69</v>
      </c>
      <c r="D8" s="13">
        <f>APP!G15</f>
        <v>1350</v>
      </c>
      <c r="E8" s="13">
        <f>APP!G16</f>
        <v>1350</v>
      </c>
      <c r="F8" s="13">
        <f>APP!G17</f>
        <v>1350</v>
      </c>
      <c r="G8" s="13">
        <f>APP!G18</f>
        <v>1350</v>
      </c>
      <c r="H8" s="13">
        <f>APP!G19</f>
        <v>1800</v>
      </c>
      <c r="I8" s="13">
        <f>APP!G20</f>
        <v>1900</v>
      </c>
      <c r="J8" s="13">
        <f>APP!G21</f>
        <v>1900</v>
      </c>
      <c r="K8" s="13">
        <f>APP!G22</f>
        <v>1500</v>
      </c>
      <c r="L8"/>
      <c r="M8"/>
      <c r="N8"/>
    </row>
    <row r="9" spans="1:14" ht="20" customHeight="1" x14ac:dyDescent="0.35">
      <c r="C9" s="9" t="s">
        <v>70</v>
      </c>
      <c r="D9" s="10">
        <f>$B$5+D11-D8</f>
        <v>0</v>
      </c>
      <c r="E9" s="10">
        <f t="shared" ref="E9:K9" si="0">D9+E11-E8</f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/>
      <c r="M9"/>
      <c r="N9"/>
    </row>
    <row r="10" spans="1:14" ht="20" customHeight="1" x14ac:dyDescent="0.35">
      <c r="C10" s="12" t="s">
        <v>71</v>
      </c>
      <c r="D10" s="13">
        <f>MAX(0,D8-$B$5)</f>
        <v>1335</v>
      </c>
      <c r="E10" s="13">
        <f t="shared" ref="E10:K10" si="1">MAX(0,E8-D9)</f>
        <v>1350</v>
      </c>
      <c r="F10" s="13">
        <f t="shared" si="1"/>
        <v>1350</v>
      </c>
      <c r="G10" s="13">
        <f t="shared" si="1"/>
        <v>1350</v>
      </c>
      <c r="H10" s="13">
        <f t="shared" si="1"/>
        <v>1800</v>
      </c>
      <c r="I10" s="13">
        <f t="shared" si="1"/>
        <v>1900</v>
      </c>
      <c r="J10" s="13">
        <f t="shared" si="1"/>
        <v>1900</v>
      </c>
      <c r="K10" s="13">
        <f t="shared" si="1"/>
        <v>1500</v>
      </c>
      <c r="L10"/>
      <c r="M10"/>
      <c r="N10"/>
    </row>
    <row r="11" spans="1:14" ht="20" customHeight="1" x14ac:dyDescent="0.35">
      <c r="C11" s="12" t="s">
        <v>72</v>
      </c>
      <c r="D11" s="13">
        <f t="shared" ref="D11:K11" si="2">D10</f>
        <v>1335</v>
      </c>
      <c r="E11" s="13">
        <f t="shared" si="2"/>
        <v>1350</v>
      </c>
      <c r="F11" s="13">
        <f t="shared" si="2"/>
        <v>1350</v>
      </c>
      <c r="G11" s="13">
        <f t="shared" si="2"/>
        <v>1350</v>
      </c>
      <c r="H11" s="13">
        <f t="shared" si="2"/>
        <v>1800</v>
      </c>
      <c r="I11" s="13">
        <f t="shared" si="2"/>
        <v>1900</v>
      </c>
      <c r="J11" s="13">
        <f t="shared" si="2"/>
        <v>1900</v>
      </c>
      <c r="K11" s="13">
        <f t="shared" si="2"/>
        <v>1500</v>
      </c>
      <c r="L11"/>
      <c r="M11"/>
      <c r="N11"/>
    </row>
    <row r="12" spans="1:14" ht="20" customHeight="1" x14ac:dyDescent="0.35">
      <c r="C12" s="12" t="s">
        <v>73</v>
      </c>
      <c r="D12" s="13">
        <f>D11+E11</f>
        <v>2685</v>
      </c>
      <c r="E12" s="13">
        <f t="shared" ref="E12:J12" si="3">F11</f>
        <v>1350</v>
      </c>
      <c r="F12" s="13">
        <f t="shared" si="3"/>
        <v>1350</v>
      </c>
      <c r="G12" s="13">
        <f t="shared" si="3"/>
        <v>1800</v>
      </c>
      <c r="H12" s="13">
        <f t="shared" si="3"/>
        <v>1900</v>
      </c>
      <c r="I12" s="13">
        <f t="shared" si="3"/>
        <v>1900</v>
      </c>
      <c r="J12" s="13">
        <f t="shared" si="3"/>
        <v>1500</v>
      </c>
      <c r="K12" s="13">
        <f>0</f>
        <v>0</v>
      </c>
      <c r="L12"/>
      <c r="M12"/>
      <c r="N12"/>
    </row>
    <row r="13" spans="1:14" ht="20" customHeight="1" x14ac:dyDescent="0.35">
      <c r="L13"/>
      <c r="M13"/>
      <c r="N13"/>
    </row>
    <row r="14" spans="1:14" ht="29" x14ac:dyDescent="0.35">
      <c r="A14" s="5" t="s">
        <v>65</v>
      </c>
      <c r="B14" s="24" t="s">
        <v>40</v>
      </c>
      <c r="L14"/>
      <c r="M14"/>
      <c r="N14"/>
    </row>
    <row r="15" spans="1:14" ht="20" customHeight="1" x14ac:dyDescent="0.35">
      <c r="A15" s="1" t="s">
        <v>66</v>
      </c>
      <c r="B15" s="23">
        <v>0</v>
      </c>
      <c r="L15"/>
      <c r="M15"/>
      <c r="N15"/>
    </row>
    <row r="16" spans="1:14" ht="20" customHeight="1" x14ac:dyDescent="0.35">
      <c r="A16" s="1" t="s">
        <v>67</v>
      </c>
      <c r="B16" s="23">
        <v>1</v>
      </c>
      <c r="L16"/>
      <c r="M16"/>
      <c r="N16"/>
    </row>
    <row r="17" spans="1:14" ht="20" customHeight="1" x14ac:dyDescent="0.35">
      <c r="A17" s="1" t="s">
        <v>68</v>
      </c>
      <c r="B17" s="23" t="s">
        <v>39</v>
      </c>
      <c r="L17"/>
      <c r="M17"/>
      <c r="N17"/>
    </row>
    <row r="18" spans="1:14" ht="20" customHeight="1" x14ac:dyDescent="0.35">
      <c r="C18" s="12" t="s">
        <v>69</v>
      </c>
      <c r="D18" s="13">
        <f t="shared" ref="D18:K18" si="4">D12*1</f>
        <v>2685</v>
      </c>
      <c r="E18" s="13">
        <f t="shared" si="4"/>
        <v>1350</v>
      </c>
      <c r="F18" s="13">
        <f t="shared" si="4"/>
        <v>1350</v>
      </c>
      <c r="G18" s="13">
        <f t="shared" si="4"/>
        <v>1800</v>
      </c>
      <c r="H18" s="13">
        <f t="shared" si="4"/>
        <v>1900</v>
      </c>
      <c r="I18" s="13">
        <f t="shared" si="4"/>
        <v>1900</v>
      </c>
      <c r="J18" s="13">
        <f t="shared" si="4"/>
        <v>1500</v>
      </c>
      <c r="K18" s="13">
        <f t="shared" si="4"/>
        <v>0</v>
      </c>
      <c r="L18"/>
      <c r="M18"/>
      <c r="N18"/>
    </row>
    <row r="19" spans="1:14" ht="20" customHeight="1" x14ac:dyDescent="0.35">
      <c r="C19" s="9" t="s">
        <v>70</v>
      </c>
      <c r="D19" s="10">
        <f>$B$15+D21-D18</f>
        <v>0</v>
      </c>
      <c r="E19" s="10">
        <f t="shared" ref="E19:K19" si="5">D19+E21-E18</f>
        <v>0</v>
      </c>
      <c r="F19" s="10">
        <f t="shared" si="5"/>
        <v>0</v>
      </c>
      <c r="G19" s="10">
        <f t="shared" si="5"/>
        <v>0</v>
      </c>
      <c r="H19" s="10">
        <f t="shared" si="5"/>
        <v>0</v>
      </c>
      <c r="I19" s="10">
        <f t="shared" si="5"/>
        <v>0</v>
      </c>
      <c r="J19" s="10">
        <f t="shared" si="5"/>
        <v>0</v>
      </c>
      <c r="K19" s="10">
        <f t="shared" si="5"/>
        <v>0</v>
      </c>
      <c r="L19"/>
      <c r="M19"/>
      <c r="N19"/>
    </row>
    <row r="20" spans="1:14" ht="20" customHeight="1" x14ac:dyDescent="0.35">
      <c r="C20" s="12" t="s">
        <v>71</v>
      </c>
      <c r="D20" s="13">
        <f>MAX(0,D18-$B$15)</f>
        <v>2685</v>
      </c>
      <c r="E20" s="13">
        <f t="shared" ref="E20:K20" si="6">MAX(0,E18-D19)</f>
        <v>1350</v>
      </c>
      <c r="F20" s="13">
        <f t="shared" si="6"/>
        <v>1350</v>
      </c>
      <c r="G20" s="13">
        <f t="shared" si="6"/>
        <v>1800</v>
      </c>
      <c r="H20" s="13">
        <f t="shared" si="6"/>
        <v>1900</v>
      </c>
      <c r="I20" s="13">
        <f t="shared" si="6"/>
        <v>1900</v>
      </c>
      <c r="J20" s="13">
        <f t="shared" si="6"/>
        <v>1500</v>
      </c>
      <c r="K20" s="13">
        <f t="shared" si="6"/>
        <v>0</v>
      </c>
      <c r="L20"/>
      <c r="M20"/>
      <c r="N20"/>
    </row>
    <row r="21" spans="1:14" ht="20" customHeight="1" x14ac:dyDescent="0.35">
      <c r="C21" s="12" t="s">
        <v>72</v>
      </c>
      <c r="D21" s="13">
        <f t="shared" ref="D21:K21" si="7">D20</f>
        <v>2685</v>
      </c>
      <c r="E21" s="13">
        <f t="shared" si="7"/>
        <v>1350</v>
      </c>
      <c r="F21" s="13">
        <f t="shared" si="7"/>
        <v>1350</v>
      </c>
      <c r="G21" s="13">
        <f t="shared" si="7"/>
        <v>1800</v>
      </c>
      <c r="H21" s="13">
        <f t="shared" si="7"/>
        <v>1900</v>
      </c>
      <c r="I21" s="13">
        <f t="shared" si="7"/>
        <v>1900</v>
      </c>
      <c r="J21" s="13">
        <f t="shared" si="7"/>
        <v>1500</v>
      </c>
      <c r="K21" s="13">
        <f t="shared" si="7"/>
        <v>0</v>
      </c>
      <c r="L21"/>
      <c r="M21"/>
      <c r="N21"/>
    </row>
    <row r="22" spans="1:14" ht="20" customHeight="1" x14ac:dyDescent="0.35">
      <c r="C22" s="12" t="s">
        <v>73</v>
      </c>
      <c r="D22" s="13">
        <f>D21+E21</f>
        <v>4035</v>
      </c>
      <c r="E22" s="13">
        <f t="shared" ref="E22:J22" si="8">F21</f>
        <v>1350</v>
      </c>
      <c r="F22" s="13">
        <f t="shared" si="8"/>
        <v>1800</v>
      </c>
      <c r="G22" s="13">
        <f t="shared" si="8"/>
        <v>1900</v>
      </c>
      <c r="H22" s="13">
        <f t="shared" si="8"/>
        <v>1900</v>
      </c>
      <c r="I22" s="13">
        <f t="shared" si="8"/>
        <v>1500</v>
      </c>
      <c r="J22" s="13">
        <f t="shared" si="8"/>
        <v>0</v>
      </c>
      <c r="K22" s="13">
        <f>0</f>
        <v>0</v>
      </c>
      <c r="L22"/>
      <c r="M22"/>
      <c r="N22"/>
    </row>
    <row r="23" spans="1:14" ht="20" customHeight="1" x14ac:dyDescent="0.35">
      <c r="L23"/>
      <c r="M23"/>
      <c r="N23"/>
    </row>
    <row r="24" spans="1:14" ht="29" x14ac:dyDescent="0.35">
      <c r="A24" s="5" t="s">
        <v>65</v>
      </c>
      <c r="B24" s="24" t="s">
        <v>42</v>
      </c>
      <c r="L24"/>
      <c r="M24"/>
      <c r="N24"/>
    </row>
    <row r="25" spans="1:14" ht="20" customHeight="1" x14ac:dyDescent="0.35">
      <c r="A25" s="1" t="s">
        <v>66</v>
      </c>
      <c r="B25" s="23">
        <v>0</v>
      </c>
      <c r="L25"/>
      <c r="M25"/>
      <c r="N25"/>
    </row>
    <row r="26" spans="1:14" ht="20" customHeight="1" x14ac:dyDescent="0.35">
      <c r="A26" s="1" t="s">
        <v>67</v>
      </c>
      <c r="B26" s="23">
        <v>1</v>
      </c>
      <c r="L26"/>
      <c r="M26"/>
      <c r="N26"/>
    </row>
    <row r="27" spans="1:14" ht="20" customHeight="1" x14ac:dyDescent="0.35">
      <c r="A27" s="1" t="s">
        <v>68</v>
      </c>
      <c r="B27" s="23" t="s">
        <v>39</v>
      </c>
      <c r="L27"/>
      <c r="M27"/>
      <c r="N27"/>
    </row>
    <row r="28" spans="1:14" ht="20" customHeight="1" x14ac:dyDescent="0.35">
      <c r="C28" s="12" t="s">
        <v>69</v>
      </c>
      <c r="D28" s="13">
        <f t="shared" ref="D28:K28" si="9">D12*1</f>
        <v>2685</v>
      </c>
      <c r="E28" s="13">
        <f t="shared" si="9"/>
        <v>1350</v>
      </c>
      <c r="F28" s="13">
        <f t="shared" si="9"/>
        <v>1350</v>
      </c>
      <c r="G28" s="13">
        <f t="shared" si="9"/>
        <v>1800</v>
      </c>
      <c r="H28" s="13">
        <f t="shared" si="9"/>
        <v>1900</v>
      </c>
      <c r="I28" s="13">
        <f t="shared" si="9"/>
        <v>1900</v>
      </c>
      <c r="J28" s="13">
        <f t="shared" si="9"/>
        <v>1500</v>
      </c>
      <c r="K28" s="13">
        <f t="shared" si="9"/>
        <v>0</v>
      </c>
      <c r="L28"/>
      <c r="M28"/>
      <c r="N28"/>
    </row>
    <row r="29" spans="1:14" ht="20" customHeight="1" x14ac:dyDescent="0.35">
      <c r="C29" s="9" t="s">
        <v>70</v>
      </c>
      <c r="D29" s="10">
        <f>$B$25+D31-D28</f>
        <v>0</v>
      </c>
      <c r="E29" s="10">
        <f t="shared" ref="E29:K29" si="10">D29+E31-E28</f>
        <v>0</v>
      </c>
      <c r="F29" s="10">
        <f t="shared" si="10"/>
        <v>0</v>
      </c>
      <c r="G29" s="10">
        <f t="shared" si="10"/>
        <v>0</v>
      </c>
      <c r="H29" s="10">
        <f t="shared" si="10"/>
        <v>0</v>
      </c>
      <c r="I29" s="10">
        <f t="shared" si="10"/>
        <v>0</v>
      </c>
      <c r="J29" s="10">
        <f t="shared" si="10"/>
        <v>0</v>
      </c>
      <c r="K29" s="10">
        <f t="shared" si="10"/>
        <v>0</v>
      </c>
      <c r="L29"/>
      <c r="M29"/>
      <c r="N29"/>
    </row>
    <row r="30" spans="1:14" ht="20" customHeight="1" x14ac:dyDescent="0.35">
      <c r="C30" s="12" t="s">
        <v>71</v>
      </c>
      <c r="D30" s="13">
        <f>MAX(0,D28-$B$25)</f>
        <v>2685</v>
      </c>
      <c r="E30" s="13">
        <f t="shared" ref="E30:K30" si="11">MAX(0,E28-D29)</f>
        <v>1350</v>
      </c>
      <c r="F30" s="13">
        <f t="shared" si="11"/>
        <v>1350</v>
      </c>
      <c r="G30" s="13">
        <f t="shared" si="11"/>
        <v>1800</v>
      </c>
      <c r="H30" s="13">
        <f t="shared" si="11"/>
        <v>1900</v>
      </c>
      <c r="I30" s="13">
        <f t="shared" si="11"/>
        <v>1900</v>
      </c>
      <c r="J30" s="13">
        <f t="shared" si="11"/>
        <v>1500</v>
      </c>
      <c r="K30" s="13">
        <f t="shared" si="11"/>
        <v>0</v>
      </c>
      <c r="L30"/>
      <c r="M30"/>
      <c r="N30"/>
    </row>
    <row r="31" spans="1:14" ht="20" customHeight="1" x14ac:dyDescent="0.35">
      <c r="C31" s="12" t="s">
        <v>72</v>
      </c>
      <c r="D31" s="13">
        <f t="shared" ref="D31:K31" si="12">D30</f>
        <v>2685</v>
      </c>
      <c r="E31" s="13">
        <f t="shared" si="12"/>
        <v>1350</v>
      </c>
      <c r="F31" s="13">
        <f t="shared" si="12"/>
        <v>1350</v>
      </c>
      <c r="G31" s="13">
        <f t="shared" si="12"/>
        <v>1800</v>
      </c>
      <c r="H31" s="13">
        <f t="shared" si="12"/>
        <v>1900</v>
      </c>
      <c r="I31" s="13">
        <f t="shared" si="12"/>
        <v>1900</v>
      </c>
      <c r="J31" s="13">
        <f t="shared" si="12"/>
        <v>1500</v>
      </c>
      <c r="K31" s="13">
        <f t="shared" si="12"/>
        <v>0</v>
      </c>
      <c r="L31"/>
      <c r="M31"/>
      <c r="N31"/>
    </row>
    <row r="32" spans="1:14" ht="20" customHeight="1" x14ac:dyDescent="0.35">
      <c r="C32" s="12" t="s">
        <v>73</v>
      </c>
      <c r="D32" s="13">
        <f>D31+E31</f>
        <v>4035</v>
      </c>
      <c r="E32" s="13">
        <f t="shared" ref="E32:J32" si="13">F31</f>
        <v>1350</v>
      </c>
      <c r="F32" s="13">
        <f t="shared" si="13"/>
        <v>1800</v>
      </c>
      <c r="G32" s="13">
        <f t="shared" si="13"/>
        <v>1900</v>
      </c>
      <c r="H32" s="13">
        <f t="shared" si="13"/>
        <v>1900</v>
      </c>
      <c r="I32" s="13">
        <f t="shared" si="13"/>
        <v>1500</v>
      </c>
      <c r="J32" s="13">
        <f t="shared" si="13"/>
        <v>0</v>
      </c>
      <c r="K32" s="13">
        <f>0</f>
        <v>0</v>
      </c>
      <c r="L32"/>
      <c r="M32"/>
      <c r="N32"/>
    </row>
    <row r="33" spans="1:14" ht="20" customHeight="1" x14ac:dyDescent="0.35">
      <c r="L33"/>
      <c r="M33"/>
      <c r="N33"/>
    </row>
    <row r="34" spans="1:14" ht="29" x14ac:dyDescent="0.35">
      <c r="A34" s="5" t="s">
        <v>65</v>
      </c>
      <c r="B34" s="24" t="s">
        <v>43</v>
      </c>
      <c r="L34"/>
      <c r="M34"/>
      <c r="N34"/>
    </row>
    <row r="35" spans="1:14" ht="20" customHeight="1" x14ac:dyDescent="0.35">
      <c r="A35" s="1" t="s">
        <v>66</v>
      </c>
      <c r="B35" s="23">
        <v>0</v>
      </c>
      <c r="L35"/>
      <c r="M35"/>
      <c r="N35"/>
    </row>
    <row r="36" spans="1:14" ht="20" customHeight="1" x14ac:dyDescent="0.35">
      <c r="A36" s="1" t="s">
        <v>67</v>
      </c>
      <c r="B36" s="23">
        <v>1</v>
      </c>
      <c r="L36"/>
      <c r="M36"/>
      <c r="N36"/>
    </row>
    <row r="37" spans="1:14" ht="20" customHeight="1" x14ac:dyDescent="0.35">
      <c r="A37" s="1" t="s">
        <v>68</v>
      </c>
      <c r="B37" s="23" t="s">
        <v>39</v>
      </c>
      <c r="L37"/>
      <c r="M37"/>
      <c r="N37"/>
    </row>
    <row r="38" spans="1:14" ht="20" customHeight="1" x14ac:dyDescent="0.35">
      <c r="C38" s="12" t="s">
        <v>69</v>
      </c>
      <c r="D38" s="13">
        <f t="shared" ref="D38:K38" si="14">D12*1</f>
        <v>2685</v>
      </c>
      <c r="E38" s="13">
        <f t="shared" si="14"/>
        <v>1350</v>
      </c>
      <c r="F38" s="13">
        <f t="shared" si="14"/>
        <v>1350</v>
      </c>
      <c r="G38" s="13">
        <f t="shared" si="14"/>
        <v>1800</v>
      </c>
      <c r="H38" s="13">
        <f t="shared" si="14"/>
        <v>1900</v>
      </c>
      <c r="I38" s="13">
        <f t="shared" si="14"/>
        <v>1900</v>
      </c>
      <c r="J38" s="13">
        <f t="shared" si="14"/>
        <v>1500</v>
      </c>
      <c r="K38" s="13">
        <f t="shared" si="14"/>
        <v>0</v>
      </c>
      <c r="L38"/>
      <c r="M38"/>
      <c r="N38"/>
    </row>
    <row r="39" spans="1:14" ht="20" customHeight="1" x14ac:dyDescent="0.35">
      <c r="C39" s="9" t="s">
        <v>70</v>
      </c>
      <c r="D39" s="10">
        <f>$B$35+D41-D38</f>
        <v>0</v>
      </c>
      <c r="E39" s="10">
        <f t="shared" ref="E39:K39" si="15">D39+E41-E38</f>
        <v>0</v>
      </c>
      <c r="F39" s="10">
        <f t="shared" si="15"/>
        <v>0</v>
      </c>
      <c r="G39" s="10">
        <f t="shared" si="15"/>
        <v>0</v>
      </c>
      <c r="H39" s="10">
        <f t="shared" si="15"/>
        <v>0</v>
      </c>
      <c r="I39" s="10">
        <f t="shared" si="15"/>
        <v>0</v>
      </c>
      <c r="J39" s="10">
        <f t="shared" si="15"/>
        <v>0</v>
      </c>
      <c r="K39" s="10">
        <f t="shared" si="15"/>
        <v>0</v>
      </c>
      <c r="L39"/>
      <c r="M39"/>
      <c r="N39"/>
    </row>
    <row r="40" spans="1:14" ht="20" customHeight="1" x14ac:dyDescent="0.35">
      <c r="C40" s="12" t="s">
        <v>71</v>
      </c>
      <c r="D40" s="13">
        <f>MAX(0,D38-$B$35)</f>
        <v>2685</v>
      </c>
      <c r="E40" s="13">
        <f t="shared" ref="E40:K40" si="16">MAX(0,E38-D39)</f>
        <v>1350</v>
      </c>
      <c r="F40" s="13">
        <f t="shared" si="16"/>
        <v>1350</v>
      </c>
      <c r="G40" s="13">
        <f t="shared" si="16"/>
        <v>1800</v>
      </c>
      <c r="H40" s="13">
        <f t="shared" si="16"/>
        <v>1900</v>
      </c>
      <c r="I40" s="13">
        <f t="shared" si="16"/>
        <v>1900</v>
      </c>
      <c r="J40" s="13">
        <f t="shared" si="16"/>
        <v>1500</v>
      </c>
      <c r="K40" s="13">
        <f t="shared" si="16"/>
        <v>0</v>
      </c>
      <c r="L40"/>
      <c r="M40"/>
      <c r="N40"/>
    </row>
    <row r="41" spans="1:14" ht="20" customHeight="1" x14ac:dyDescent="0.35">
      <c r="C41" s="12" t="s">
        <v>72</v>
      </c>
      <c r="D41" s="13">
        <f t="shared" ref="D41:K41" si="17">D40</f>
        <v>2685</v>
      </c>
      <c r="E41" s="13">
        <f t="shared" si="17"/>
        <v>1350</v>
      </c>
      <c r="F41" s="13">
        <f t="shared" si="17"/>
        <v>1350</v>
      </c>
      <c r="G41" s="13">
        <f t="shared" si="17"/>
        <v>1800</v>
      </c>
      <c r="H41" s="13">
        <f t="shared" si="17"/>
        <v>1900</v>
      </c>
      <c r="I41" s="13">
        <f t="shared" si="17"/>
        <v>1900</v>
      </c>
      <c r="J41" s="13">
        <f t="shared" si="17"/>
        <v>1500</v>
      </c>
      <c r="K41" s="13">
        <f t="shared" si="17"/>
        <v>0</v>
      </c>
      <c r="L41"/>
      <c r="M41"/>
      <c r="N41"/>
    </row>
    <row r="42" spans="1:14" ht="20" customHeight="1" x14ac:dyDescent="0.35">
      <c r="C42" s="12" t="s">
        <v>73</v>
      </c>
      <c r="D42" s="13">
        <f>D41+E41</f>
        <v>4035</v>
      </c>
      <c r="E42" s="13">
        <f t="shared" ref="E42:J42" si="18">F41</f>
        <v>1350</v>
      </c>
      <c r="F42" s="13">
        <f t="shared" si="18"/>
        <v>1800</v>
      </c>
      <c r="G42" s="13">
        <f t="shared" si="18"/>
        <v>1900</v>
      </c>
      <c r="H42" s="13">
        <f t="shared" si="18"/>
        <v>1900</v>
      </c>
      <c r="I42" s="13">
        <f t="shared" si="18"/>
        <v>1500</v>
      </c>
      <c r="J42" s="13">
        <f t="shared" si="18"/>
        <v>0</v>
      </c>
      <c r="K42" s="13">
        <f>0</f>
        <v>0</v>
      </c>
      <c r="L42"/>
      <c r="M42"/>
      <c r="N42"/>
    </row>
    <row r="43" spans="1:14" ht="20" customHeight="1" x14ac:dyDescent="0.35">
      <c r="L43"/>
      <c r="M43"/>
      <c r="N43"/>
    </row>
    <row r="44" spans="1:14" x14ac:dyDescent="0.35">
      <c r="A44" s="5" t="s">
        <v>65</v>
      </c>
      <c r="B44" s="24" t="s">
        <v>44</v>
      </c>
      <c r="L44"/>
      <c r="M44"/>
      <c r="N44"/>
    </row>
    <row r="45" spans="1:14" ht="20" customHeight="1" x14ac:dyDescent="0.35">
      <c r="A45" s="1" t="s">
        <v>66</v>
      </c>
      <c r="B45" s="23">
        <v>1000</v>
      </c>
      <c r="L45"/>
      <c r="M45"/>
      <c r="N45"/>
    </row>
    <row r="46" spans="1:14" ht="20" customHeight="1" x14ac:dyDescent="0.35">
      <c r="A46" s="1" t="s">
        <v>67</v>
      </c>
      <c r="B46" s="23">
        <v>2</v>
      </c>
      <c r="L46"/>
      <c r="M46"/>
      <c r="N46"/>
    </row>
    <row r="47" spans="1:14" ht="20" customHeight="1" x14ac:dyDescent="0.35">
      <c r="A47" s="1" t="s">
        <v>68</v>
      </c>
      <c r="B47" s="23" t="s">
        <v>45</v>
      </c>
      <c r="C47" s="11">
        <v>2000</v>
      </c>
      <c r="L47"/>
      <c r="M47"/>
      <c r="N47"/>
    </row>
    <row r="48" spans="1:14" ht="20" customHeight="1" x14ac:dyDescent="0.35">
      <c r="C48" s="12" t="s">
        <v>69</v>
      </c>
      <c r="D48" s="13">
        <f t="shared" ref="D48:K48" si="19">D22*1</f>
        <v>4035</v>
      </c>
      <c r="E48" s="13">
        <f t="shared" si="19"/>
        <v>1350</v>
      </c>
      <c r="F48" s="13">
        <f t="shared" si="19"/>
        <v>1800</v>
      </c>
      <c r="G48" s="13">
        <f t="shared" si="19"/>
        <v>1900</v>
      </c>
      <c r="H48" s="13">
        <f t="shared" si="19"/>
        <v>1900</v>
      </c>
      <c r="I48" s="13">
        <f t="shared" si="19"/>
        <v>1500</v>
      </c>
      <c r="J48" s="13">
        <f t="shared" si="19"/>
        <v>0</v>
      </c>
      <c r="K48" s="13">
        <f t="shared" si="19"/>
        <v>0</v>
      </c>
      <c r="L48"/>
      <c r="M48"/>
      <c r="N48"/>
    </row>
    <row r="49" spans="1:14" ht="20" customHeight="1" x14ac:dyDescent="0.35">
      <c r="C49" s="9" t="s">
        <v>70</v>
      </c>
      <c r="D49" s="10">
        <f>$B$45+D51-D48</f>
        <v>965</v>
      </c>
      <c r="E49" s="10">
        <f t="shared" ref="E49:K49" si="20">D49+E51-E48</f>
        <v>1615</v>
      </c>
      <c r="F49" s="10">
        <f t="shared" si="20"/>
        <v>1815</v>
      </c>
      <c r="G49" s="10">
        <f t="shared" si="20"/>
        <v>1915</v>
      </c>
      <c r="H49" s="10">
        <f t="shared" si="20"/>
        <v>15</v>
      </c>
      <c r="I49" s="10">
        <f t="shared" si="20"/>
        <v>515</v>
      </c>
      <c r="J49" s="10">
        <f t="shared" si="20"/>
        <v>515</v>
      </c>
      <c r="K49" s="10">
        <f t="shared" si="20"/>
        <v>515</v>
      </c>
      <c r="L49"/>
      <c r="M49"/>
      <c r="N49"/>
    </row>
    <row r="50" spans="1:14" ht="20" customHeight="1" x14ac:dyDescent="0.35">
      <c r="C50" s="12" t="s">
        <v>71</v>
      </c>
      <c r="D50" s="13">
        <f>MAX(0,D48-$B$45)</f>
        <v>3035</v>
      </c>
      <c r="E50" s="13">
        <f t="shared" ref="E50:K50" si="21">MAX(0,E48-D49)</f>
        <v>385</v>
      </c>
      <c r="F50" s="13">
        <f t="shared" si="21"/>
        <v>185</v>
      </c>
      <c r="G50" s="13">
        <f t="shared" si="21"/>
        <v>85</v>
      </c>
      <c r="H50" s="13">
        <f t="shared" si="21"/>
        <v>0</v>
      </c>
      <c r="I50" s="13">
        <f t="shared" si="21"/>
        <v>1485</v>
      </c>
      <c r="J50" s="13">
        <f t="shared" si="21"/>
        <v>0</v>
      </c>
      <c r="K50" s="13">
        <f t="shared" si="21"/>
        <v>0</v>
      </c>
      <c r="L50"/>
      <c r="M50"/>
      <c r="N50"/>
    </row>
    <row r="51" spans="1:14" ht="20" customHeight="1" x14ac:dyDescent="0.35">
      <c r="C51" s="12" t="s">
        <v>72</v>
      </c>
      <c r="D51" s="13">
        <f t="shared" ref="D51:K51" si="22">IF(D50&gt;0,CEILING(D50,$C$47),0)</f>
        <v>4000</v>
      </c>
      <c r="E51" s="13">
        <f t="shared" si="22"/>
        <v>2000</v>
      </c>
      <c r="F51" s="13">
        <f t="shared" si="22"/>
        <v>2000</v>
      </c>
      <c r="G51" s="13">
        <f t="shared" si="22"/>
        <v>2000</v>
      </c>
      <c r="H51" s="13">
        <f t="shared" si="22"/>
        <v>0</v>
      </c>
      <c r="I51" s="13">
        <f t="shared" si="22"/>
        <v>2000</v>
      </c>
      <c r="J51" s="13">
        <f t="shared" si="22"/>
        <v>0</v>
      </c>
      <c r="K51" s="13">
        <f t="shared" si="22"/>
        <v>0</v>
      </c>
      <c r="L51"/>
      <c r="M51"/>
      <c r="N51"/>
    </row>
    <row r="52" spans="1:14" ht="20" customHeight="1" x14ac:dyDescent="0.35">
      <c r="C52" s="12" t="s">
        <v>73</v>
      </c>
      <c r="D52" s="13">
        <f>D51+E51+F51</f>
        <v>8000</v>
      </c>
      <c r="E52" s="13">
        <f>G51</f>
        <v>2000</v>
      </c>
      <c r="F52" s="13">
        <f>H51</f>
        <v>0</v>
      </c>
      <c r="G52" s="13">
        <f>I51</f>
        <v>2000</v>
      </c>
      <c r="H52" s="13">
        <f>J51</f>
        <v>0</v>
      </c>
      <c r="I52" s="13">
        <f>K51</f>
        <v>0</v>
      </c>
      <c r="J52" s="13">
        <f>0</f>
        <v>0</v>
      </c>
      <c r="K52" s="13">
        <f>0</f>
        <v>0</v>
      </c>
      <c r="L52"/>
      <c r="M52"/>
      <c r="N52"/>
    </row>
    <row r="53" spans="1:14" ht="20" customHeight="1" x14ac:dyDescent="0.35">
      <c r="L53"/>
      <c r="M53"/>
      <c r="N53"/>
    </row>
    <row r="54" spans="1:14" ht="29" x14ac:dyDescent="0.35">
      <c r="A54" s="5" t="s">
        <v>65</v>
      </c>
      <c r="B54" s="24" t="s">
        <v>46</v>
      </c>
      <c r="L54"/>
      <c r="M54"/>
      <c r="N54"/>
    </row>
    <row r="55" spans="1:14" ht="20" customHeight="1" x14ac:dyDescent="0.35">
      <c r="A55" s="1" t="s">
        <v>66</v>
      </c>
      <c r="B55" s="23">
        <v>0</v>
      </c>
      <c r="L55"/>
      <c r="M55"/>
      <c r="N55"/>
    </row>
    <row r="56" spans="1:14" ht="20" customHeight="1" x14ac:dyDescent="0.35">
      <c r="A56" s="1" t="s">
        <v>67</v>
      </c>
      <c r="B56" s="23">
        <v>1</v>
      </c>
      <c r="L56"/>
      <c r="M56"/>
      <c r="N56"/>
    </row>
    <row r="57" spans="1:14" ht="20" customHeight="1" x14ac:dyDescent="0.35">
      <c r="A57" s="1" t="s">
        <v>68</v>
      </c>
      <c r="B57" s="23" t="s">
        <v>39</v>
      </c>
      <c r="L57"/>
      <c r="M57"/>
      <c r="N57"/>
    </row>
    <row r="58" spans="1:14" ht="20" customHeight="1" x14ac:dyDescent="0.35">
      <c r="C58" s="12" t="s">
        <v>69</v>
      </c>
      <c r="D58" s="13">
        <f t="shared" ref="D58:K58" si="23">D22*1</f>
        <v>4035</v>
      </c>
      <c r="E58" s="13">
        <f t="shared" si="23"/>
        <v>1350</v>
      </c>
      <c r="F58" s="13">
        <f t="shared" si="23"/>
        <v>1800</v>
      </c>
      <c r="G58" s="13">
        <f t="shared" si="23"/>
        <v>1900</v>
      </c>
      <c r="H58" s="13">
        <f t="shared" si="23"/>
        <v>1900</v>
      </c>
      <c r="I58" s="13">
        <f t="shared" si="23"/>
        <v>1500</v>
      </c>
      <c r="J58" s="13">
        <f t="shared" si="23"/>
        <v>0</v>
      </c>
      <c r="K58" s="13">
        <f t="shared" si="23"/>
        <v>0</v>
      </c>
      <c r="L58"/>
      <c r="M58"/>
      <c r="N58"/>
    </row>
    <row r="59" spans="1:14" ht="20" customHeight="1" x14ac:dyDescent="0.35">
      <c r="C59" s="9" t="s">
        <v>70</v>
      </c>
      <c r="D59" s="10">
        <f>$B$55+D61-D58</f>
        <v>0</v>
      </c>
      <c r="E59" s="10">
        <f t="shared" ref="E59:K59" si="24">D59+E61-E58</f>
        <v>0</v>
      </c>
      <c r="F59" s="10">
        <f t="shared" si="24"/>
        <v>0</v>
      </c>
      <c r="G59" s="10">
        <f t="shared" si="24"/>
        <v>0</v>
      </c>
      <c r="H59" s="10">
        <f t="shared" si="24"/>
        <v>0</v>
      </c>
      <c r="I59" s="10">
        <f t="shared" si="24"/>
        <v>0</v>
      </c>
      <c r="J59" s="10">
        <f t="shared" si="24"/>
        <v>0</v>
      </c>
      <c r="K59" s="10">
        <f t="shared" si="24"/>
        <v>0</v>
      </c>
      <c r="L59"/>
      <c r="M59"/>
      <c r="N59"/>
    </row>
    <row r="60" spans="1:14" ht="20" customHeight="1" x14ac:dyDescent="0.35">
      <c r="C60" s="12" t="s">
        <v>71</v>
      </c>
      <c r="D60" s="13">
        <f>MAX(0,D58-$B$55)</f>
        <v>4035</v>
      </c>
      <c r="E60" s="13">
        <f t="shared" ref="E60:K60" si="25">MAX(0,E58-D59)</f>
        <v>1350</v>
      </c>
      <c r="F60" s="13">
        <f t="shared" si="25"/>
        <v>1800</v>
      </c>
      <c r="G60" s="13">
        <f t="shared" si="25"/>
        <v>1900</v>
      </c>
      <c r="H60" s="13">
        <f t="shared" si="25"/>
        <v>1900</v>
      </c>
      <c r="I60" s="13">
        <f t="shared" si="25"/>
        <v>1500</v>
      </c>
      <c r="J60" s="13">
        <f t="shared" si="25"/>
        <v>0</v>
      </c>
      <c r="K60" s="13">
        <f t="shared" si="25"/>
        <v>0</v>
      </c>
      <c r="L60"/>
      <c r="M60"/>
      <c r="N60"/>
    </row>
    <row r="61" spans="1:14" ht="20" customHeight="1" x14ac:dyDescent="0.35">
      <c r="C61" s="12" t="s">
        <v>72</v>
      </c>
      <c r="D61" s="13">
        <f t="shared" ref="D61:K61" si="26">D60</f>
        <v>4035</v>
      </c>
      <c r="E61" s="13">
        <f t="shared" si="26"/>
        <v>1350</v>
      </c>
      <c r="F61" s="13">
        <f t="shared" si="26"/>
        <v>1800</v>
      </c>
      <c r="G61" s="13">
        <f t="shared" si="26"/>
        <v>1900</v>
      </c>
      <c r="H61" s="13">
        <f t="shared" si="26"/>
        <v>1900</v>
      </c>
      <c r="I61" s="13">
        <f t="shared" si="26"/>
        <v>1500</v>
      </c>
      <c r="J61" s="13">
        <f t="shared" si="26"/>
        <v>0</v>
      </c>
      <c r="K61" s="13">
        <f t="shared" si="26"/>
        <v>0</v>
      </c>
      <c r="L61"/>
      <c r="M61"/>
      <c r="N61"/>
    </row>
    <row r="62" spans="1:14" ht="20" customHeight="1" x14ac:dyDescent="0.35">
      <c r="C62" s="12" t="s">
        <v>73</v>
      </c>
      <c r="D62" s="13">
        <f>D61+E61</f>
        <v>5385</v>
      </c>
      <c r="E62" s="13">
        <f t="shared" ref="E62:J62" si="27">F61</f>
        <v>1800</v>
      </c>
      <c r="F62" s="13">
        <f t="shared" si="27"/>
        <v>1900</v>
      </c>
      <c r="G62" s="13">
        <f t="shared" si="27"/>
        <v>1900</v>
      </c>
      <c r="H62" s="13">
        <f t="shared" si="27"/>
        <v>1500</v>
      </c>
      <c r="I62" s="13">
        <f t="shared" si="27"/>
        <v>0</v>
      </c>
      <c r="J62" s="13">
        <f t="shared" si="27"/>
        <v>0</v>
      </c>
      <c r="K62" s="13">
        <f>0</f>
        <v>0</v>
      </c>
      <c r="L62"/>
      <c r="M62"/>
      <c r="N62"/>
    </row>
    <row r="63" spans="1:14" ht="20" customHeight="1" x14ac:dyDescent="0.35">
      <c r="L63"/>
      <c r="M63"/>
      <c r="N63"/>
    </row>
    <row r="64" spans="1:14" x14ac:dyDescent="0.35">
      <c r="A64" s="5" t="s">
        <v>65</v>
      </c>
      <c r="B64" s="24" t="s">
        <v>47</v>
      </c>
      <c r="L64"/>
      <c r="M64"/>
      <c r="N64"/>
    </row>
    <row r="65" spans="1:14" ht="20" customHeight="1" x14ac:dyDescent="0.35">
      <c r="A65" s="1" t="s">
        <v>66</v>
      </c>
      <c r="B65" s="23">
        <v>6000</v>
      </c>
      <c r="L65"/>
      <c r="M65"/>
      <c r="N65"/>
    </row>
    <row r="66" spans="1:14" ht="20" customHeight="1" x14ac:dyDescent="0.35">
      <c r="A66" s="1" t="s">
        <v>67</v>
      </c>
      <c r="B66" s="23">
        <v>1</v>
      </c>
      <c r="L66"/>
      <c r="M66"/>
      <c r="N66"/>
    </row>
    <row r="67" spans="1:14" ht="20" customHeight="1" x14ac:dyDescent="0.35">
      <c r="A67" s="1" t="s">
        <v>68</v>
      </c>
      <c r="B67" s="23" t="s">
        <v>45</v>
      </c>
      <c r="C67" s="11">
        <v>8000</v>
      </c>
      <c r="L67"/>
      <c r="M67"/>
      <c r="N67"/>
    </row>
    <row r="68" spans="1:14" ht="20" customHeight="1" x14ac:dyDescent="0.35">
      <c r="C68" s="12" t="s">
        <v>69</v>
      </c>
      <c r="D68" s="13">
        <f t="shared" ref="D68:K68" si="28">D22*2+D32*3</f>
        <v>20175</v>
      </c>
      <c r="E68" s="13">
        <f t="shared" si="28"/>
        <v>6750</v>
      </c>
      <c r="F68" s="13">
        <f t="shared" si="28"/>
        <v>9000</v>
      </c>
      <c r="G68" s="13">
        <f t="shared" si="28"/>
        <v>9500</v>
      </c>
      <c r="H68" s="13">
        <f t="shared" si="28"/>
        <v>9500</v>
      </c>
      <c r="I68" s="13">
        <f t="shared" si="28"/>
        <v>7500</v>
      </c>
      <c r="J68" s="13">
        <f t="shared" si="28"/>
        <v>0</v>
      </c>
      <c r="K68" s="13">
        <f t="shared" si="28"/>
        <v>0</v>
      </c>
      <c r="L68"/>
      <c r="M68"/>
      <c r="N68"/>
    </row>
    <row r="69" spans="1:14" ht="20" customHeight="1" x14ac:dyDescent="0.35">
      <c r="C69" s="9" t="s">
        <v>70</v>
      </c>
      <c r="D69" s="10">
        <f>$B$65+D71-D68</f>
        <v>1825</v>
      </c>
      <c r="E69" s="10">
        <f t="shared" ref="E69:K69" si="29">D69+E71-E68</f>
        <v>3075</v>
      </c>
      <c r="F69" s="10">
        <f t="shared" si="29"/>
        <v>2075</v>
      </c>
      <c r="G69" s="10">
        <f t="shared" si="29"/>
        <v>575</v>
      </c>
      <c r="H69" s="10">
        <f t="shared" si="29"/>
        <v>7075</v>
      </c>
      <c r="I69" s="10">
        <f t="shared" si="29"/>
        <v>7575</v>
      </c>
      <c r="J69" s="10">
        <f t="shared" si="29"/>
        <v>7575</v>
      </c>
      <c r="K69" s="10">
        <f t="shared" si="29"/>
        <v>7575</v>
      </c>
      <c r="L69"/>
      <c r="M69"/>
      <c r="N69"/>
    </row>
    <row r="70" spans="1:14" ht="20" customHeight="1" x14ac:dyDescent="0.35">
      <c r="C70" s="12" t="s">
        <v>71</v>
      </c>
      <c r="D70" s="13">
        <f>MAX(0,D68-$B$65)</f>
        <v>14175</v>
      </c>
      <c r="E70" s="13">
        <f t="shared" ref="E70:K70" si="30">MAX(0,E68-D69)</f>
        <v>4925</v>
      </c>
      <c r="F70" s="13">
        <f t="shared" si="30"/>
        <v>5925</v>
      </c>
      <c r="G70" s="13">
        <f t="shared" si="30"/>
        <v>7425</v>
      </c>
      <c r="H70" s="13">
        <f t="shared" si="30"/>
        <v>8925</v>
      </c>
      <c r="I70" s="13">
        <f t="shared" si="30"/>
        <v>425</v>
      </c>
      <c r="J70" s="13">
        <f t="shared" si="30"/>
        <v>0</v>
      </c>
      <c r="K70" s="13">
        <f t="shared" si="30"/>
        <v>0</v>
      </c>
      <c r="L70"/>
      <c r="M70"/>
      <c r="N70"/>
    </row>
    <row r="71" spans="1:14" ht="20" customHeight="1" x14ac:dyDescent="0.35">
      <c r="C71" s="12" t="s">
        <v>72</v>
      </c>
      <c r="D71" s="13">
        <f t="shared" ref="D71:K71" si="31">IF(D70&gt;0,CEILING(D70,$C$67),0)</f>
        <v>16000</v>
      </c>
      <c r="E71" s="13">
        <f t="shared" si="31"/>
        <v>8000</v>
      </c>
      <c r="F71" s="13">
        <f t="shared" si="31"/>
        <v>8000</v>
      </c>
      <c r="G71" s="13">
        <f t="shared" si="31"/>
        <v>8000</v>
      </c>
      <c r="H71" s="13">
        <f t="shared" si="31"/>
        <v>16000</v>
      </c>
      <c r="I71" s="13">
        <f t="shared" si="31"/>
        <v>8000</v>
      </c>
      <c r="J71" s="13">
        <f t="shared" si="31"/>
        <v>0</v>
      </c>
      <c r="K71" s="13">
        <f t="shared" si="31"/>
        <v>0</v>
      </c>
      <c r="L71"/>
      <c r="M71"/>
      <c r="N71"/>
    </row>
    <row r="72" spans="1:14" ht="20" customHeight="1" x14ac:dyDescent="0.35">
      <c r="C72" s="12" t="s">
        <v>73</v>
      </c>
      <c r="D72" s="13">
        <f>D71+E71</f>
        <v>24000</v>
      </c>
      <c r="E72" s="13">
        <f t="shared" ref="E72:J72" si="32">F71</f>
        <v>8000</v>
      </c>
      <c r="F72" s="13">
        <f t="shared" si="32"/>
        <v>8000</v>
      </c>
      <c r="G72" s="13">
        <f t="shared" si="32"/>
        <v>16000</v>
      </c>
      <c r="H72" s="13">
        <f t="shared" si="32"/>
        <v>8000</v>
      </c>
      <c r="I72" s="13">
        <f t="shared" si="32"/>
        <v>0</v>
      </c>
      <c r="J72" s="13">
        <f t="shared" si="32"/>
        <v>0</v>
      </c>
      <c r="K72" s="13">
        <f>0</f>
        <v>0</v>
      </c>
      <c r="L72"/>
      <c r="M72"/>
      <c r="N72"/>
    </row>
    <row r="73" spans="1:14" ht="20" customHeight="1" x14ac:dyDescent="0.35">
      <c r="L73"/>
      <c r="M73"/>
      <c r="N73"/>
    </row>
    <row r="74" spans="1:14" ht="43.5" x14ac:dyDescent="0.35">
      <c r="A74" s="5" t="s">
        <v>65</v>
      </c>
      <c r="B74" s="24" t="s">
        <v>50</v>
      </c>
      <c r="L74"/>
      <c r="M74"/>
      <c r="N74"/>
    </row>
    <row r="75" spans="1:14" ht="20" customHeight="1" x14ac:dyDescent="0.35">
      <c r="A75" s="1" t="s">
        <v>66</v>
      </c>
      <c r="B75" s="23">
        <v>0</v>
      </c>
      <c r="L75"/>
      <c r="M75"/>
      <c r="N75"/>
    </row>
    <row r="76" spans="1:14" ht="20" customHeight="1" x14ac:dyDescent="0.35">
      <c r="A76" s="1" t="s">
        <v>67</v>
      </c>
      <c r="B76" s="23">
        <v>1</v>
      </c>
      <c r="L76"/>
      <c r="M76"/>
      <c r="N76"/>
    </row>
    <row r="77" spans="1:14" ht="20" customHeight="1" x14ac:dyDescent="0.35">
      <c r="A77" s="1" t="s">
        <v>68</v>
      </c>
      <c r="B77" s="23" t="s">
        <v>39</v>
      </c>
      <c r="L77"/>
      <c r="M77"/>
      <c r="N77"/>
    </row>
    <row r="78" spans="1:14" ht="20" customHeight="1" x14ac:dyDescent="0.35">
      <c r="C78" s="12" t="s">
        <v>69</v>
      </c>
      <c r="D78" s="13">
        <f t="shared" ref="D78:K78" si="33">D32*4</f>
        <v>16140</v>
      </c>
      <c r="E78" s="13">
        <f t="shared" si="33"/>
        <v>5400</v>
      </c>
      <c r="F78" s="13">
        <f t="shared" si="33"/>
        <v>7200</v>
      </c>
      <c r="G78" s="13">
        <f t="shared" si="33"/>
        <v>7600</v>
      </c>
      <c r="H78" s="13">
        <f t="shared" si="33"/>
        <v>7600</v>
      </c>
      <c r="I78" s="13">
        <f t="shared" si="33"/>
        <v>6000</v>
      </c>
      <c r="J78" s="13">
        <f t="shared" si="33"/>
        <v>0</v>
      </c>
      <c r="K78" s="13">
        <f t="shared" si="33"/>
        <v>0</v>
      </c>
      <c r="L78"/>
      <c r="M78"/>
      <c r="N78"/>
    </row>
    <row r="79" spans="1:14" ht="20" customHeight="1" x14ac:dyDescent="0.35">
      <c r="C79" s="9" t="s">
        <v>70</v>
      </c>
      <c r="D79" s="10">
        <f>$B$75+D81-D78</f>
        <v>0</v>
      </c>
      <c r="E79" s="10">
        <f t="shared" ref="E79:K79" si="34">D79+E81-E78</f>
        <v>0</v>
      </c>
      <c r="F79" s="10">
        <f t="shared" si="34"/>
        <v>0</v>
      </c>
      <c r="G79" s="10">
        <f t="shared" si="34"/>
        <v>0</v>
      </c>
      <c r="H79" s="10">
        <f t="shared" si="34"/>
        <v>0</v>
      </c>
      <c r="I79" s="10">
        <f t="shared" si="34"/>
        <v>0</v>
      </c>
      <c r="J79" s="10">
        <f t="shared" si="34"/>
        <v>0</v>
      </c>
      <c r="K79" s="10">
        <f t="shared" si="34"/>
        <v>0</v>
      </c>
      <c r="L79"/>
      <c r="M79"/>
      <c r="N79"/>
    </row>
    <row r="80" spans="1:14" ht="20" customHeight="1" x14ac:dyDescent="0.35">
      <c r="C80" s="12" t="s">
        <v>71</v>
      </c>
      <c r="D80" s="13">
        <f>MAX(0,D78-$B$75)</f>
        <v>16140</v>
      </c>
      <c r="E80" s="13">
        <f t="shared" ref="E80:K80" si="35">MAX(0,E78-D79)</f>
        <v>5400</v>
      </c>
      <c r="F80" s="13">
        <f t="shared" si="35"/>
        <v>7200</v>
      </c>
      <c r="G80" s="13">
        <f t="shared" si="35"/>
        <v>7600</v>
      </c>
      <c r="H80" s="13">
        <f t="shared" si="35"/>
        <v>7600</v>
      </c>
      <c r="I80" s="13">
        <f t="shared" si="35"/>
        <v>6000</v>
      </c>
      <c r="J80" s="13">
        <f t="shared" si="35"/>
        <v>0</v>
      </c>
      <c r="K80" s="13">
        <f t="shared" si="35"/>
        <v>0</v>
      </c>
      <c r="L80"/>
      <c r="M80"/>
      <c r="N80"/>
    </row>
    <row r="81" spans="1:14" ht="20" customHeight="1" x14ac:dyDescent="0.35">
      <c r="C81" s="12" t="s">
        <v>72</v>
      </c>
      <c r="D81" s="13">
        <f t="shared" ref="D81:K81" si="36">D80</f>
        <v>16140</v>
      </c>
      <c r="E81" s="13">
        <f t="shared" si="36"/>
        <v>5400</v>
      </c>
      <c r="F81" s="13">
        <f t="shared" si="36"/>
        <v>7200</v>
      </c>
      <c r="G81" s="13">
        <f t="shared" si="36"/>
        <v>7600</v>
      </c>
      <c r="H81" s="13">
        <f t="shared" si="36"/>
        <v>7600</v>
      </c>
      <c r="I81" s="13">
        <f t="shared" si="36"/>
        <v>6000</v>
      </c>
      <c r="J81" s="13">
        <f t="shared" si="36"/>
        <v>0</v>
      </c>
      <c r="K81" s="13">
        <f t="shared" si="36"/>
        <v>0</v>
      </c>
      <c r="L81"/>
      <c r="M81"/>
      <c r="N81"/>
    </row>
    <row r="82" spans="1:14" ht="20" customHeight="1" x14ac:dyDescent="0.35">
      <c r="C82" s="12" t="s">
        <v>73</v>
      </c>
      <c r="D82" s="13">
        <f>D81+E81</f>
        <v>21540</v>
      </c>
      <c r="E82" s="13">
        <f t="shared" ref="E82:J82" si="37">F81</f>
        <v>7200</v>
      </c>
      <c r="F82" s="13">
        <f t="shared" si="37"/>
        <v>7600</v>
      </c>
      <c r="G82" s="13">
        <f t="shared" si="37"/>
        <v>7600</v>
      </c>
      <c r="H82" s="13">
        <f t="shared" si="37"/>
        <v>6000</v>
      </c>
      <c r="I82" s="13">
        <f t="shared" si="37"/>
        <v>0</v>
      </c>
      <c r="J82" s="13">
        <f t="shared" si="37"/>
        <v>0</v>
      </c>
      <c r="K82" s="13">
        <f>0</f>
        <v>0</v>
      </c>
      <c r="L82"/>
      <c r="M82"/>
      <c r="N82"/>
    </row>
    <row r="83" spans="1:14" ht="20" customHeight="1" x14ac:dyDescent="0.35">
      <c r="L83"/>
      <c r="M83"/>
      <c r="N83"/>
    </row>
    <row r="84" spans="1:14" ht="29" x14ac:dyDescent="0.35">
      <c r="A84" s="5" t="s">
        <v>65</v>
      </c>
      <c r="B84" s="24" t="s">
        <v>51</v>
      </c>
      <c r="L84"/>
      <c r="M84"/>
      <c r="N84"/>
    </row>
    <row r="85" spans="1:14" ht="20" customHeight="1" x14ac:dyDescent="0.35">
      <c r="A85" s="1" t="s">
        <v>66</v>
      </c>
      <c r="B85" s="23">
        <v>1000</v>
      </c>
      <c r="L85"/>
      <c r="M85"/>
      <c r="N85"/>
    </row>
    <row r="86" spans="1:14" ht="20" customHeight="1" x14ac:dyDescent="0.35">
      <c r="A86" s="1" t="s">
        <v>67</v>
      </c>
      <c r="B86" s="23">
        <v>2</v>
      </c>
      <c r="L86"/>
      <c r="M86"/>
      <c r="N86"/>
    </row>
    <row r="87" spans="1:14" ht="20" customHeight="1" x14ac:dyDescent="0.35">
      <c r="A87" s="1" t="s">
        <v>68</v>
      </c>
      <c r="B87" s="23" t="s">
        <v>45</v>
      </c>
      <c r="C87" s="11">
        <v>2000</v>
      </c>
      <c r="L87"/>
      <c r="M87"/>
      <c r="N87"/>
    </row>
    <row r="88" spans="1:14" ht="20" customHeight="1" x14ac:dyDescent="0.35">
      <c r="C88" s="12" t="s">
        <v>69</v>
      </c>
      <c r="D88" s="13">
        <f t="shared" ref="D88:K88" si="38">D42*1</f>
        <v>4035</v>
      </c>
      <c r="E88" s="13">
        <f t="shared" si="38"/>
        <v>1350</v>
      </c>
      <c r="F88" s="13">
        <f t="shared" si="38"/>
        <v>1800</v>
      </c>
      <c r="G88" s="13">
        <f t="shared" si="38"/>
        <v>1900</v>
      </c>
      <c r="H88" s="13">
        <f t="shared" si="38"/>
        <v>1900</v>
      </c>
      <c r="I88" s="13">
        <f t="shared" si="38"/>
        <v>1500</v>
      </c>
      <c r="J88" s="13">
        <f t="shared" si="38"/>
        <v>0</v>
      </c>
      <c r="K88" s="13">
        <f t="shared" si="38"/>
        <v>0</v>
      </c>
      <c r="L88"/>
      <c r="M88"/>
      <c r="N88"/>
    </row>
    <row r="89" spans="1:14" ht="20" customHeight="1" x14ac:dyDescent="0.35">
      <c r="C89" s="9" t="s">
        <v>70</v>
      </c>
      <c r="D89" s="10">
        <f>$B$85+D91-D88</f>
        <v>965</v>
      </c>
      <c r="E89" s="10">
        <f t="shared" ref="E89:K89" si="39">D89+E91-E88</f>
        <v>1615</v>
      </c>
      <c r="F89" s="10">
        <f t="shared" si="39"/>
        <v>1815</v>
      </c>
      <c r="G89" s="10">
        <f t="shared" si="39"/>
        <v>1915</v>
      </c>
      <c r="H89" s="10">
        <f t="shared" si="39"/>
        <v>15</v>
      </c>
      <c r="I89" s="10">
        <f t="shared" si="39"/>
        <v>515</v>
      </c>
      <c r="J89" s="10">
        <f t="shared" si="39"/>
        <v>515</v>
      </c>
      <c r="K89" s="10">
        <f t="shared" si="39"/>
        <v>515</v>
      </c>
      <c r="L89"/>
      <c r="M89"/>
      <c r="N89"/>
    </row>
    <row r="90" spans="1:14" ht="20" customHeight="1" x14ac:dyDescent="0.35">
      <c r="C90" s="12" t="s">
        <v>71</v>
      </c>
      <c r="D90" s="13">
        <f>MAX(0,D88-$B$85)</f>
        <v>3035</v>
      </c>
      <c r="E90" s="13">
        <f t="shared" ref="E90:K90" si="40">MAX(0,E88-D89)</f>
        <v>385</v>
      </c>
      <c r="F90" s="13">
        <f t="shared" si="40"/>
        <v>185</v>
      </c>
      <c r="G90" s="13">
        <f t="shared" si="40"/>
        <v>85</v>
      </c>
      <c r="H90" s="13">
        <f t="shared" si="40"/>
        <v>0</v>
      </c>
      <c r="I90" s="13">
        <f t="shared" si="40"/>
        <v>1485</v>
      </c>
      <c r="J90" s="13">
        <f t="shared" si="40"/>
        <v>0</v>
      </c>
      <c r="K90" s="13">
        <f t="shared" si="40"/>
        <v>0</v>
      </c>
      <c r="L90"/>
      <c r="M90"/>
      <c r="N90"/>
    </row>
    <row r="91" spans="1:14" ht="20" customHeight="1" x14ac:dyDescent="0.35">
      <c r="C91" s="12" t="s">
        <v>72</v>
      </c>
      <c r="D91" s="13">
        <f t="shared" ref="D91:K91" si="41">IF(D90&gt;0,CEILING(D90,$C$87),0)</f>
        <v>4000</v>
      </c>
      <c r="E91" s="13">
        <f t="shared" si="41"/>
        <v>2000</v>
      </c>
      <c r="F91" s="13">
        <f t="shared" si="41"/>
        <v>2000</v>
      </c>
      <c r="G91" s="13">
        <f t="shared" si="41"/>
        <v>2000</v>
      </c>
      <c r="H91" s="13">
        <f t="shared" si="41"/>
        <v>0</v>
      </c>
      <c r="I91" s="13">
        <f t="shared" si="41"/>
        <v>2000</v>
      </c>
      <c r="J91" s="13">
        <f t="shared" si="41"/>
        <v>0</v>
      </c>
      <c r="K91" s="13">
        <f t="shared" si="41"/>
        <v>0</v>
      </c>
      <c r="L91"/>
      <c r="M91"/>
      <c r="N91"/>
    </row>
    <row r="92" spans="1:14" ht="20" customHeight="1" x14ac:dyDescent="0.35">
      <c r="C92" s="12" t="s">
        <v>73</v>
      </c>
      <c r="D92" s="13">
        <f>D91+E91+F91</f>
        <v>8000</v>
      </c>
      <c r="E92" s="13">
        <f>G91</f>
        <v>2000</v>
      </c>
      <c r="F92" s="13">
        <f>H91</f>
        <v>0</v>
      </c>
      <c r="G92" s="13">
        <f>I91</f>
        <v>2000</v>
      </c>
      <c r="H92" s="13">
        <f>J91</f>
        <v>0</v>
      </c>
      <c r="I92" s="13">
        <f>K91</f>
        <v>0</v>
      </c>
      <c r="J92" s="13">
        <f>0</f>
        <v>0</v>
      </c>
      <c r="K92" s="13">
        <f>0</f>
        <v>0</v>
      </c>
      <c r="L92"/>
      <c r="M92"/>
      <c r="N92"/>
    </row>
    <row r="93" spans="1:14" ht="20" customHeight="1" x14ac:dyDescent="0.35">
      <c r="L93"/>
      <c r="M93"/>
      <c r="N93"/>
    </row>
    <row r="94" spans="1:14" x14ac:dyDescent="0.35">
      <c r="A94" s="5" t="s">
        <v>65</v>
      </c>
      <c r="B94" s="24" t="s">
        <v>52</v>
      </c>
      <c r="L94"/>
      <c r="M94"/>
      <c r="N94"/>
    </row>
    <row r="95" spans="1:14" ht="20" customHeight="1" x14ac:dyDescent="0.35">
      <c r="A95" s="1" t="s">
        <v>66</v>
      </c>
      <c r="B95" s="23">
        <v>0</v>
      </c>
      <c r="L95"/>
      <c r="M95"/>
      <c r="N95"/>
    </row>
    <row r="96" spans="1:14" ht="20" customHeight="1" x14ac:dyDescent="0.35">
      <c r="A96" s="1" t="s">
        <v>67</v>
      </c>
      <c r="B96" s="23">
        <v>1</v>
      </c>
      <c r="L96"/>
      <c r="M96"/>
      <c r="N96"/>
    </row>
    <row r="97" spans="1:14" ht="20" customHeight="1" x14ac:dyDescent="0.35">
      <c r="A97" s="1" t="s">
        <v>68</v>
      </c>
      <c r="B97" s="23" t="s">
        <v>45</v>
      </c>
      <c r="C97" s="11">
        <v>5000</v>
      </c>
      <c r="L97"/>
      <c r="M97"/>
      <c r="N97"/>
    </row>
    <row r="98" spans="1:14" ht="20" customHeight="1" x14ac:dyDescent="0.35">
      <c r="C98" s="12" t="s">
        <v>69</v>
      </c>
      <c r="D98" s="13">
        <f t="shared" ref="D98:K98" si="42">D42*3</f>
        <v>12105</v>
      </c>
      <c r="E98" s="13">
        <f t="shared" si="42"/>
        <v>4050</v>
      </c>
      <c r="F98" s="13">
        <f t="shared" si="42"/>
        <v>5400</v>
      </c>
      <c r="G98" s="13">
        <f t="shared" si="42"/>
        <v>5700</v>
      </c>
      <c r="H98" s="13">
        <f t="shared" si="42"/>
        <v>5700</v>
      </c>
      <c r="I98" s="13">
        <f t="shared" si="42"/>
        <v>4500</v>
      </c>
      <c r="J98" s="13">
        <f t="shared" si="42"/>
        <v>0</v>
      </c>
      <c r="K98" s="13">
        <f t="shared" si="42"/>
        <v>0</v>
      </c>
      <c r="L98"/>
      <c r="M98"/>
      <c r="N98"/>
    </row>
    <row r="99" spans="1:14" ht="20" customHeight="1" x14ac:dyDescent="0.35">
      <c r="C99" s="9" t="s">
        <v>70</v>
      </c>
      <c r="D99" s="10">
        <f>$B$95+D101-D98</f>
        <v>2895</v>
      </c>
      <c r="E99" s="10">
        <f t="shared" ref="E99:K99" si="43">D99+E101-E98</f>
        <v>3845</v>
      </c>
      <c r="F99" s="10">
        <f t="shared" si="43"/>
        <v>3445</v>
      </c>
      <c r="G99" s="10">
        <f t="shared" si="43"/>
        <v>2745</v>
      </c>
      <c r="H99" s="10">
        <f t="shared" si="43"/>
        <v>2045</v>
      </c>
      <c r="I99" s="10">
        <f t="shared" si="43"/>
        <v>2545</v>
      </c>
      <c r="J99" s="10">
        <f t="shared" si="43"/>
        <v>2545</v>
      </c>
      <c r="K99" s="10">
        <f t="shared" si="43"/>
        <v>2545</v>
      </c>
      <c r="L99"/>
      <c r="M99"/>
      <c r="N99"/>
    </row>
    <row r="100" spans="1:14" ht="20" customHeight="1" x14ac:dyDescent="0.35">
      <c r="C100" s="12" t="s">
        <v>71</v>
      </c>
      <c r="D100" s="13">
        <f>MAX(0,D98-$B$95)</f>
        <v>12105</v>
      </c>
      <c r="E100" s="13">
        <f t="shared" ref="E100:K100" si="44">MAX(0,E98-D99)</f>
        <v>1155</v>
      </c>
      <c r="F100" s="13">
        <f t="shared" si="44"/>
        <v>1555</v>
      </c>
      <c r="G100" s="13">
        <f t="shared" si="44"/>
        <v>2255</v>
      </c>
      <c r="H100" s="13">
        <f t="shared" si="44"/>
        <v>2955</v>
      </c>
      <c r="I100" s="13">
        <f t="shared" si="44"/>
        <v>2455</v>
      </c>
      <c r="J100" s="13">
        <f t="shared" si="44"/>
        <v>0</v>
      </c>
      <c r="K100" s="13">
        <f t="shared" si="44"/>
        <v>0</v>
      </c>
      <c r="L100"/>
      <c r="M100"/>
      <c r="N100"/>
    </row>
    <row r="101" spans="1:14" ht="20" customHeight="1" x14ac:dyDescent="0.35">
      <c r="C101" s="12" t="s">
        <v>72</v>
      </c>
      <c r="D101" s="13">
        <f t="shared" ref="D101:K101" si="45">IF(D100&gt;0,CEILING(D100,$C$97),0)</f>
        <v>15000</v>
      </c>
      <c r="E101" s="13">
        <f t="shared" si="45"/>
        <v>5000</v>
      </c>
      <c r="F101" s="13">
        <f t="shared" si="45"/>
        <v>5000</v>
      </c>
      <c r="G101" s="13">
        <f t="shared" si="45"/>
        <v>5000</v>
      </c>
      <c r="H101" s="13">
        <f t="shared" si="45"/>
        <v>5000</v>
      </c>
      <c r="I101" s="13">
        <f t="shared" si="45"/>
        <v>5000</v>
      </c>
      <c r="J101" s="13">
        <f t="shared" si="45"/>
        <v>0</v>
      </c>
      <c r="K101" s="13">
        <f t="shared" si="45"/>
        <v>0</v>
      </c>
      <c r="L101"/>
      <c r="M101"/>
      <c r="N101"/>
    </row>
    <row r="102" spans="1:14" ht="20" customHeight="1" x14ac:dyDescent="0.35">
      <c r="C102" s="12" t="s">
        <v>73</v>
      </c>
      <c r="D102" s="13">
        <f>D101+E101</f>
        <v>20000</v>
      </c>
      <c r="E102" s="13">
        <f t="shared" ref="E102:J102" si="46">F101</f>
        <v>5000</v>
      </c>
      <c r="F102" s="13">
        <f t="shared" si="46"/>
        <v>5000</v>
      </c>
      <c r="G102" s="13">
        <f t="shared" si="46"/>
        <v>5000</v>
      </c>
      <c r="H102" s="13">
        <f t="shared" si="46"/>
        <v>5000</v>
      </c>
      <c r="I102" s="13">
        <f t="shared" si="46"/>
        <v>0</v>
      </c>
      <c r="J102" s="13">
        <f t="shared" si="46"/>
        <v>0</v>
      </c>
      <c r="K102" s="13">
        <f>0</f>
        <v>0</v>
      </c>
      <c r="L102"/>
      <c r="M102"/>
      <c r="N102"/>
    </row>
    <row r="103" spans="1:14" ht="20" customHeight="1" x14ac:dyDescent="0.35">
      <c r="L103"/>
      <c r="M103"/>
      <c r="N103"/>
    </row>
    <row r="104" spans="1:14" ht="20" customHeight="1" x14ac:dyDescent="0.35">
      <c r="A104" s="5" t="s">
        <v>65</v>
      </c>
      <c r="B104" s="24" t="s">
        <v>53</v>
      </c>
      <c r="L104"/>
      <c r="M104"/>
      <c r="N104"/>
    </row>
    <row r="105" spans="1:14" ht="20" customHeight="1" x14ac:dyDescent="0.35">
      <c r="A105" s="1" t="s">
        <v>66</v>
      </c>
      <c r="B105" s="23">
        <v>0</v>
      </c>
      <c r="L105"/>
      <c r="M105"/>
      <c r="N105"/>
    </row>
    <row r="106" spans="1:14" ht="20" customHeight="1" x14ac:dyDescent="0.35">
      <c r="A106" s="1" t="s">
        <v>67</v>
      </c>
      <c r="B106" s="23">
        <v>2</v>
      </c>
      <c r="L106"/>
      <c r="M106"/>
      <c r="N106"/>
    </row>
    <row r="107" spans="1:14" ht="20" customHeight="1" x14ac:dyDescent="0.35">
      <c r="A107" s="1" t="s">
        <v>68</v>
      </c>
      <c r="B107" s="23" t="s">
        <v>45</v>
      </c>
      <c r="C107" s="11">
        <v>6000</v>
      </c>
      <c r="L107"/>
      <c r="M107"/>
      <c r="N107"/>
    </row>
    <row r="108" spans="1:14" ht="20" customHeight="1" x14ac:dyDescent="0.35">
      <c r="C108" s="12" t="s">
        <v>69</v>
      </c>
      <c r="D108" s="13">
        <f t="shared" ref="D108:K108" si="47">D82*1</f>
        <v>21540</v>
      </c>
      <c r="E108" s="13">
        <f t="shared" si="47"/>
        <v>7200</v>
      </c>
      <c r="F108" s="13">
        <f t="shared" si="47"/>
        <v>7600</v>
      </c>
      <c r="G108" s="13">
        <f t="shared" si="47"/>
        <v>7600</v>
      </c>
      <c r="H108" s="13">
        <f t="shared" si="47"/>
        <v>6000</v>
      </c>
      <c r="I108" s="13">
        <f t="shared" si="47"/>
        <v>0</v>
      </c>
      <c r="J108" s="13">
        <f t="shared" si="47"/>
        <v>0</v>
      </c>
      <c r="K108" s="13">
        <f t="shared" si="47"/>
        <v>0</v>
      </c>
      <c r="L108"/>
      <c r="M108"/>
      <c r="N108"/>
    </row>
    <row r="109" spans="1:14" ht="20" customHeight="1" x14ac:dyDescent="0.35">
      <c r="C109" s="9" t="s">
        <v>70</v>
      </c>
      <c r="D109" s="10">
        <f>$B$105+D111-D108</f>
        <v>2460</v>
      </c>
      <c r="E109" s="10">
        <f t="shared" ref="E109:K109" si="48">D109+E111-E108</f>
        <v>1260</v>
      </c>
      <c r="F109" s="10">
        <f t="shared" si="48"/>
        <v>5660</v>
      </c>
      <c r="G109" s="10">
        <f t="shared" si="48"/>
        <v>4060</v>
      </c>
      <c r="H109" s="10">
        <f t="shared" si="48"/>
        <v>4060</v>
      </c>
      <c r="I109" s="10">
        <f t="shared" si="48"/>
        <v>4060</v>
      </c>
      <c r="J109" s="10">
        <f t="shared" si="48"/>
        <v>4060</v>
      </c>
      <c r="K109" s="10">
        <f t="shared" si="48"/>
        <v>4060</v>
      </c>
      <c r="L109"/>
      <c r="M109"/>
      <c r="N109"/>
    </row>
    <row r="110" spans="1:14" ht="20" customHeight="1" x14ac:dyDescent="0.35">
      <c r="C110" s="12" t="s">
        <v>71</v>
      </c>
      <c r="D110" s="13">
        <f>MAX(0,D108-$B$105)</f>
        <v>21540</v>
      </c>
      <c r="E110" s="13">
        <f t="shared" ref="E110:K110" si="49">MAX(0,E108-D109)</f>
        <v>4740</v>
      </c>
      <c r="F110" s="13">
        <f t="shared" si="49"/>
        <v>6340</v>
      </c>
      <c r="G110" s="13">
        <f t="shared" si="49"/>
        <v>1940</v>
      </c>
      <c r="H110" s="13">
        <f t="shared" si="49"/>
        <v>1940</v>
      </c>
      <c r="I110" s="13">
        <f t="shared" si="49"/>
        <v>0</v>
      </c>
      <c r="J110" s="13">
        <f t="shared" si="49"/>
        <v>0</v>
      </c>
      <c r="K110" s="13">
        <f t="shared" si="49"/>
        <v>0</v>
      </c>
      <c r="L110"/>
      <c r="M110"/>
      <c r="N110"/>
    </row>
    <row r="111" spans="1:14" ht="20" customHeight="1" x14ac:dyDescent="0.35">
      <c r="C111" s="12" t="s">
        <v>72</v>
      </c>
      <c r="D111" s="13">
        <f t="shared" ref="D111:K111" si="50">IF(D110&gt;0,CEILING(D110,$C$107),0)</f>
        <v>24000</v>
      </c>
      <c r="E111" s="13">
        <f t="shared" si="50"/>
        <v>6000</v>
      </c>
      <c r="F111" s="13">
        <f t="shared" si="50"/>
        <v>12000</v>
      </c>
      <c r="G111" s="13">
        <f t="shared" si="50"/>
        <v>6000</v>
      </c>
      <c r="H111" s="13">
        <f t="shared" si="50"/>
        <v>6000</v>
      </c>
      <c r="I111" s="13">
        <f t="shared" si="50"/>
        <v>0</v>
      </c>
      <c r="J111" s="13">
        <f t="shared" si="50"/>
        <v>0</v>
      </c>
      <c r="K111" s="13">
        <f t="shared" si="50"/>
        <v>0</v>
      </c>
      <c r="L111"/>
      <c r="M111"/>
      <c r="N111"/>
    </row>
    <row r="112" spans="1:14" ht="20" customHeight="1" x14ac:dyDescent="0.35">
      <c r="C112" s="12" t="s">
        <v>73</v>
      </c>
      <c r="D112" s="13">
        <f>D111+E111+F111</f>
        <v>42000</v>
      </c>
      <c r="E112" s="13">
        <f>G111</f>
        <v>6000</v>
      </c>
      <c r="F112" s="13">
        <f>H111</f>
        <v>6000</v>
      </c>
      <c r="G112" s="13">
        <f>I111</f>
        <v>0</v>
      </c>
      <c r="H112" s="13">
        <f>J111</f>
        <v>0</v>
      </c>
      <c r="I112" s="13">
        <f>K111</f>
        <v>0</v>
      </c>
      <c r="J112" s="13">
        <f>0</f>
        <v>0</v>
      </c>
      <c r="K112" s="13">
        <f>0</f>
        <v>0</v>
      </c>
      <c r="L112"/>
      <c r="M112"/>
      <c r="N112"/>
    </row>
    <row r="113" spans="1:14" ht="20" customHeight="1" x14ac:dyDescent="0.35">
      <c r="L113"/>
      <c r="M113"/>
      <c r="N113"/>
    </row>
    <row r="114" spans="1:14" ht="20" customHeight="1" x14ac:dyDescent="0.35">
      <c r="A114" s="5" t="s">
        <v>65</v>
      </c>
      <c r="B114" s="24" t="s">
        <v>55</v>
      </c>
      <c r="L114"/>
      <c r="M114"/>
      <c r="N114"/>
    </row>
    <row r="115" spans="1:14" ht="20" customHeight="1" x14ac:dyDescent="0.35">
      <c r="A115" s="1" t="s">
        <v>66</v>
      </c>
      <c r="B115" s="23">
        <v>0</v>
      </c>
      <c r="L115"/>
      <c r="M115"/>
      <c r="N115"/>
    </row>
    <row r="116" spans="1:14" ht="20" customHeight="1" x14ac:dyDescent="0.35">
      <c r="A116" s="1" t="s">
        <v>67</v>
      </c>
      <c r="B116" s="23">
        <v>1</v>
      </c>
      <c r="L116"/>
      <c r="M116"/>
      <c r="N116"/>
    </row>
    <row r="117" spans="1:14" ht="20" customHeight="1" x14ac:dyDescent="0.35">
      <c r="A117" s="1" t="s">
        <v>68</v>
      </c>
      <c r="B117" s="23" t="s">
        <v>39</v>
      </c>
      <c r="L117"/>
      <c r="M117"/>
      <c r="N117"/>
    </row>
    <row r="118" spans="1:14" ht="20" customHeight="1" x14ac:dyDescent="0.35">
      <c r="C118" s="12" t="s">
        <v>69</v>
      </c>
      <c r="D118" s="13">
        <f t="shared" ref="D118:K118" si="51">D82*1</f>
        <v>21540</v>
      </c>
      <c r="E118" s="13">
        <f t="shared" si="51"/>
        <v>7200</v>
      </c>
      <c r="F118" s="13">
        <f t="shared" si="51"/>
        <v>7600</v>
      </c>
      <c r="G118" s="13">
        <f t="shared" si="51"/>
        <v>7600</v>
      </c>
      <c r="H118" s="13">
        <f t="shared" si="51"/>
        <v>6000</v>
      </c>
      <c r="I118" s="13">
        <f t="shared" si="51"/>
        <v>0</v>
      </c>
      <c r="J118" s="13">
        <f t="shared" si="51"/>
        <v>0</v>
      </c>
      <c r="K118" s="13">
        <f t="shared" si="51"/>
        <v>0</v>
      </c>
      <c r="L118"/>
      <c r="M118"/>
      <c r="N118"/>
    </row>
    <row r="119" spans="1:14" ht="20" customHeight="1" x14ac:dyDescent="0.35">
      <c r="C119" s="9" t="s">
        <v>70</v>
      </c>
      <c r="D119" s="10">
        <f>$B$115+D121-D118</f>
        <v>0</v>
      </c>
      <c r="E119" s="10">
        <f t="shared" ref="E119:K119" si="52">D119+E121-E118</f>
        <v>0</v>
      </c>
      <c r="F119" s="10">
        <f t="shared" si="52"/>
        <v>0</v>
      </c>
      <c r="G119" s="10">
        <f t="shared" si="52"/>
        <v>0</v>
      </c>
      <c r="H119" s="10">
        <f t="shared" si="52"/>
        <v>0</v>
      </c>
      <c r="I119" s="10">
        <f t="shared" si="52"/>
        <v>0</v>
      </c>
      <c r="J119" s="10">
        <f t="shared" si="52"/>
        <v>0</v>
      </c>
      <c r="K119" s="10">
        <f t="shared" si="52"/>
        <v>0</v>
      </c>
      <c r="L119"/>
      <c r="M119"/>
      <c r="N119"/>
    </row>
    <row r="120" spans="1:14" ht="20" customHeight="1" x14ac:dyDescent="0.35">
      <c r="C120" s="12" t="s">
        <v>71</v>
      </c>
      <c r="D120" s="13">
        <f>MAX(0,D118-$B$115)</f>
        <v>21540</v>
      </c>
      <c r="E120" s="13">
        <f t="shared" ref="E120:K120" si="53">MAX(0,E118-D119)</f>
        <v>7200</v>
      </c>
      <c r="F120" s="13">
        <f t="shared" si="53"/>
        <v>7600</v>
      </c>
      <c r="G120" s="13">
        <f t="shared" si="53"/>
        <v>7600</v>
      </c>
      <c r="H120" s="13">
        <f t="shared" si="53"/>
        <v>6000</v>
      </c>
      <c r="I120" s="13">
        <f t="shared" si="53"/>
        <v>0</v>
      </c>
      <c r="J120" s="13">
        <f t="shared" si="53"/>
        <v>0</v>
      </c>
      <c r="K120" s="13">
        <f t="shared" si="53"/>
        <v>0</v>
      </c>
      <c r="L120"/>
      <c r="M120"/>
      <c r="N120"/>
    </row>
    <row r="121" spans="1:14" ht="20" customHeight="1" x14ac:dyDescent="0.35">
      <c r="C121" s="12" t="s">
        <v>72</v>
      </c>
      <c r="D121" s="13">
        <f t="shared" ref="D121:K121" si="54">D120</f>
        <v>21540</v>
      </c>
      <c r="E121" s="13">
        <f t="shared" si="54"/>
        <v>7200</v>
      </c>
      <c r="F121" s="13">
        <f t="shared" si="54"/>
        <v>7600</v>
      </c>
      <c r="G121" s="13">
        <f t="shared" si="54"/>
        <v>7600</v>
      </c>
      <c r="H121" s="13">
        <f t="shared" si="54"/>
        <v>6000</v>
      </c>
      <c r="I121" s="13">
        <f t="shared" si="54"/>
        <v>0</v>
      </c>
      <c r="J121" s="13">
        <f t="shared" si="54"/>
        <v>0</v>
      </c>
      <c r="K121" s="13">
        <f t="shared" si="54"/>
        <v>0</v>
      </c>
      <c r="L121"/>
      <c r="M121"/>
      <c r="N121"/>
    </row>
    <row r="122" spans="1:14" ht="20" customHeight="1" x14ac:dyDescent="0.35">
      <c r="C122" s="12" t="s">
        <v>73</v>
      </c>
      <c r="D122" s="13">
        <f>D121+E121</f>
        <v>28740</v>
      </c>
      <c r="E122" s="13">
        <f t="shared" ref="E122:J122" si="55">F121</f>
        <v>7600</v>
      </c>
      <c r="F122" s="13">
        <f t="shared" si="55"/>
        <v>7600</v>
      </c>
      <c r="G122" s="13">
        <f t="shared" si="55"/>
        <v>6000</v>
      </c>
      <c r="H122" s="13">
        <f t="shared" si="55"/>
        <v>0</v>
      </c>
      <c r="I122" s="13">
        <f t="shared" si="55"/>
        <v>0</v>
      </c>
      <c r="J122" s="13">
        <f t="shared" si="55"/>
        <v>0</v>
      </c>
      <c r="K122" s="13">
        <f>0</f>
        <v>0</v>
      </c>
      <c r="L122"/>
      <c r="M122"/>
      <c r="N122"/>
    </row>
    <row r="123" spans="1:14" x14ac:dyDescent="0.35">
      <c r="A123"/>
      <c r="B123" s="25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35">
      <c r="A124"/>
      <c r="B124" s="25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35">
      <c r="A125"/>
      <c r="B125" s="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35">
      <c r="A126"/>
      <c r="B126" s="25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35">
      <c r="A127"/>
      <c r="B127" s="25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35">
      <c r="A128"/>
      <c r="B128" s="25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35">
      <c r="A129"/>
      <c r="B129" s="25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35">
      <c r="A130"/>
      <c r="B130" s="25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35">
      <c r="A131" s="3"/>
      <c r="B131" s="2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</sheetData>
  <mergeCells count="1">
    <mergeCell ref="A1:K1"/>
  </mergeCells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showGridLines="0" workbookViewId="0">
      <selection activeCell="F4" sqref="F4"/>
    </sheetView>
  </sheetViews>
  <sheetFormatPr defaultRowHeight="14.5" x14ac:dyDescent="0.35"/>
  <cols>
    <col min="1" max="1" width="44.81640625" style="1" bestFit="1" customWidth="1"/>
    <col min="2" max="2" width="11.36328125" style="1" bestFit="1" customWidth="1"/>
    <col min="3" max="3" width="8.26953125" style="1" customWidth="1"/>
    <col min="4" max="16384" width="8.7265625" style="1"/>
  </cols>
  <sheetData>
    <row r="1" spans="1:4" ht="17" x14ac:dyDescent="0.4">
      <c r="A1" s="19" t="s">
        <v>99</v>
      </c>
      <c r="B1" s="20"/>
      <c r="C1" s="20"/>
      <c r="D1" s="2"/>
    </row>
    <row r="2" spans="1:4" x14ac:dyDescent="0.35">
      <c r="A2"/>
      <c r="B2"/>
      <c r="C2"/>
      <c r="D2" s="2"/>
    </row>
    <row r="3" spans="1:4" x14ac:dyDescent="0.35">
      <c r="A3" s="5" t="s">
        <v>74</v>
      </c>
      <c r="C3"/>
      <c r="D3" s="2"/>
    </row>
    <row r="4" spans="1:4" x14ac:dyDescent="0.35">
      <c r="A4" s="1" t="s">
        <v>75</v>
      </c>
      <c r="B4" s="1">
        <v>6600</v>
      </c>
      <c r="C4"/>
      <c r="D4" s="2"/>
    </row>
    <row r="5" spans="1:4" x14ac:dyDescent="0.35">
      <c r="A5" s="1" t="s">
        <v>76</v>
      </c>
      <c r="B5" s="1">
        <v>900</v>
      </c>
      <c r="C5"/>
      <c r="D5" s="2"/>
    </row>
    <row r="6" spans="1:4" x14ac:dyDescent="0.35">
      <c r="A6" s="1" t="s">
        <v>77</v>
      </c>
      <c r="B6" s="1">
        <v>2</v>
      </c>
      <c r="C6"/>
      <c r="D6" s="2"/>
    </row>
    <row r="7" spans="1:4" x14ac:dyDescent="0.35">
      <c r="A7" s="1" t="s">
        <v>78</v>
      </c>
      <c r="B7" s="1">
        <v>30000</v>
      </c>
      <c r="C7"/>
      <c r="D7" s="2"/>
    </row>
    <row r="8" spans="1:4" x14ac:dyDescent="0.35">
      <c r="A8" s="1" t="s">
        <v>79</v>
      </c>
      <c r="B8" s="1">
        <v>60</v>
      </c>
      <c r="C8"/>
      <c r="D8" s="2"/>
    </row>
    <row r="9" spans="1:4" x14ac:dyDescent="0.35">
      <c r="A9" s="1" t="s">
        <v>80</v>
      </c>
      <c r="B9" s="1">
        <v>1.645</v>
      </c>
      <c r="C9"/>
      <c r="D9" s="2"/>
    </row>
    <row r="10" spans="1:4" x14ac:dyDescent="0.35">
      <c r="A10"/>
      <c r="B10"/>
      <c r="C10"/>
      <c r="D10" s="2"/>
    </row>
    <row r="11" spans="1:4" x14ac:dyDescent="0.35">
      <c r="A11"/>
      <c r="B11"/>
      <c r="C11"/>
      <c r="D11" s="2"/>
    </row>
    <row r="12" spans="1:4" x14ac:dyDescent="0.35">
      <c r="A12" s="5" t="s">
        <v>81</v>
      </c>
      <c r="C12"/>
      <c r="D12" s="2"/>
    </row>
    <row r="13" spans="1:4" x14ac:dyDescent="0.35">
      <c r="A13" s="1" t="s">
        <v>82</v>
      </c>
      <c r="B13" s="14">
        <f>SQRT(2*$B$4*$B$7/$B$8)</f>
        <v>2569.0465157330259</v>
      </c>
      <c r="C13"/>
      <c r="D13" s="2"/>
    </row>
    <row r="14" spans="1:4" x14ac:dyDescent="0.35">
      <c r="A14" s="1" t="s">
        <v>83</v>
      </c>
      <c r="B14" s="14">
        <f>$B$5*SQRT($B$6)</f>
        <v>1272.7922061357856</v>
      </c>
      <c r="C14"/>
      <c r="D14" s="2"/>
    </row>
    <row r="15" spans="1:4" x14ac:dyDescent="0.35">
      <c r="A15" s="1" t="s">
        <v>84</v>
      </c>
      <c r="B15" s="14">
        <f>$B$9*B14</f>
        <v>2093.7431790933674</v>
      </c>
      <c r="C15"/>
      <c r="D15" s="2"/>
    </row>
    <row r="16" spans="1:4" x14ac:dyDescent="0.35">
      <c r="A16" s="1" t="s">
        <v>85</v>
      </c>
      <c r="B16" s="14">
        <f>($B$4*$B$6)+B15</f>
        <v>15293.743179093368</v>
      </c>
      <c r="C16"/>
      <c r="D16" s="2"/>
    </row>
    <row r="17" spans="1:4" x14ac:dyDescent="0.35">
      <c r="A17" s="1" t="s">
        <v>86</v>
      </c>
      <c r="B17" s="14">
        <f>($B$4*12)/B13</f>
        <v>30.828558188796308</v>
      </c>
      <c r="C17"/>
      <c r="D17" s="2"/>
    </row>
    <row r="18" spans="1:4" x14ac:dyDescent="0.35">
      <c r="A18" s="1" t="s">
        <v>87</v>
      </c>
      <c r="B18" s="14">
        <f>365/B17</f>
        <v>11.839671442456495</v>
      </c>
      <c r="C18"/>
      <c r="D18" s="2"/>
    </row>
    <row r="19" spans="1:4" x14ac:dyDescent="0.35">
      <c r="A19"/>
      <c r="B19" s="15"/>
      <c r="C19"/>
      <c r="D19" s="2"/>
    </row>
    <row r="20" spans="1:4" x14ac:dyDescent="0.35">
      <c r="A20"/>
      <c r="B20"/>
      <c r="C20"/>
      <c r="D20" s="2"/>
    </row>
    <row r="21" spans="1:4" x14ac:dyDescent="0.35">
      <c r="A21" s="5" t="s">
        <v>88</v>
      </c>
      <c r="C21"/>
      <c r="D21" s="2"/>
    </row>
    <row r="22" spans="1:4" x14ac:dyDescent="0.35">
      <c r="A22" s="10" t="s">
        <v>89</v>
      </c>
      <c r="B22" s="10" t="s">
        <v>90</v>
      </c>
      <c r="C22"/>
      <c r="D22" s="2"/>
    </row>
    <row r="23" spans="1:4" x14ac:dyDescent="0.35">
      <c r="A23" s="13" t="s">
        <v>91</v>
      </c>
      <c r="B23" s="13">
        <f>MROUND(B13,10)</f>
        <v>2570</v>
      </c>
      <c r="C23"/>
      <c r="D23" s="2"/>
    </row>
    <row r="24" spans="1:4" x14ac:dyDescent="0.35">
      <c r="A24" s="13" t="s">
        <v>92</v>
      </c>
      <c r="B24" s="13">
        <f>MROUND(B15,10)</f>
        <v>2090</v>
      </c>
      <c r="C24"/>
      <c r="D24" s="2"/>
    </row>
    <row r="25" spans="1:4" x14ac:dyDescent="0.35">
      <c r="A25" s="13" t="s">
        <v>93</v>
      </c>
      <c r="B25" s="13">
        <f>MROUND(B16,10)</f>
        <v>15290</v>
      </c>
      <c r="C25"/>
      <c r="D25" s="2"/>
    </row>
    <row r="26" spans="1:4" x14ac:dyDescent="0.35">
      <c r="A26" s="13" t="s">
        <v>94</v>
      </c>
      <c r="B26" s="13">
        <f>B17</f>
        <v>30.828558188796308</v>
      </c>
      <c r="C26"/>
      <c r="D26" s="2"/>
    </row>
    <row r="27" spans="1:4" x14ac:dyDescent="0.35">
      <c r="A27" s="13" t="s">
        <v>95</v>
      </c>
      <c r="B27" s="13">
        <f>B18</f>
        <v>11.839671442456495</v>
      </c>
      <c r="C27"/>
      <c r="D27" s="2"/>
    </row>
    <row r="28" spans="1:4" x14ac:dyDescent="0.35">
      <c r="A28"/>
      <c r="B28"/>
      <c r="C28"/>
      <c r="D28" s="2"/>
    </row>
    <row r="29" spans="1:4" x14ac:dyDescent="0.35">
      <c r="A29" s="22"/>
      <c r="B29" s="20"/>
      <c r="C29" s="20"/>
      <c r="D29" s="2"/>
    </row>
    <row r="30" spans="1:4" x14ac:dyDescent="0.35">
      <c r="A30"/>
      <c r="B30"/>
      <c r="C30"/>
      <c r="D30" s="2"/>
    </row>
    <row r="31" spans="1:4" x14ac:dyDescent="0.35">
      <c r="A31"/>
      <c r="B31"/>
      <c r="C31"/>
      <c r="D31" s="2"/>
    </row>
    <row r="32" spans="1:4" x14ac:dyDescent="0.35">
      <c r="A32"/>
      <c r="B32"/>
      <c r="C32"/>
      <c r="D32" s="2"/>
    </row>
    <row r="33" spans="1:4" x14ac:dyDescent="0.35">
      <c r="A33"/>
      <c r="B33"/>
      <c r="C33"/>
      <c r="D33" s="2"/>
    </row>
  </sheetData>
  <mergeCells count="2">
    <mergeCell ref="A1:C1"/>
    <mergeCell ref="A29:C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</vt:lpstr>
      <vt:lpstr>BOM</vt:lpstr>
      <vt:lpstr>MRP</vt:lpstr>
      <vt:lpstr>Inventory Policy - Tyre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cp:lastPrinted>2026-09-20T20:08:52Z</cp:lastPrinted>
  <dcterms:created xsi:type="dcterms:W3CDTF">2026-09-17T08:34:49Z</dcterms:created>
  <dcterms:modified xsi:type="dcterms:W3CDTF">2026-09-20T20:10:21Z</dcterms:modified>
</cp:coreProperties>
</file>