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NeT\Downloads\"/>
    </mc:Choice>
  </mc:AlternateContent>
  <xr:revisionPtr revIDLastSave="0" documentId="13_ncr:1_{12A07BB6-5304-4152-B9E8-55A6DA0CA8CD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Pre-Improvement" sheetId="1" r:id="rId1"/>
    <sheet name="Post-Improvement" sheetId="2" r:id="rId2"/>
    <sheet name="Process Capability (Part E3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5" i="2" l="1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B79" i="1" s="1"/>
  <c r="K65" i="1" l="1"/>
  <c r="K53" i="1"/>
  <c r="K41" i="1"/>
  <c r="K29" i="1"/>
  <c r="K17" i="1"/>
  <c r="K5" i="1"/>
  <c r="K60" i="1"/>
  <c r="K24" i="1"/>
  <c r="K28" i="1"/>
  <c r="K72" i="1"/>
  <c r="K48" i="1"/>
  <c r="K36" i="1"/>
  <c r="K12" i="1"/>
  <c r="K7" i="1"/>
  <c r="K16" i="1"/>
  <c r="K67" i="1"/>
  <c r="K55" i="1"/>
  <c r="K43" i="1"/>
  <c r="K31" i="1"/>
  <c r="K19" i="1"/>
  <c r="K64" i="1"/>
  <c r="K52" i="1"/>
  <c r="K40" i="1"/>
  <c r="K74" i="1"/>
  <c r="K62" i="1"/>
  <c r="K50" i="1"/>
  <c r="K38" i="1"/>
  <c r="K26" i="1"/>
  <c r="K14" i="1"/>
  <c r="K69" i="1"/>
  <c r="K57" i="1"/>
  <c r="K45" i="1"/>
  <c r="K33" i="1"/>
  <c r="K21" i="1"/>
  <c r="K9" i="1"/>
  <c r="K71" i="1"/>
  <c r="K59" i="1"/>
  <c r="K47" i="1"/>
  <c r="K35" i="1"/>
  <c r="K23" i="1"/>
  <c r="K11" i="1"/>
  <c r="K54" i="1"/>
  <c r="K42" i="1"/>
  <c r="K30" i="1"/>
  <c r="K66" i="1"/>
  <c r="K18" i="1"/>
  <c r="K6" i="1"/>
  <c r="K58" i="1"/>
  <c r="K34" i="1"/>
  <c r="K27" i="1"/>
  <c r="K8" i="1"/>
  <c r="K73" i="1"/>
  <c r="K39" i="1"/>
  <c r="K15" i="1"/>
  <c r="K10" i="1"/>
  <c r="K56" i="1"/>
  <c r="K49" i="1"/>
  <c r="K63" i="1"/>
  <c r="K25" i="1"/>
  <c r="K68" i="1"/>
  <c r="K44" i="1"/>
  <c r="K32" i="1"/>
  <c r="K75" i="1"/>
  <c r="K51" i="1"/>
  <c r="K46" i="1"/>
  <c r="K61" i="1"/>
  <c r="K37" i="1"/>
  <c r="K13" i="1"/>
  <c r="K4" i="1"/>
  <c r="K70" i="1"/>
  <c r="K22" i="1"/>
  <c r="K20" i="1"/>
  <c r="B79" i="2"/>
  <c r="B80" i="2"/>
  <c r="B80" i="1"/>
  <c r="B84" i="1" s="1"/>
  <c r="J70" i="1" l="1"/>
  <c r="J58" i="1"/>
  <c r="J46" i="1"/>
  <c r="J34" i="1"/>
  <c r="J22" i="1"/>
  <c r="J10" i="1"/>
  <c r="G70" i="1"/>
  <c r="J65" i="1"/>
  <c r="J53" i="1"/>
  <c r="J41" i="1"/>
  <c r="G34" i="1"/>
  <c r="J29" i="1"/>
  <c r="J17" i="1"/>
  <c r="J5" i="1"/>
  <c r="J72" i="1"/>
  <c r="J60" i="1"/>
  <c r="J48" i="1"/>
  <c r="J36" i="1"/>
  <c r="J24" i="1"/>
  <c r="J12" i="1"/>
  <c r="J74" i="1"/>
  <c r="J62" i="1"/>
  <c r="J14" i="1"/>
  <c r="J67" i="1"/>
  <c r="J55" i="1"/>
  <c r="J43" i="1"/>
  <c r="J31" i="1"/>
  <c r="J19" i="1"/>
  <c r="J7" i="1"/>
  <c r="G55" i="1"/>
  <c r="J50" i="1"/>
  <c r="J38" i="1"/>
  <c r="J26" i="1"/>
  <c r="J69" i="1"/>
  <c r="J57" i="1"/>
  <c r="J45" i="1"/>
  <c r="J33" i="1"/>
  <c r="J21" i="1"/>
  <c r="J9" i="1"/>
  <c r="J71" i="1"/>
  <c r="J59" i="1"/>
  <c r="J47" i="1"/>
  <c r="J35" i="1"/>
  <c r="J23" i="1"/>
  <c r="J11" i="1"/>
  <c r="J63" i="1"/>
  <c r="J39" i="1"/>
  <c r="J15" i="1"/>
  <c r="J40" i="1"/>
  <c r="J68" i="1"/>
  <c r="G33" i="1"/>
  <c r="G56" i="1"/>
  <c r="J8" i="1"/>
  <c r="G45" i="1"/>
  <c r="J32" i="1"/>
  <c r="J27" i="1"/>
  <c r="J73" i="1"/>
  <c r="J20" i="1"/>
  <c r="G57" i="1"/>
  <c r="J52" i="1"/>
  <c r="J28" i="1"/>
  <c r="J51" i="1"/>
  <c r="J30" i="1"/>
  <c r="G9" i="1"/>
  <c r="J49" i="1"/>
  <c r="J44" i="1"/>
  <c r="J66" i="1"/>
  <c r="J42" i="1"/>
  <c r="J18" i="1"/>
  <c r="J56" i="1"/>
  <c r="J16" i="1"/>
  <c r="J25" i="1"/>
  <c r="J6" i="1"/>
  <c r="J75" i="1"/>
  <c r="G69" i="1"/>
  <c r="J64" i="1"/>
  <c r="J61" i="1"/>
  <c r="J37" i="1"/>
  <c r="J13" i="1"/>
  <c r="J4" i="1"/>
  <c r="J54" i="1"/>
  <c r="G48" i="1"/>
  <c r="G26" i="1"/>
  <c r="G35" i="1"/>
  <c r="G50" i="1"/>
  <c r="G59" i="1"/>
  <c r="G19" i="1"/>
  <c r="G16" i="1"/>
  <c r="G30" i="1"/>
  <c r="G60" i="1"/>
  <c r="G38" i="1"/>
  <c r="G72" i="1"/>
  <c r="G17" i="1"/>
  <c r="G66" i="1"/>
  <c r="G61" i="1"/>
  <c r="G53" i="1"/>
  <c r="G65" i="1"/>
  <c r="G43" i="1"/>
  <c r="G31" i="1"/>
  <c r="G40" i="1"/>
  <c r="G36" i="1"/>
  <c r="K69" i="2"/>
  <c r="K74" i="2"/>
  <c r="K62" i="2"/>
  <c r="K50" i="2"/>
  <c r="K38" i="2"/>
  <c r="K26" i="2"/>
  <c r="K14" i="2"/>
  <c r="K45" i="2"/>
  <c r="K33" i="2"/>
  <c r="K61" i="2"/>
  <c r="K57" i="2"/>
  <c r="K21" i="2"/>
  <c r="K9" i="2"/>
  <c r="B10" i="3"/>
  <c r="K13" i="2"/>
  <c r="K64" i="2"/>
  <c r="K52" i="2"/>
  <c r="K40" i="2"/>
  <c r="K28" i="2"/>
  <c r="K16" i="2"/>
  <c r="K4" i="2"/>
  <c r="B85" i="2"/>
  <c r="K71" i="2"/>
  <c r="K59" i="2"/>
  <c r="K47" i="2"/>
  <c r="K35" i="2"/>
  <c r="K23" i="2"/>
  <c r="K11" i="2"/>
  <c r="K73" i="2"/>
  <c r="K49" i="2"/>
  <c r="K37" i="2"/>
  <c r="K25" i="2"/>
  <c r="B84" i="2"/>
  <c r="K66" i="2"/>
  <c r="K54" i="2"/>
  <c r="K42" i="2"/>
  <c r="K30" i="2"/>
  <c r="K18" i="2"/>
  <c r="K6" i="2"/>
  <c r="K68" i="2"/>
  <c r="K56" i="2"/>
  <c r="K44" i="2"/>
  <c r="K32" i="2"/>
  <c r="K20" i="2"/>
  <c r="K8" i="2"/>
  <c r="K51" i="2"/>
  <c r="K27" i="2"/>
  <c r="K15" i="2"/>
  <c r="K75" i="2"/>
  <c r="K63" i="2"/>
  <c r="K39" i="2"/>
  <c r="K70" i="2"/>
  <c r="K65" i="2"/>
  <c r="K7" i="2"/>
  <c r="K46" i="2"/>
  <c r="K60" i="2"/>
  <c r="K55" i="2"/>
  <c r="K34" i="2"/>
  <c r="K29" i="2"/>
  <c r="K24" i="2"/>
  <c r="K19" i="2"/>
  <c r="K41" i="2"/>
  <c r="K67" i="2"/>
  <c r="K10" i="2"/>
  <c r="K5" i="2"/>
  <c r="K12" i="2"/>
  <c r="K31" i="2"/>
  <c r="K53" i="2"/>
  <c r="K43" i="2"/>
  <c r="K22" i="2"/>
  <c r="K17" i="2"/>
  <c r="K58" i="2"/>
  <c r="K48" i="2"/>
  <c r="K36" i="2"/>
  <c r="K72" i="2"/>
  <c r="O69" i="2"/>
  <c r="O57" i="2"/>
  <c r="O45" i="2"/>
  <c r="O33" i="2"/>
  <c r="O21" i="2"/>
  <c r="O9" i="2"/>
  <c r="O64" i="2"/>
  <c r="O52" i="2"/>
  <c r="O40" i="2"/>
  <c r="O28" i="2"/>
  <c r="O16" i="2"/>
  <c r="O4" i="2"/>
  <c r="B9" i="3"/>
  <c r="B14" i="3" s="1"/>
  <c r="B17" i="3" s="1"/>
  <c r="O71" i="2"/>
  <c r="O59" i="2"/>
  <c r="O47" i="2"/>
  <c r="O35" i="2"/>
  <c r="O23" i="2"/>
  <c r="O11" i="2"/>
  <c r="B87" i="2"/>
  <c r="B86" i="2"/>
  <c r="O66" i="2"/>
  <c r="O54" i="2"/>
  <c r="O42" i="2"/>
  <c r="O30" i="2"/>
  <c r="O18" i="2"/>
  <c r="O6" i="2"/>
  <c r="O61" i="2"/>
  <c r="O37" i="2"/>
  <c r="O25" i="2"/>
  <c r="O73" i="2"/>
  <c r="O49" i="2"/>
  <c r="O13" i="2"/>
  <c r="O8" i="2"/>
  <c r="O68" i="2"/>
  <c r="O56" i="2"/>
  <c r="O44" i="2"/>
  <c r="O32" i="2"/>
  <c r="O20" i="2"/>
  <c r="O53" i="2"/>
  <c r="O29" i="2"/>
  <c r="O17" i="2"/>
  <c r="O70" i="2"/>
  <c r="O58" i="2"/>
  <c r="O46" i="2"/>
  <c r="O34" i="2"/>
  <c r="O22" i="2"/>
  <c r="O10" i="2"/>
  <c r="O65" i="2"/>
  <c r="O41" i="2"/>
  <c r="O75" i="2"/>
  <c r="O14" i="2"/>
  <c r="O62" i="2"/>
  <c r="O39" i="2"/>
  <c r="O51" i="2"/>
  <c r="O50" i="2"/>
  <c r="O7" i="2"/>
  <c r="O31" i="2"/>
  <c r="O36" i="2"/>
  <c r="O74" i="2"/>
  <c r="O43" i="2"/>
  <c r="O24" i="2"/>
  <c r="O48" i="2"/>
  <c r="O38" i="2"/>
  <c r="O15" i="2"/>
  <c r="O5" i="2"/>
  <c r="O63" i="2"/>
  <c r="O12" i="2"/>
  <c r="O27" i="2"/>
  <c r="O26" i="2"/>
  <c r="O67" i="2"/>
  <c r="O72" i="2"/>
  <c r="O55" i="2"/>
  <c r="O19" i="2"/>
  <c r="O60" i="2"/>
  <c r="O72" i="1"/>
  <c r="O60" i="1"/>
  <c r="O48" i="1"/>
  <c r="O36" i="1"/>
  <c r="O24" i="1"/>
  <c r="O12" i="1"/>
  <c r="O67" i="1"/>
  <c r="O55" i="1"/>
  <c r="O43" i="1"/>
  <c r="O31" i="1"/>
  <c r="O19" i="1"/>
  <c r="O7" i="1"/>
  <c r="O74" i="1"/>
  <c r="O62" i="1"/>
  <c r="O50" i="1"/>
  <c r="O38" i="1"/>
  <c r="O26" i="1"/>
  <c r="O14" i="1"/>
  <c r="O52" i="1"/>
  <c r="O40" i="1"/>
  <c r="O28" i="1"/>
  <c r="O4" i="1"/>
  <c r="O69" i="1"/>
  <c r="O57" i="1"/>
  <c r="O45" i="1"/>
  <c r="O33" i="1"/>
  <c r="O21" i="1"/>
  <c r="O9" i="1"/>
  <c r="B87" i="1"/>
  <c r="O64" i="1"/>
  <c r="O16" i="1"/>
  <c r="O71" i="1"/>
  <c r="O59" i="1"/>
  <c r="O47" i="1"/>
  <c r="O35" i="1"/>
  <c r="O23" i="1"/>
  <c r="O11" i="1"/>
  <c r="O73" i="1"/>
  <c r="O61" i="1"/>
  <c r="O49" i="1"/>
  <c r="O37" i="1"/>
  <c r="O25" i="1"/>
  <c r="O13" i="1"/>
  <c r="O53" i="1"/>
  <c r="O29" i="1"/>
  <c r="O5" i="1"/>
  <c r="O41" i="1"/>
  <c r="O58" i="1"/>
  <c r="O44" i="1"/>
  <c r="O34" i="1"/>
  <c r="O70" i="1"/>
  <c r="O54" i="1"/>
  <c r="O30" i="1"/>
  <c r="O68" i="1"/>
  <c r="O63" i="1"/>
  <c r="O15" i="1"/>
  <c r="O10" i="1"/>
  <c r="B86" i="1"/>
  <c r="O66" i="1"/>
  <c r="O42" i="1"/>
  <c r="O18" i="1"/>
  <c r="O22" i="1"/>
  <c r="O56" i="1"/>
  <c r="O32" i="1"/>
  <c r="O46" i="1"/>
  <c r="O65" i="1"/>
  <c r="O17" i="1"/>
  <c r="O20" i="1"/>
  <c r="O75" i="1"/>
  <c r="O51" i="1"/>
  <c r="O27" i="1"/>
  <c r="O8" i="1"/>
  <c r="O39" i="1"/>
  <c r="O6" i="1"/>
  <c r="B85" i="1"/>
  <c r="G44" i="1" s="1"/>
  <c r="N69" i="2" l="1"/>
  <c r="N57" i="2"/>
  <c r="N45" i="2"/>
  <c r="N33" i="2"/>
  <c r="N21" i="2"/>
  <c r="N9" i="2"/>
  <c r="N52" i="2"/>
  <c r="H50" i="2"/>
  <c r="N40" i="2"/>
  <c r="H38" i="2"/>
  <c r="N28" i="2"/>
  <c r="H26" i="2"/>
  <c r="N4" i="2"/>
  <c r="H74" i="2"/>
  <c r="N64" i="2"/>
  <c r="H62" i="2"/>
  <c r="N16" i="2"/>
  <c r="H14" i="2"/>
  <c r="H42" i="2"/>
  <c r="H30" i="2"/>
  <c r="H18" i="2"/>
  <c r="N68" i="2"/>
  <c r="N71" i="2"/>
  <c r="H69" i="2"/>
  <c r="N59" i="2"/>
  <c r="H57" i="2"/>
  <c r="N47" i="2"/>
  <c r="H45" i="2"/>
  <c r="N35" i="2"/>
  <c r="H33" i="2"/>
  <c r="N23" i="2"/>
  <c r="H21" i="2"/>
  <c r="N11" i="2"/>
  <c r="H9" i="2"/>
  <c r="H66" i="2"/>
  <c r="H54" i="2"/>
  <c r="N44" i="2"/>
  <c r="N32" i="2"/>
  <c r="N20" i="2"/>
  <c r="H6" i="2"/>
  <c r="N66" i="2"/>
  <c r="H64" i="2"/>
  <c r="N54" i="2"/>
  <c r="H52" i="2"/>
  <c r="N42" i="2"/>
  <c r="H40" i="2"/>
  <c r="N30" i="2"/>
  <c r="H28" i="2"/>
  <c r="N18" i="2"/>
  <c r="H16" i="2"/>
  <c r="N6" i="2"/>
  <c r="H4" i="2"/>
  <c r="N8" i="2"/>
  <c r="N73" i="2"/>
  <c r="N61" i="2"/>
  <c r="N49" i="2"/>
  <c r="N37" i="2"/>
  <c r="N25" i="2"/>
  <c r="N13" i="2"/>
  <c r="N75" i="2"/>
  <c r="N63" i="2"/>
  <c r="N51" i="2"/>
  <c r="N39" i="2"/>
  <c r="N27" i="2"/>
  <c r="N15" i="2"/>
  <c r="N58" i="2"/>
  <c r="N34" i="2"/>
  <c r="N22" i="2"/>
  <c r="N10" i="2"/>
  <c r="N70" i="2"/>
  <c r="N46" i="2"/>
  <c r="N50" i="2"/>
  <c r="N24" i="2"/>
  <c r="N19" i="2"/>
  <c r="N72" i="2"/>
  <c r="N65" i="2"/>
  <c r="N14" i="2"/>
  <c r="N62" i="2"/>
  <c r="N5" i="2"/>
  <c r="H60" i="2"/>
  <c r="H34" i="2"/>
  <c r="H29" i="2"/>
  <c r="N41" i="2"/>
  <c r="H5" i="2"/>
  <c r="H24" i="2"/>
  <c r="N60" i="2"/>
  <c r="H36" i="2"/>
  <c r="N29" i="2"/>
  <c r="N12" i="2"/>
  <c r="N31" i="2"/>
  <c r="N36" i="2"/>
  <c r="N74" i="2"/>
  <c r="N53" i="2"/>
  <c r="N43" i="2"/>
  <c r="N7" i="2"/>
  <c r="H48" i="2"/>
  <c r="N67" i="2"/>
  <c r="N56" i="2"/>
  <c r="H72" i="2"/>
  <c r="N55" i="2"/>
  <c r="N48" i="2"/>
  <c r="N38" i="2"/>
  <c r="N17" i="2"/>
  <c r="H12" i="2"/>
  <c r="N26" i="2"/>
  <c r="H51" i="2"/>
  <c r="H37" i="2"/>
  <c r="H63" i="2"/>
  <c r="H49" i="2"/>
  <c r="H43" i="2"/>
  <c r="H65" i="2"/>
  <c r="H75" i="2"/>
  <c r="H71" i="2"/>
  <c r="H55" i="2"/>
  <c r="H23" i="2"/>
  <c r="H68" i="2"/>
  <c r="H56" i="2"/>
  <c r="H61" i="2"/>
  <c r="H22" i="2"/>
  <c r="H32" i="2"/>
  <c r="H67" i="2"/>
  <c r="H13" i="2"/>
  <c r="H47" i="2"/>
  <c r="H35" i="2"/>
  <c r="H25" i="2"/>
  <c r="H73" i="2"/>
  <c r="H31" i="2"/>
  <c r="H53" i="2"/>
  <c r="H70" i="2"/>
  <c r="H39" i="2"/>
  <c r="H7" i="2"/>
  <c r="H19" i="2"/>
  <c r="H10" i="2"/>
  <c r="H11" i="2"/>
  <c r="H44" i="2"/>
  <c r="H17" i="2"/>
  <c r="H59" i="2"/>
  <c r="H46" i="2"/>
  <c r="H8" i="2"/>
  <c r="H58" i="2"/>
  <c r="H20" i="2"/>
  <c r="H41" i="2"/>
  <c r="H15" i="2"/>
  <c r="H27" i="2"/>
  <c r="P64" i="2"/>
  <c r="P52" i="2"/>
  <c r="P40" i="2"/>
  <c r="P28" i="2"/>
  <c r="P16" i="2"/>
  <c r="P4" i="2"/>
  <c r="P71" i="2"/>
  <c r="P59" i="2"/>
  <c r="P47" i="2"/>
  <c r="P35" i="2"/>
  <c r="P23" i="2"/>
  <c r="P11" i="2"/>
  <c r="P63" i="2"/>
  <c r="P66" i="2"/>
  <c r="P54" i="2"/>
  <c r="P42" i="2"/>
  <c r="P30" i="2"/>
  <c r="P18" i="2"/>
  <c r="P6" i="2"/>
  <c r="P51" i="2"/>
  <c r="P39" i="2"/>
  <c r="P27" i="2"/>
  <c r="P15" i="2"/>
  <c r="P73" i="2"/>
  <c r="P61" i="2"/>
  <c r="P49" i="2"/>
  <c r="P37" i="2"/>
  <c r="P25" i="2"/>
  <c r="P13" i="2"/>
  <c r="P68" i="2"/>
  <c r="P56" i="2"/>
  <c r="P44" i="2"/>
  <c r="P32" i="2"/>
  <c r="P20" i="2"/>
  <c r="P8" i="2"/>
  <c r="P75" i="2"/>
  <c r="P70" i="2"/>
  <c r="P58" i="2"/>
  <c r="P46" i="2"/>
  <c r="P34" i="2"/>
  <c r="P22" i="2"/>
  <c r="P10" i="2"/>
  <c r="P41" i="2"/>
  <c r="P17" i="2"/>
  <c r="P5" i="2"/>
  <c r="P65" i="2"/>
  <c r="P53" i="2"/>
  <c r="P29" i="2"/>
  <c r="P67" i="2"/>
  <c r="P60" i="2"/>
  <c r="P45" i="2"/>
  <c r="P9" i="2"/>
  <c r="P57" i="2"/>
  <c r="P50" i="2"/>
  <c r="P14" i="2"/>
  <c r="P24" i="2"/>
  <c r="P55" i="2"/>
  <c r="P74" i="2"/>
  <c r="P43" i="2"/>
  <c r="P69" i="2"/>
  <c r="P48" i="2"/>
  <c r="P38" i="2"/>
  <c r="P19" i="2"/>
  <c r="P33" i="2"/>
  <c r="P12" i="2"/>
  <c r="P21" i="2"/>
  <c r="P7" i="2"/>
  <c r="P36" i="2"/>
  <c r="P72" i="2"/>
  <c r="P62" i="2"/>
  <c r="P31" i="2"/>
  <c r="P26" i="2"/>
  <c r="L74" i="2"/>
  <c r="L62" i="2"/>
  <c r="L50" i="2"/>
  <c r="L38" i="2"/>
  <c r="L26" i="2"/>
  <c r="L14" i="2"/>
  <c r="L69" i="2"/>
  <c r="L57" i="2"/>
  <c r="L45" i="2"/>
  <c r="L33" i="2"/>
  <c r="L21" i="2"/>
  <c r="L9" i="2"/>
  <c r="L64" i="2"/>
  <c r="L52" i="2"/>
  <c r="L40" i="2"/>
  <c r="L28" i="2"/>
  <c r="L16" i="2"/>
  <c r="L4" i="2"/>
  <c r="L6" i="2"/>
  <c r="L71" i="2"/>
  <c r="L59" i="2"/>
  <c r="L47" i="2"/>
  <c r="L35" i="2"/>
  <c r="L23" i="2"/>
  <c r="L11" i="2"/>
  <c r="L66" i="2"/>
  <c r="L42" i="2"/>
  <c r="L30" i="2"/>
  <c r="L18" i="2"/>
  <c r="L54" i="2"/>
  <c r="L37" i="2"/>
  <c r="L25" i="2"/>
  <c r="L73" i="2"/>
  <c r="L61" i="2"/>
  <c r="L49" i="2"/>
  <c r="L13" i="2"/>
  <c r="L58" i="2"/>
  <c r="L75" i="2"/>
  <c r="L63" i="2"/>
  <c r="L51" i="2"/>
  <c r="L39" i="2"/>
  <c r="L27" i="2"/>
  <c r="L15" i="2"/>
  <c r="L70" i="2"/>
  <c r="L46" i="2"/>
  <c r="L34" i="2"/>
  <c r="L22" i="2"/>
  <c r="L60" i="2"/>
  <c r="L55" i="2"/>
  <c r="L29" i="2"/>
  <c r="L20" i="2"/>
  <c r="L24" i="2"/>
  <c r="L19" i="2"/>
  <c r="L72" i="2"/>
  <c r="L10" i="2"/>
  <c r="L5" i="2"/>
  <c r="L65" i="2"/>
  <c r="L44" i="2"/>
  <c r="L36" i="2"/>
  <c r="L8" i="2"/>
  <c r="L67" i="2"/>
  <c r="L56" i="2"/>
  <c r="L41" i="2"/>
  <c r="L68" i="2"/>
  <c r="L32" i="2"/>
  <c r="L12" i="2"/>
  <c r="L53" i="2"/>
  <c r="L43" i="2"/>
  <c r="L48" i="2"/>
  <c r="L17" i="2"/>
  <c r="L7" i="2"/>
  <c r="L31" i="2"/>
  <c r="G24" i="1"/>
  <c r="G74" i="1"/>
  <c r="G49" i="1"/>
  <c r="G52" i="1"/>
  <c r="G12" i="1"/>
  <c r="G8" i="1"/>
  <c r="H53" i="1"/>
  <c r="N7" i="1"/>
  <c r="N72" i="1"/>
  <c r="N60" i="1"/>
  <c r="N48" i="1"/>
  <c r="N36" i="1"/>
  <c r="N24" i="1"/>
  <c r="N12" i="1"/>
  <c r="H65" i="1"/>
  <c r="N55" i="1"/>
  <c r="H29" i="1"/>
  <c r="N19" i="1"/>
  <c r="H45" i="1"/>
  <c r="N67" i="1"/>
  <c r="N43" i="1"/>
  <c r="H41" i="1"/>
  <c r="N31" i="1"/>
  <c r="H17" i="1"/>
  <c r="H5" i="1"/>
  <c r="H69" i="1"/>
  <c r="H33" i="1"/>
  <c r="N23" i="1"/>
  <c r="N26" i="1"/>
  <c r="H12" i="1"/>
  <c r="H57" i="1"/>
  <c r="N35" i="1"/>
  <c r="N74" i="1"/>
  <c r="H72" i="1"/>
  <c r="N62" i="1"/>
  <c r="H60" i="1"/>
  <c r="N50" i="1"/>
  <c r="H48" i="1"/>
  <c r="N38" i="1"/>
  <c r="H36" i="1"/>
  <c r="H24" i="1"/>
  <c r="N14" i="1"/>
  <c r="N59" i="1"/>
  <c r="N47" i="1"/>
  <c r="H21" i="1"/>
  <c r="N69" i="1"/>
  <c r="N57" i="1"/>
  <c r="N45" i="1"/>
  <c r="N33" i="1"/>
  <c r="H31" i="1"/>
  <c r="N21" i="1"/>
  <c r="H19" i="1"/>
  <c r="N9" i="1"/>
  <c r="H7" i="1"/>
  <c r="N71" i="1"/>
  <c r="N64" i="1"/>
  <c r="N52" i="1"/>
  <c r="N40" i="1"/>
  <c r="N28" i="1"/>
  <c r="N16" i="1"/>
  <c r="N4" i="1"/>
  <c r="N66" i="1"/>
  <c r="N54" i="1"/>
  <c r="N42" i="1"/>
  <c r="N30" i="1"/>
  <c r="N18" i="1"/>
  <c r="N6" i="1"/>
  <c r="N73" i="1"/>
  <c r="N49" i="1"/>
  <c r="N37" i="1"/>
  <c r="N61" i="1"/>
  <c r="N25" i="1"/>
  <c r="N13" i="1"/>
  <c r="N15" i="1"/>
  <c r="H68" i="1"/>
  <c r="H63" i="1"/>
  <c r="N53" i="1"/>
  <c r="H39" i="1"/>
  <c r="N29" i="1"/>
  <c r="H15" i="1"/>
  <c r="H6" i="1"/>
  <c r="H44" i="1"/>
  <c r="N68" i="1"/>
  <c r="N20" i="1"/>
  <c r="N34" i="1"/>
  <c r="N10" i="1"/>
  <c r="H9" i="1"/>
  <c r="N5" i="1"/>
  <c r="N46" i="1"/>
  <c r="N51" i="1"/>
  <c r="N8" i="1"/>
  <c r="N11" i="1"/>
  <c r="N70" i="1"/>
  <c r="N22" i="1"/>
  <c r="N44" i="1"/>
  <c r="N56" i="1"/>
  <c r="N32" i="1"/>
  <c r="N75" i="1"/>
  <c r="H20" i="1"/>
  <c r="N27" i="1"/>
  <c r="H75" i="1"/>
  <c r="N65" i="1"/>
  <c r="H51" i="1"/>
  <c r="N41" i="1"/>
  <c r="H27" i="1"/>
  <c r="N17" i="1"/>
  <c r="N63" i="1"/>
  <c r="N39" i="1"/>
  <c r="N58" i="1"/>
  <c r="H42" i="1"/>
  <c r="H34" i="1"/>
  <c r="H70" i="1"/>
  <c r="H14" i="1"/>
  <c r="H62" i="1"/>
  <c r="H26" i="1"/>
  <c r="H10" i="1"/>
  <c r="H28" i="1"/>
  <c r="H52" i="1"/>
  <c r="H46" i="1"/>
  <c r="H18" i="1"/>
  <c r="H67" i="1"/>
  <c r="H54" i="1"/>
  <c r="H66" i="1"/>
  <c r="H58" i="1"/>
  <c r="H59" i="1"/>
  <c r="H4" i="1"/>
  <c r="H74" i="1"/>
  <c r="H32" i="1"/>
  <c r="H55" i="1"/>
  <c r="H43" i="1"/>
  <c r="H13" i="1"/>
  <c r="H73" i="1"/>
  <c r="H23" i="1"/>
  <c r="H40" i="1"/>
  <c r="H71" i="1"/>
  <c r="H49" i="1"/>
  <c r="H61" i="1"/>
  <c r="H30" i="1"/>
  <c r="H25" i="1"/>
  <c r="H16" i="1"/>
  <c r="H37" i="1"/>
  <c r="H22" i="1"/>
  <c r="H64" i="1"/>
  <c r="H56" i="1"/>
  <c r="H47" i="1"/>
  <c r="H50" i="1"/>
  <c r="H11" i="1"/>
  <c r="H35" i="1"/>
  <c r="H38" i="1"/>
  <c r="H8" i="1"/>
  <c r="G7" i="1"/>
  <c r="G4" i="1"/>
  <c r="G32" i="1"/>
  <c r="G46" i="1"/>
  <c r="B21" i="3"/>
  <c r="B20" i="3"/>
  <c r="B22" i="3" s="1"/>
  <c r="P67" i="1"/>
  <c r="P55" i="1"/>
  <c r="P43" i="1"/>
  <c r="P31" i="1"/>
  <c r="P19" i="1"/>
  <c r="P7" i="1"/>
  <c r="P74" i="1"/>
  <c r="P50" i="1"/>
  <c r="P38" i="1"/>
  <c r="P14" i="1"/>
  <c r="P66" i="1"/>
  <c r="P18" i="1"/>
  <c r="P62" i="1"/>
  <c r="P26" i="1"/>
  <c r="P54" i="1"/>
  <c r="P42" i="1"/>
  <c r="P69" i="1"/>
  <c r="P57" i="1"/>
  <c r="P45" i="1"/>
  <c r="P33" i="1"/>
  <c r="P21" i="1"/>
  <c r="P9" i="1"/>
  <c r="P30" i="1"/>
  <c r="P64" i="1"/>
  <c r="P52" i="1"/>
  <c r="P40" i="1"/>
  <c r="P28" i="1"/>
  <c r="P16" i="1"/>
  <c r="P4" i="1"/>
  <c r="P71" i="1"/>
  <c r="P59" i="1"/>
  <c r="P47" i="1"/>
  <c r="P35" i="1"/>
  <c r="P23" i="1"/>
  <c r="P11" i="1"/>
  <c r="P73" i="1"/>
  <c r="P61" i="1"/>
  <c r="P49" i="1"/>
  <c r="P37" i="1"/>
  <c r="P25" i="1"/>
  <c r="P13" i="1"/>
  <c r="P68" i="1"/>
  <c r="P20" i="1"/>
  <c r="P8" i="1"/>
  <c r="P56" i="1"/>
  <c r="P44" i="1"/>
  <c r="P32" i="1"/>
  <c r="P72" i="1"/>
  <c r="P48" i="1"/>
  <c r="P24" i="1"/>
  <c r="P63" i="1"/>
  <c r="P5" i="1"/>
  <c r="P39" i="1"/>
  <c r="P15" i="1"/>
  <c r="P6" i="1"/>
  <c r="P58" i="1"/>
  <c r="P10" i="1"/>
  <c r="P17" i="1"/>
  <c r="P41" i="1"/>
  <c r="P29" i="1"/>
  <c r="P75" i="1"/>
  <c r="P51" i="1"/>
  <c r="P27" i="1"/>
  <c r="P53" i="1"/>
  <c r="P70" i="1"/>
  <c r="P46" i="1"/>
  <c r="P22" i="1"/>
  <c r="P65" i="1"/>
  <c r="P60" i="1"/>
  <c r="P36" i="1"/>
  <c r="P12" i="1"/>
  <c r="P34" i="1"/>
  <c r="G22" i="1"/>
  <c r="G62" i="1"/>
  <c r="G23" i="1"/>
  <c r="G15" i="1"/>
  <c r="G10" i="1"/>
  <c r="G54" i="1"/>
  <c r="G47" i="1"/>
  <c r="G20" i="1"/>
  <c r="G42" i="1"/>
  <c r="G13" i="1"/>
  <c r="G71" i="1"/>
  <c r="G27" i="1"/>
  <c r="G58" i="1"/>
  <c r="G64" i="1"/>
  <c r="G6" i="1"/>
  <c r="L65" i="1"/>
  <c r="L53" i="1"/>
  <c r="L41" i="1"/>
  <c r="L29" i="1"/>
  <c r="L17" i="1"/>
  <c r="L5" i="1"/>
  <c r="L72" i="1"/>
  <c r="L60" i="1"/>
  <c r="L48" i="1"/>
  <c r="L36" i="1"/>
  <c r="L24" i="1"/>
  <c r="L12" i="1"/>
  <c r="L67" i="1"/>
  <c r="L55" i="1"/>
  <c r="L43" i="1"/>
  <c r="L31" i="1"/>
  <c r="L19" i="1"/>
  <c r="L7" i="1"/>
  <c r="L57" i="1"/>
  <c r="L33" i="1"/>
  <c r="L21" i="1"/>
  <c r="L74" i="1"/>
  <c r="L62" i="1"/>
  <c r="L50" i="1"/>
  <c r="L38" i="1"/>
  <c r="L26" i="1"/>
  <c r="L14" i="1"/>
  <c r="L69" i="1"/>
  <c r="L45" i="1"/>
  <c r="L9" i="1"/>
  <c r="L64" i="1"/>
  <c r="L28" i="1"/>
  <c r="L4" i="1"/>
  <c r="L52" i="1"/>
  <c r="L40" i="1"/>
  <c r="L16" i="1"/>
  <c r="L66" i="1"/>
  <c r="L54" i="1"/>
  <c r="L42" i="1"/>
  <c r="L30" i="1"/>
  <c r="L18" i="1"/>
  <c r="L6" i="1"/>
  <c r="L10" i="1"/>
  <c r="L70" i="1"/>
  <c r="L68" i="1"/>
  <c r="L44" i="1"/>
  <c r="L20" i="1"/>
  <c r="L23" i="1"/>
  <c r="L51" i="1"/>
  <c r="L8" i="1"/>
  <c r="L46" i="1"/>
  <c r="L63" i="1"/>
  <c r="L59" i="1"/>
  <c r="L35" i="1"/>
  <c r="L11" i="1"/>
  <c r="L71" i="1"/>
  <c r="L47" i="1"/>
  <c r="L22" i="1"/>
  <c r="L73" i="1"/>
  <c r="L39" i="1"/>
  <c r="L15" i="1"/>
  <c r="L61" i="1"/>
  <c r="L37" i="1"/>
  <c r="L13" i="1"/>
  <c r="L25" i="1"/>
  <c r="L75" i="1"/>
  <c r="L56" i="1"/>
  <c r="L32" i="1"/>
  <c r="L27" i="1"/>
  <c r="L49" i="1"/>
  <c r="L58" i="1"/>
  <c r="L34" i="1"/>
  <c r="G14" i="1"/>
  <c r="G18" i="1"/>
  <c r="G67" i="1"/>
  <c r="G51" i="1"/>
  <c r="G25" i="1"/>
  <c r="G73" i="1"/>
  <c r="G28" i="1"/>
  <c r="G21" i="1"/>
  <c r="G5" i="1"/>
  <c r="G63" i="1"/>
  <c r="J67" i="2"/>
  <c r="G60" i="2"/>
  <c r="J55" i="2"/>
  <c r="G48" i="2"/>
  <c r="J43" i="2"/>
  <c r="G36" i="2"/>
  <c r="J31" i="2"/>
  <c r="G24" i="2"/>
  <c r="J19" i="2"/>
  <c r="G12" i="2"/>
  <c r="J7" i="2"/>
  <c r="J74" i="2"/>
  <c r="G67" i="2"/>
  <c r="J62" i="2"/>
  <c r="J50" i="2"/>
  <c r="J38" i="2"/>
  <c r="J26" i="2"/>
  <c r="G19" i="2"/>
  <c r="J14" i="2"/>
  <c r="G7" i="2"/>
  <c r="J69" i="2"/>
  <c r="J57" i="2"/>
  <c r="J45" i="2"/>
  <c r="J33" i="2"/>
  <c r="J21" i="2"/>
  <c r="J9" i="2"/>
  <c r="J47" i="2"/>
  <c r="G40" i="2"/>
  <c r="J23" i="2"/>
  <c r="G16" i="2"/>
  <c r="J11" i="2"/>
  <c r="G52" i="2"/>
  <c r="J64" i="2"/>
  <c r="J52" i="2"/>
  <c r="J40" i="2"/>
  <c r="J28" i="2"/>
  <c r="J16" i="2"/>
  <c r="J4" i="2"/>
  <c r="J71" i="2"/>
  <c r="G64" i="2"/>
  <c r="J59" i="2"/>
  <c r="J35" i="2"/>
  <c r="G28" i="2"/>
  <c r="G4" i="2"/>
  <c r="J30" i="2"/>
  <c r="J18" i="2"/>
  <c r="J66" i="2"/>
  <c r="J54" i="2"/>
  <c r="J42" i="2"/>
  <c r="J6" i="2"/>
  <c r="J15" i="2"/>
  <c r="J68" i="2"/>
  <c r="J56" i="2"/>
  <c r="J44" i="2"/>
  <c r="J32" i="2"/>
  <c r="J20" i="2"/>
  <c r="J8" i="2"/>
  <c r="J75" i="2"/>
  <c r="J63" i="2"/>
  <c r="J51" i="2"/>
  <c r="J39" i="2"/>
  <c r="J27" i="2"/>
  <c r="G5" i="2"/>
  <c r="J53" i="2"/>
  <c r="J37" i="2"/>
  <c r="G6" i="2"/>
  <c r="J70" i="2"/>
  <c r="J65" i="2"/>
  <c r="J12" i="2"/>
  <c r="J61" i="2"/>
  <c r="G66" i="2"/>
  <c r="J60" i="2"/>
  <c r="J34" i="2"/>
  <c r="J29" i="2"/>
  <c r="J72" i="2"/>
  <c r="J5" i="2"/>
  <c r="G70" i="2"/>
  <c r="G65" i="2"/>
  <c r="J49" i="2"/>
  <c r="G39" i="2"/>
  <c r="J24" i="2"/>
  <c r="G54" i="2"/>
  <c r="G34" i="2"/>
  <c r="G29" i="2"/>
  <c r="J13" i="2"/>
  <c r="J10" i="2"/>
  <c r="G10" i="2"/>
  <c r="G18" i="2"/>
  <c r="G8" i="2"/>
  <c r="J58" i="2"/>
  <c r="G42" i="2"/>
  <c r="J46" i="2"/>
  <c r="J25" i="2"/>
  <c r="G41" i="2"/>
  <c r="J73" i="2"/>
  <c r="J22" i="2"/>
  <c r="J17" i="2"/>
  <c r="J41" i="2"/>
  <c r="J48" i="2"/>
  <c r="G53" i="2"/>
  <c r="J36" i="2"/>
  <c r="G30" i="2"/>
  <c r="G17" i="2"/>
  <c r="G43" i="2"/>
  <c r="G44" i="2"/>
  <c r="G50" i="2"/>
  <c r="G32" i="2"/>
  <c r="G61" i="2"/>
  <c r="G45" i="2"/>
  <c r="G35" i="2"/>
  <c r="G58" i="2"/>
  <c r="G33" i="2"/>
  <c r="G22" i="2"/>
  <c r="G62" i="2"/>
  <c r="G56" i="2"/>
  <c r="G26" i="2"/>
  <c r="G38" i="2"/>
  <c r="G9" i="2"/>
  <c r="G63" i="2"/>
  <c r="G59" i="2"/>
  <c r="G25" i="2"/>
  <c r="G14" i="2"/>
  <c r="G46" i="2"/>
  <c r="G74" i="2"/>
  <c r="G72" i="2"/>
  <c r="G15" i="2"/>
  <c r="G21" i="2"/>
  <c r="G68" i="2"/>
  <c r="G49" i="2"/>
  <c r="G20" i="2"/>
  <c r="G27" i="2"/>
  <c r="G51" i="2"/>
  <c r="G37" i="2"/>
  <c r="G57" i="2"/>
  <c r="G55" i="2"/>
  <c r="G75" i="2"/>
  <c r="G11" i="2"/>
  <c r="G73" i="2"/>
  <c r="G71" i="2"/>
  <c r="G47" i="2"/>
  <c r="G13" i="2"/>
  <c r="G23" i="2"/>
  <c r="G31" i="2"/>
  <c r="G69" i="2"/>
  <c r="G41" i="1"/>
  <c r="G11" i="1"/>
  <c r="G29" i="1"/>
  <c r="G39" i="1"/>
  <c r="G68" i="1"/>
  <c r="G37" i="1"/>
  <c r="G75" i="1"/>
</calcChain>
</file>

<file path=xl/sharedStrings.xml><?xml version="1.0" encoding="utf-8"?>
<sst xmlns="http://schemas.openxmlformats.org/spreadsheetml/2006/main" count="69" uniqueCount="45">
  <si>
    <t>Sample No.</t>
  </si>
  <si>
    <t>X1</t>
  </si>
  <si>
    <t>X2</t>
  </si>
  <si>
    <t>X3</t>
  </si>
  <si>
    <t>Sample Mean (X-bar_i)</t>
  </si>
  <si>
    <t>Sample Range (R_i)</t>
  </si>
  <si>
    <t>X-bar out of control?</t>
  </si>
  <si>
    <t>R out of control?</t>
  </si>
  <si>
    <t>X-bar UCL</t>
  </si>
  <si>
    <t>X-bar Mean</t>
  </si>
  <si>
    <t>X-bar LCL</t>
  </si>
  <si>
    <t>R UCL</t>
  </si>
  <si>
    <t>R-bar</t>
  </si>
  <si>
    <t>R LCL</t>
  </si>
  <si>
    <t>Summary statistics</t>
  </si>
  <si>
    <t>Grand mean, X-double-bar  = AVERAGE(all sample means)</t>
  </si>
  <si>
    <t>R-bar  = AVERAGE(all sample ranges)</t>
  </si>
  <si>
    <t>Control chart factors (n=3): A2 = 1.02, D3 = 0, D4 = 2.57</t>
  </si>
  <si>
    <t>X-bar chart UCL  = X-double-bar + A2 x R-bar</t>
  </si>
  <si>
    <t>X-bar chart LCL  = X-double-bar - A2 x R-bar</t>
  </si>
  <si>
    <t>R chart UCL  = D4 x R-bar</t>
  </si>
  <si>
    <t>R chart LCL  = D3 x R-bar</t>
  </si>
  <si>
    <t>Customer specification</t>
  </si>
  <si>
    <t>Upper Specification Limit (USL)</t>
  </si>
  <si>
    <t>Lower Specification Limit (LSL)</t>
  </si>
  <si>
    <t>Target</t>
  </si>
  <si>
    <t>Inputs (linked from Post-Improvement sheet)</t>
  </si>
  <si>
    <t>R-bar (post-improvement)</t>
  </si>
  <si>
    <t>X-double-bar (post-improvement)</t>
  </si>
  <si>
    <t>d2 (control chart factor, n = 3)</t>
  </si>
  <si>
    <t>standard SQC table value for subgroup size 3</t>
  </si>
  <si>
    <t>Step 1: Estimate process sigma</t>
  </si>
  <si>
    <t>sigma = R-bar / d2</t>
  </si>
  <si>
    <t>sigma</t>
  </si>
  <si>
    <t>Step 2: Cp</t>
  </si>
  <si>
    <t>Cp = (USL - LSL) / (6 x sigma)</t>
  </si>
  <si>
    <t>Cp</t>
  </si>
  <si>
    <t>Step 3: Cpu, Cpl, Cpk</t>
  </si>
  <si>
    <t>Cpu = (USL - X-double-bar) / (3 x sigma)</t>
  </si>
  <si>
    <t>Cpl = (X-double-bar - LSL) / (3 x sigma)</t>
  </si>
  <si>
    <t>Cpk = MIN(Cpu, Cpl)</t>
  </si>
  <si>
    <t>Å, thousands - given</t>
  </si>
  <si>
    <t>Pre-Improvement Data - X-bar and R Chart Calculations (n = 3 wafers per subgroup, 72 subgroups)</t>
  </si>
  <si>
    <t>Post-Improvement Data - X-bar and R Chart Calculations (n = 3 wafers per subgroup, 72 subgroups)</t>
  </si>
  <si>
    <t>Part E3 - Process Capability Analysis (Post-Improvement Process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</si>
</sst>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165" fontId="2" fillId="0" borderId="0" xfId="0" applyNumberFormat="1" applyFont="1"/>
    <xf numFmtId="0" fontId="1" fillId="0" borderId="0" xfId="0" applyFont="1"/>
    <xf numFmtId="0" fontId="0" fillId="0" borderId="0" xfId="0"/>
    <xf numFmtId="0" fontId="3" fillId="0" borderId="0" xfId="0" applyFont="1" applyFill="1"/>
    <xf numFmtId="0" fontId="0" fillId="0" borderId="0" xfId="0" applyFont="1" applyFill="1"/>
    <xf numFmtId="0" fontId="0" fillId="0" borderId="0" xfId="0" applyFont="1" applyFill="1"/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0" fillId="0" borderId="1" xfId="0" applyFont="1" applyFill="1" applyBorder="1" applyAlignment="1">
      <alignment horizontal="center"/>
    </xf>
    <xf numFmtId="164" fontId="0" fillId="0" borderId="0" xfId="0" applyNumberFormat="1" applyFont="1" applyFill="1"/>
    <xf numFmtId="0" fontId="4" fillId="0" borderId="0" xfId="0" applyFont="1" applyFill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X-bar Chart — Pre-Improvement Data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'Pre-Improvement'!$E$3</c:f>
              <c:strCache>
                <c:ptCount val="1"/>
                <c:pt idx="0">
                  <c:v>Sample Mean (X-bar_i)</c:v>
                </c:pt>
              </c:strCache>
            </c:strRef>
          </c:tx>
          <c:spPr>
            <a:ln w="12700"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'Pre-Improvement'!$E$4:$E$75</c:f>
              <c:numCache>
                <c:formatCode>0.0000</c:formatCode>
                <c:ptCount val="72"/>
                <c:pt idx="0">
                  <c:v>3.1876666666666669</c:v>
                </c:pt>
                <c:pt idx="1">
                  <c:v>3.214</c:v>
                </c:pt>
                <c:pt idx="2">
                  <c:v>3.1856666666666666</c:v>
                </c:pt>
                <c:pt idx="3">
                  <c:v>3.1649999999999996</c:v>
                </c:pt>
                <c:pt idx="4">
                  <c:v>3.2803333333333335</c:v>
                </c:pt>
                <c:pt idx="5">
                  <c:v>3.2279999999999998</c:v>
                </c:pt>
                <c:pt idx="6">
                  <c:v>3.1653333333333333</c:v>
                </c:pt>
                <c:pt idx="7">
                  <c:v>3.1183333333333336</c:v>
                </c:pt>
                <c:pt idx="8">
                  <c:v>3.1549999999999998</c:v>
                </c:pt>
                <c:pt idx="9">
                  <c:v>3.1653333333333333</c:v>
                </c:pt>
                <c:pt idx="10">
                  <c:v>3.0666666666666664</c:v>
                </c:pt>
                <c:pt idx="11">
                  <c:v>3.1546666666666661</c:v>
                </c:pt>
                <c:pt idx="12">
                  <c:v>3.1053333333333337</c:v>
                </c:pt>
                <c:pt idx="13">
                  <c:v>3.1053333333333328</c:v>
                </c:pt>
                <c:pt idx="14">
                  <c:v>3.0783333333333331</c:v>
                </c:pt>
                <c:pt idx="15">
                  <c:v>3.0706666666666664</c:v>
                </c:pt>
                <c:pt idx="16">
                  <c:v>3.1276666666666664</c:v>
                </c:pt>
                <c:pt idx="17">
                  <c:v>3.09</c:v>
                </c:pt>
                <c:pt idx="18">
                  <c:v>3.2513333333333332</c:v>
                </c:pt>
                <c:pt idx="19">
                  <c:v>3.0843333333333334</c:v>
                </c:pt>
                <c:pt idx="20">
                  <c:v>3.093</c:v>
                </c:pt>
                <c:pt idx="21">
                  <c:v>3.1409999999999996</c:v>
                </c:pt>
                <c:pt idx="22">
                  <c:v>3.1626666666666665</c:v>
                </c:pt>
                <c:pt idx="23">
                  <c:v>3.1553333333333331</c:v>
                </c:pt>
                <c:pt idx="24">
                  <c:v>3.0190000000000001</c:v>
                </c:pt>
                <c:pt idx="25">
                  <c:v>3.1620000000000004</c:v>
                </c:pt>
                <c:pt idx="26">
                  <c:v>3.2543333333333333</c:v>
                </c:pt>
                <c:pt idx="27">
                  <c:v>3.0886666666666667</c:v>
                </c:pt>
                <c:pt idx="28">
                  <c:v>3.0523333333333333</c:v>
                </c:pt>
                <c:pt idx="29">
                  <c:v>3.1416666666666671</c:v>
                </c:pt>
                <c:pt idx="30">
                  <c:v>3.0739999999999998</c:v>
                </c:pt>
                <c:pt idx="31">
                  <c:v>2.956</c:v>
                </c:pt>
                <c:pt idx="32">
                  <c:v>2.984</c:v>
                </c:pt>
                <c:pt idx="33">
                  <c:v>3.2023333333333333</c:v>
                </c:pt>
                <c:pt idx="34">
                  <c:v>3.1590000000000003</c:v>
                </c:pt>
                <c:pt idx="35">
                  <c:v>3.1453333333333333</c:v>
                </c:pt>
                <c:pt idx="36">
                  <c:v>3.033666666666667</c:v>
                </c:pt>
                <c:pt idx="37">
                  <c:v>3.19</c:v>
                </c:pt>
                <c:pt idx="38">
                  <c:v>3.1303333333333332</c:v>
                </c:pt>
                <c:pt idx="39">
                  <c:v>3.6753333333333331</c:v>
                </c:pt>
                <c:pt idx="40">
                  <c:v>3.2596666666666665</c:v>
                </c:pt>
                <c:pt idx="41">
                  <c:v>3.141</c:v>
                </c:pt>
                <c:pt idx="42">
                  <c:v>3.1073333333333331</c:v>
                </c:pt>
                <c:pt idx="43">
                  <c:v>3.2373333333333334</c:v>
                </c:pt>
                <c:pt idx="44">
                  <c:v>3.2433333333333336</c:v>
                </c:pt>
                <c:pt idx="45">
                  <c:v>3.1169999999999995</c:v>
                </c:pt>
                <c:pt idx="46">
                  <c:v>3.1579999999999999</c:v>
                </c:pt>
                <c:pt idx="47">
                  <c:v>3.1283333333333334</c:v>
                </c:pt>
                <c:pt idx="48">
                  <c:v>3.1303333333333332</c:v>
                </c:pt>
                <c:pt idx="49">
                  <c:v>3.1036666666666668</c:v>
                </c:pt>
                <c:pt idx="50">
                  <c:v>3.1859999999999999</c:v>
                </c:pt>
                <c:pt idx="51">
                  <c:v>3.1943333333333328</c:v>
                </c:pt>
                <c:pt idx="52">
                  <c:v>3.0946666666666669</c:v>
                </c:pt>
                <c:pt idx="53">
                  <c:v>3.0690000000000004</c:v>
                </c:pt>
                <c:pt idx="54">
                  <c:v>3.1246666666666667</c:v>
                </c:pt>
                <c:pt idx="55">
                  <c:v>3.1406666666666667</c:v>
                </c:pt>
                <c:pt idx="56">
                  <c:v>3.0196666666666663</c:v>
                </c:pt>
                <c:pt idx="57">
                  <c:v>3.1396666666666668</c:v>
                </c:pt>
                <c:pt idx="58">
                  <c:v>3.0286666666666662</c:v>
                </c:pt>
                <c:pt idx="59">
                  <c:v>3.1993333333333331</c:v>
                </c:pt>
                <c:pt idx="60">
                  <c:v>2.984</c:v>
                </c:pt>
                <c:pt idx="61">
                  <c:v>3.1479999999999997</c:v>
                </c:pt>
                <c:pt idx="62">
                  <c:v>3.2036666666666669</c:v>
                </c:pt>
                <c:pt idx="63">
                  <c:v>2.988</c:v>
                </c:pt>
                <c:pt idx="64">
                  <c:v>3.0920000000000001</c:v>
                </c:pt>
                <c:pt idx="65">
                  <c:v>3.2469999999999999</c:v>
                </c:pt>
                <c:pt idx="66">
                  <c:v>3.1133333333333333</c:v>
                </c:pt>
                <c:pt idx="67">
                  <c:v>3.048</c:v>
                </c:pt>
                <c:pt idx="68">
                  <c:v>3.0173333333333332</c:v>
                </c:pt>
                <c:pt idx="69">
                  <c:v>2.94</c:v>
                </c:pt>
                <c:pt idx="70">
                  <c:v>3.113666666666667</c:v>
                </c:pt>
                <c:pt idx="71">
                  <c:v>3.0086666666666666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2D-4D1E-87AD-0A66498EAAFA}"/>
            </c:ext>
          </c:extLst>
        </c:ser>
        <c:ser>
          <c:idx val="1"/>
          <c:order val="1"/>
          <c:tx>
            <c:strRef>
              <c:f>'Pre-Improvement'!$J$3</c:f>
              <c:strCache>
                <c:ptCount val="1"/>
                <c:pt idx="0">
                  <c:v>X-bar UCL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'Pre-Improvement'!$J$4:$J$75</c:f>
              <c:numCache>
                <c:formatCode>0.0000</c:formatCode>
                <c:ptCount val="72"/>
                <c:pt idx="0">
                  <c:v>3.2513899074074071</c:v>
                </c:pt>
                <c:pt idx="1">
                  <c:v>3.2513899074074071</c:v>
                </c:pt>
                <c:pt idx="2">
                  <c:v>3.2513899074074071</c:v>
                </c:pt>
                <c:pt idx="3">
                  <c:v>3.2513899074074071</c:v>
                </c:pt>
                <c:pt idx="4">
                  <c:v>3.2513899074074071</c:v>
                </c:pt>
                <c:pt idx="5">
                  <c:v>3.2513899074074071</c:v>
                </c:pt>
                <c:pt idx="6">
                  <c:v>3.2513899074074071</c:v>
                </c:pt>
                <c:pt idx="7">
                  <c:v>3.2513899074074071</c:v>
                </c:pt>
                <c:pt idx="8">
                  <c:v>3.2513899074074071</c:v>
                </c:pt>
                <c:pt idx="9">
                  <c:v>3.2513899074074071</c:v>
                </c:pt>
                <c:pt idx="10">
                  <c:v>3.2513899074074071</c:v>
                </c:pt>
                <c:pt idx="11">
                  <c:v>3.2513899074074071</c:v>
                </c:pt>
                <c:pt idx="12">
                  <c:v>3.2513899074074071</c:v>
                </c:pt>
                <c:pt idx="13">
                  <c:v>3.2513899074074071</c:v>
                </c:pt>
                <c:pt idx="14">
                  <c:v>3.2513899074074071</c:v>
                </c:pt>
                <c:pt idx="15">
                  <c:v>3.2513899074074071</c:v>
                </c:pt>
                <c:pt idx="16">
                  <c:v>3.2513899074074071</c:v>
                </c:pt>
                <c:pt idx="17">
                  <c:v>3.2513899074074071</c:v>
                </c:pt>
                <c:pt idx="18">
                  <c:v>3.2513899074074071</c:v>
                </c:pt>
                <c:pt idx="19">
                  <c:v>3.2513899074074071</c:v>
                </c:pt>
                <c:pt idx="20">
                  <c:v>3.2513899074074071</c:v>
                </c:pt>
                <c:pt idx="21">
                  <c:v>3.2513899074074071</c:v>
                </c:pt>
                <c:pt idx="22">
                  <c:v>3.2513899074074071</c:v>
                </c:pt>
                <c:pt idx="23">
                  <c:v>3.2513899074074071</c:v>
                </c:pt>
                <c:pt idx="24">
                  <c:v>3.2513899074074071</c:v>
                </c:pt>
                <c:pt idx="25">
                  <c:v>3.2513899074074071</c:v>
                </c:pt>
                <c:pt idx="26">
                  <c:v>3.2513899074074071</c:v>
                </c:pt>
                <c:pt idx="27">
                  <c:v>3.2513899074074071</c:v>
                </c:pt>
                <c:pt idx="28">
                  <c:v>3.2513899074074071</c:v>
                </c:pt>
                <c:pt idx="29">
                  <c:v>3.2513899074074071</c:v>
                </c:pt>
                <c:pt idx="30">
                  <c:v>3.2513899074074071</c:v>
                </c:pt>
                <c:pt idx="31">
                  <c:v>3.2513899074074071</c:v>
                </c:pt>
                <c:pt idx="32">
                  <c:v>3.2513899074074071</c:v>
                </c:pt>
                <c:pt idx="33">
                  <c:v>3.2513899074074071</c:v>
                </c:pt>
                <c:pt idx="34">
                  <c:v>3.2513899074074071</c:v>
                </c:pt>
                <c:pt idx="35">
                  <c:v>3.2513899074074071</c:v>
                </c:pt>
                <c:pt idx="36">
                  <c:v>3.2513899074074071</c:v>
                </c:pt>
                <c:pt idx="37">
                  <c:v>3.2513899074074071</c:v>
                </c:pt>
                <c:pt idx="38">
                  <c:v>3.2513899074074071</c:v>
                </c:pt>
                <c:pt idx="39">
                  <c:v>3.2513899074074071</c:v>
                </c:pt>
                <c:pt idx="40">
                  <c:v>3.2513899074074071</c:v>
                </c:pt>
                <c:pt idx="41">
                  <c:v>3.2513899074074071</c:v>
                </c:pt>
                <c:pt idx="42">
                  <c:v>3.2513899074074071</c:v>
                </c:pt>
                <c:pt idx="43">
                  <c:v>3.2513899074074071</c:v>
                </c:pt>
                <c:pt idx="44">
                  <c:v>3.2513899074074071</c:v>
                </c:pt>
                <c:pt idx="45">
                  <c:v>3.2513899074074071</c:v>
                </c:pt>
                <c:pt idx="46">
                  <c:v>3.2513899074074071</c:v>
                </c:pt>
                <c:pt idx="47">
                  <c:v>3.2513899074074071</c:v>
                </c:pt>
                <c:pt idx="48">
                  <c:v>3.2513899074074071</c:v>
                </c:pt>
                <c:pt idx="49">
                  <c:v>3.2513899074074071</c:v>
                </c:pt>
                <c:pt idx="50">
                  <c:v>3.2513899074074071</c:v>
                </c:pt>
                <c:pt idx="51">
                  <c:v>3.2513899074074071</c:v>
                </c:pt>
                <c:pt idx="52">
                  <c:v>3.2513899074074071</c:v>
                </c:pt>
                <c:pt idx="53">
                  <c:v>3.2513899074074071</c:v>
                </c:pt>
                <c:pt idx="54">
                  <c:v>3.2513899074074071</c:v>
                </c:pt>
                <c:pt idx="55">
                  <c:v>3.2513899074074071</c:v>
                </c:pt>
                <c:pt idx="56">
                  <c:v>3.2513899074074071</c:v>
                </c:pt>
                <c:pt idx="57">
                  <c:v>3.2513899074074071</c:v>
                </c:pt>
                <c:pt idx="58">
                  <c:v>3.2513899074074071</c:v>
                </c:pt>
                <c:pt idx="59">
                  <c:v>3.2513899074074071</c:v>
                </c:pt>
                <c:pt idx="60">
                  <c:v>3.2513899074074071</c:v>
                </c:pt>
                <c:pt idx="61">
                  <c:v>3.2513899074074071</c:v>
                </c:pt>
                <c:pt idx="62">
                  <c:v>3.2513899074074071</c:v>
                </c:pt>
                <c:pt idx="63">
                  <c:v>3.2513899074074071</c:v>
                </c:pt>
                <c:pt idx="64">
                  <c:v>3.2513899074074071</c:v>
                </c:pt>
                <c:pt idx="65">
                  <c:v>3.2513899074074071</c:v>
                </c:pt>
                <c:pt idx="66">
                  <c:v>3.2513899074074071</c:v>
                </c:pt>
                <c:pt idx="67">
                  <c:v>3.2513899074074071</c:v>
                </c:pt>
                <c:pt idx="68">
                  <c:v>3.2513899074074071</c:v>
                </c:pt>
                <c:pt idx="69">
                  <c:v>3.2513899074074071</c:v>
                </c:pt>
                <c:pt idx="70">
                  <c:v>3.2513899074074071</c:v>
                </c:pt>
                <c:pt idx="71">
                  <c:v>3.2513899074074071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2D-4D1E-87AD-0A66498EAAFA}"/>
            </c:ext>
          </c:extLst>
        </c:ser>
        <c:ser>
          <c:idx val="2"/>
          <c:order val="2"/>
          <c:tx>
            <c:strRef>
              <c:f>'Pre-Improvement'!$K$3</c:f>
              <c:strCache>
                <c:ptCount val="1"/>
                <c:pt idx="0">
                  <c:v>X-bar Mean</c:v>
                </c:pt>
              </c:strCache>
            </c:strRef>
          </c:tx>
          <c:spPr>
            <a:ln w="9525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'Pre-Improvement'!$K$4:$K$75</c:f>
              <c:numCache>
                <c:formatCode>0.0000</c:formatCode>
                <c:ptCount val="72"/>
                <c:pt idx="0">
                  <c:v>3.132574074074074</c:v>
                </c:pt>
                <c:pt idx="1">
                  <c:v>3.132574074074074</c:v>
                </c:pt>
                <c:pt idx="2">
                  <c:v>3.132574074074074</c:v>
                </c:pt>
                <c:pt idx="3">
                  <c:v>3.132574074074074</c:v>
                </c:pt>
                <c:pt idx="4">
                  <c:v>3.132574074074074</c:v>
                </c:pt>
                <c:pt idx="5">
                  <c:v>3.132574074074074</c:v>
                </c:pt>
                <c:pt idx="6">
                  <c:v>3.132574074074074</c:v>
                </c:pt>
                <c:pt idx="7">
                  <c:v>3.132574074074074</c:v>
                </c:pt>
                <c:pt idx="8">
                  <c:v>3.132574074074074</c:v>
                </c:pt>
                <c:pt idx="9">
                  <c:v>3.132574074074074</c:v>
                </c:pt>
                <c:pt idx="10">
                  <c:v>3.132574074074074</c:v>
                </c:pt>
                <c:pt idx="11">
                  <c:v>3.132574074074074</c:v>
                </c:pt>
                <c:pt idx="12">
                  <c:v>3.132574074074074</c:v>
                </c:pt>
                <c:pt idx="13">
                  <c:v>3.132574074074074</c:v>
                </c:pt>
                <c:pt idx="14">
                  <c:v>3.132574074074074</c:v>
                </c:pt>
                <c:pt idx="15">
                  <c:v>3.132574074074074</c:v>
                </c:pt>
                <c:pt idx="16">
                  <c:v>3.132574074074074</c:v>
                </c:pt>
                <c:pt idx="17">
                  <c:v>3.132574074074074</c:v>
                </c:pt>
                <c:pt idx="18">
                  <c:v>3.132574074074074</c:v>
                </c:pt>
                <c:pt idx="19">
                  <c:v>3.132574074074074</c:v>
                </c:pt>
                <c:pt idx="20">
                  <c:v>3.132574074074074</c:v>
                </c:pt>
                <c:pt idx="21">
                  <c:v>3.132574074074074</c:v>
                </c:pt>
                <c:pt idx="22">
                  <c:v>3.132574074074074</c:v>
                </c:pt>
                <c:pt idx="23">
                  <c:v>3.132574074074074</c:v>
                </c:pt>
                <c:pt idx="24">
                  <c:v>3.132574074074074</c:v>
                </c:pt>
                <c:pt idx="25">
                  <c:v>3.132574074074074</c:v>
                </c:pt>
                <c:pt idx="26">
                  <c:v>3.132574074074074</c:v>
                </c:pt>
                <c:pt idx="27">
                  <c:v>3.132574074074074</c:v>
                </c:pt>
                <c:pt idx="28">
                  <c:v>3.132574074074074</c:v>
                </c:pt>
                <c:pt idx="29">
                  <c:v>3.132574074074074</c:v>
                </c:pt>
                <c:pt idx="30">
                  <c:v>3.132574074074074</c:v>
                </c:pt>
                <c:pt idx="31">
                  <c:v>3.132574074074074</c:v>
                </c:pt>
                <c:pt idx="32">
                  <c:v>3.132574074074074</c:v>
                </c:pt>
                <c:pt idx="33">
                  <c:v>3.132574074074074</c:v>
                </c:pt>
                <c:pt idx="34">
                  <c:v>3.132574074074074</c:v>
                </c:pt>
                <c:pt idx="35">
                  <c:v>3.132574074074074</c:v>
                </c:pt>
                <c:pt idx="36">
                  <c:v>3.132574074074074</c:v>
                </c:pt>
                <c:pt idx="37">
                  <c:v>3.132574074074074</c:v>
                </c:pt>
                <c:pt idx="38">
                  <c:v>3.132574074074074</c:v>
                </c:pt>
                <c:pt idx="39">
                  <c:v>3.132574074074074</c:v>
                </c:pt>
                <c:pt idx="40">
                  <c:v>3.132574074074074</c:v>
                </c:pt>
                <c:pt idx="41">
                  <c:v>3.132574074074074</c:v>
                </c:pt>
                <c:pt idx="42">
                  <c:v>3.132574074074074</c:v>
                </c:pt>
                <c:pt idx="43">
                  <c:v>3.132574074074074</c:v>
                </c:pt>
                <c:pt idx="44">
                  <c:v>3.132574074074074</c:v>
                </c:pt>
                <c:pt idx="45">
                  <c:v>3.132574074074074</c:v>
                </c:pt>
                <c:pt idx="46">
                  <c:v>3.132574074074074</c:v>
                </c:pt>
                <c:pt idx="47">
                  <c:v>3.132574074074074</c:v>
                </c:pt>
                <c:pt idx="48">
                  <c:v>3.132574074074074</c:v>
                </c:pt>
                <c:pt idx="49">
                  <c:v>3.132574074074074</c:v>
                </c:pt>
                <c:pt idx="50">
                  <c:v>3.132574074074074</c:v>
                </c:pt>
                <c:pt idx="51">
                  <c:v>3.132574074074074</c:v>
                </c:pt>
                <c:pt idx="52">
                  <c:v>3.132574074074074</c:v>
                </c:pt>
                <c:pt idx="53">
                  <c:v>3.132574074074074</c:v>
                </c:pt>
                <c:pt idx="54">
                  <c:v>3.132574074074074</c:v>
                </c:pt>
                <c:pt idx="55">
                  <c:v>3.132574074074074</c:v>
                </c:pt>
                <c:pt idx="56">
                  <c:v>3.132574074074074</c:v>
                </c:pt>
                <c:pt idx="57">
                  <c:v>3.132574074074074</c:v>
                </c:pt>
                <c:pt idx="58">
                  <c:v>3.132574074074074</c:v>
                </c:pt>
                <c:pt idx="59">
                  <c:v>3.132574074074074</c:v>
                </c:pt>
                <c:pt idx="60">
                  <c:v>3.132574074074074</c:v>
                </c:pt>
                <c:pt idx="61">
                  <c:v>3.132574074074074</c:v>
                </c:pt>
                <c:pt idx="62">
                  <c:v>3.132574074074074</c:v>
                </c:pt>
                <c:pt idx="63">
                  <c:v>3.132574074074074</c:v>
                </c:pt>
                <c:pt idx="64">
                  <c:v>3.132574074074074</c:v>
                </c:pt>
                <c:pt idx="65">
                  <c:v>3.132574074074074</c:v>
                </c:pt>
                <c:pt idx="66">
                  <c:v>3.132574074074074</c:v>
                </c:pt>
                <c:pt idx="67">
                  <c:v>3.132574074074074</c:v>
                </c:pt>
                <c:pt idx="68">
                  <c:v>3.132574074074074</c:v>
                </c:pt>
                <c:pt idx="69">
                  <c:v>3.132574074074074</c:v>
                </c:pt>
                <c:pt idx="70">
                  <c:v>3.132574074074074</c:v>
                </c:pt>
                <c:pt idx="71">
                  <c:v>3.132574074074074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72D-4D1E-87AD-0A66498EAAFA}"/>
            </c:ext>
          </c:extLst>
        </c:ser>
        <c:ser>
          <c:idx val="3"/>
          <c:order val="3"/>
          <c:tx>
            <c:strRef>
              <c:f>'Pre-Improvement'!$L$3</c:f>
              <c:strCache>
                <c:ptCount val="1"/>
                <c:pt idx="0">
                  <c:v>X-bar LCL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'Pre-Improvement'!$L$4:$L$75</c:f>
              <c:numCache>
                <c:formatCode>0.0000</c:formatCode>
                <c:ptCount val="72"/>
                <c:pt idx="0">
                  <c:v>3.0137582407407408</c:v>
                </c:pt>
                <c:pt idx="1">
                  <c:v>3.0137582407407408</c:v>
                </c:pt>
                <c:pt idx="2">
                  <c:v>3.0137582407407408</c:v>
                </c:pt>
                <c:pt idx="3">
                  <c:v>3.0137582407407408</c:v>
                </c:pt>
                <c:pt idx="4">
                  <c:v>3.0137582407407408</c:v>
                </c:pt>
                <c:pt idx="5">
                  <c:v>3.0137582407407408</c:v>
                </c:pt>
                <c:pt idx="6">
                  <c:v>3.0137582407407408</c:v>
                </c:pt>
                <c:pt idx="7">
                  <c:v>3.0137582407407408</c:v>
                </c:pt>
                <c:pt idx="8">
                  <c:v>3.0137582407407408</c:v>
                </c:pt>
                <c:pt idx="9">
                  <c:v>3.0137582407407408</c:v>
                </c:pt>
                <c:pt idx="10">
                  <c:v>3.0137582407407408</c:v>
                </c:pt>
                <c:pt idx="11">
                  <c:v>3.0137582407407408</c:v>
                </c:pt>
                <c:pt idx="12">
                  <c:v>3.0137582407407408</c:v>
                </c:pt>
                <c:pt idx="13">
                  <c:v>3.0137582407407408</c:v>
                </c:pt>
                <c:pt idx="14">
                  <c:v>3.0137582407407408</c:v>
                </c:pt>
                <c:pt idx="15">
                  <c:v>3.0137582407407408</c:v>
                </c:pt>
                <c:pt idx="16">
                  <c:v>3.0137582407407408</c:v>
                </c:pt>
                <c:pt idx="17">
                  <c:v>3.0137582407407408</c:v>
                </c:pt>
                <c:pt idx="18">
                  <c:v>3.0137582407407408</c:v>
                </c:pt>
                <c:pt idx="19">
                  <c:v>3.0137582407407408</c:v>
                </c:pt>
                <c:pt idx="20">
                  <c:v>3.0137582407407408</c:v>
                </c:pt>
                <c:pt idx="21">
                  <c:v>3.0137582407407408</c:v>
                </c:pt>
                <c:pt idx="22">
                  <c:v>3.0137582407407408</c:v>
                </c:pt>
                <c:pt idx="23">
                  <c:v>3.0137582407407408</c:v>
                </c:pt>
                <c:pt idx="24">
                  <c:v>3.0137582407407408</c:v>
                </c:pt>
                <c:pt idx="25">
                  <c:v>3.0137582407407408</c:v>
                </c:pt>
                <c:pt idx="26">
                  <c:v>3.0137582407407408</c:v>
                </c:pt>
                <c:pt idx="27">
                  <c:v>3.0137582407407408</c:v>
                </c:pt>
                <c:pt idx="28">
                  <c:v>3.0137582407407408</c:v>
                </c:pt>
                <c:pt idx="29">
                  <c:v>3.0137582407407408</c:v>
                </c:pt>
                <c:pt idx="30">
                  <c:v>3.0137582407407408</c:v>
                </c:pt>
                <c:pt idx="31">
                  <c:v>3.0137582407407408</c:v>
                </c:pt>
                <c:pt idx="32">
                  <c:v>3.0137582407407408</c:v>
                </c:pt>
                <c:pt idx="33">
                  <c:v>3.0137582407407408</c:v>
                </c:pt>
                <c:pt idx="34">
                  <c:v>3.0137582407407408</c:v>
                </c:pt>
                <c:pt idx="35">
                  <c:v>3.0137582407407408</c:v>
                </c:pt>
                <c:pt idx="36">
                  <c:v>3.0137582407407408</c:v>
                </c:pt>
                <c:pt idx="37">
                  <c:v>3.0137582407407408</c:v>
                </c:pt>
                <c:pt idx="38">
                  <c:v>3.0137582407407408</c:v>
                </c:pt>
                <c:pt idx="39">
                  <c:v>3.0137582407407408</c:v>
                </c:pt>
                <c:pt idx="40">
                  <c:v>3.0137582407407408</c:v>
                </c:pt>
                <c:pt idx="41">
                  <c:v>3.0137582407407408</c:v>
                </c:pt>
                <c:pt idx="42">
                  <c:v>3.0137582407407408</c:v>
                </c:pt>
                <c:pt idx="43">
                  <c:v>3.0137582407407408</c:v>
                </c:pt>
                <c:pt idx="44">
                  <c:v>3.0137582407407408</c:v>
                </c:pt>
                <c:pt idx="45">
                  <c:v>3.0137582407407408</c:v>
                </c:pt>
                <c:pt idx="46">
                  <c:v>3.0137582407407408</c:v>
                </c:pt>
                <c:pt idx="47">
                  <c:v>3.0137582407407408</c:v>
                </c:pt>
                <c:pt idx="48">
                  <c:v>3.0137582407407408</c:v>
                </c:pt>
                <c:pt idx="49">
                  <c:v>3.0137582407407408</c:v>
                </c:pt>
                <c:pt idx="50">
                  <c:v>3.0137582407407408</c:v>
                </c:pt>
                <c:pt idx="51">
                  <c:v>3.0137582407407408</c:v>
                </c:pt>
                <c:pt idx="52">
                  <c:v>3.0137582407407408</c:v>
                </c:pt>
                <c:pt idx="53">
                  <c:v>3.0137582407407408</c:v>
                </c:pt>
                <c:pt idx="54">
                  <c:v>3.0137582407407408</c:v>
                </c:pt>
                <c:pt idx="55">
                  <c:v>3.0137582407407408</c:v>
                </c:pt>
                <c:pt idx="56">
                  <c:v>3.0137582407407408</c:v>
                </c:pt>
                <c:pt idx="57">
                  <c:v>3.0137582407407408</c:v>
                </c:pt>
                <c:pt idx="58">
                  <c:v>3.0137582407407408</c:v>
                </c:pt>
                <c:pt idx="59">
                  <c:v>3.0137582407407408</c:v>
                </c:pt>
                <c:pt idx="60">
                  <c:v>3.0137582407407408</c:v>
                </c:pt>
                <c:pt idx="61">
                  <c:v>3.0137582407407408</c:v>
                </c:pt>
                <c:pt idx="62">
                  <c:v>3.0137582407407408</c:v>
                </c:pt>
                <c:pt idx="63">
                  <c:v>3.0137582407407408</c:v>
                </c:pt>
                <c:pt idx="64">
                  <c:v>3.0137582407407408</c:v>
                </c:pt>
                <c:pt idx="65">
                  <c:v>3.0137582407407408</c:v>
                </c:pt>
                <c:pt idx="66">
                  <c:v>3.0137582407407408</c:v>
                </c:pt>
                <c:pt idx="67">
                  <c:v>3.0137582407407408</c:v>
                </c:pt>
                <c:pt idx="68">
                  <c:v>3.0137582407407408</c:v>
                </c:pt>
                <c:pt idx="69">
                  <c:v>3.0137582407407408</c:v>
                </c:pt>
                <c:pt idx="70">
                  <c:v>3.0137582407407408</c:v>
                </c:pt>
                <c:pt idx="71">
                  <c:v>3.0137582407407408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72D-4D1E-87AD-0A66498EA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mean (thousand Å)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0238778816908"/>
          <c:y val="0.52525616116167295"/>
          <c:w val="0.11787486852952045"/>
          <c:h val="0.300137028326004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 Chart — Pre-Improvement Data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'Pre-Improvement'!$F$3</c:f>
              <c:strCache>
                <c:ptCount val="1"/>
                <c:pt idx="0">
                  <c:v>Sample Range (R_i)</c:v>
                </c:pt>
              </c:strCache>
            </c:strRef>
          </c:tx>
          <c:spPr>
            <a:ln w="12700"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'Pre-Improvement'!$F$4:$F$75</c:f>
              <c:numCache>
                <c:formatCode>0.0000</c:formatCode>
                <c:ptCount val="72"/>
                <c:pt idx="0">
                  <c:v>0.16800000000000015</c:v>
                </c:pt>
                <c:pt idx="1">
                  <c:v>0.14800000000000013</c:v>
                </c:pt>
                <c:pt idx="2">
                  <c:v>2.3000000000000131E-2</c:v>
                </c:pt>
                <c:pt idx="3">
                  <c:v>9.2999999999999972E-2</c:v>
                </c:pt>
                <c:pt idx="4">
                  <c:v>0.121</c:v>
                </c:pt>
                <c:pt idx="5">
                  <c:v>7.6999999999999957E-2</c:v>
                </c:pt>
                <c:pt idx="6">
                  <c:v>4.8000000000000043E-2</c:v>
                </c:pt>
                <c:pt idx="7">
                  <c:v>0.32799999999999985</c:v>
                </c:pt>
                <c:pt idx="8">
                  <c:v>6.999999999999984E-2</c:v>
                </c:pt>
                <c:pt idx="9">
                  <c:v>7.4000000000000288E-2</c:v>
                </c:pt>
                <c:pt idx="10">
                  <c:v>8.9999999999999858E-2</c:v>
                </c:pt>
                <c:pt idx="11">
                  <c:v>6.899999999999995E-2</c:v>
                </c:pt>
                <c:pt idx="12">
                  <c:v>4.9999999999998934E-3</c:v>
                </c:pt>
                <c:pt idx="13">
                  <c:v>0.29600000000000026</c:v>
                </c:pt>
                <c:pt idx="14">
                  <c:v>0.2280000000000002</c:v>
                </c:pt>
                <c:pt idx="15">
                  <c:v>1.6999999999999904E-2</c:v>
                </c:pt>
                <c:pt idx="16">
                  <c:v>0.17300000000000004</c:v>
                </c:pt>
                <c:pt idx="17">
                  <c:v>0.15100000000000025</c:v>
                </c:pt>
                <c:pt idx="18">
                  <c:v>0.10599999999999987</c:v>
                </c:pt>
                <c:pt idx="19">
                  <c:v>3.8000000000000256E-2</c:v>
                </c:pt>
                <c:pt idx="20">
                  <c:v>0.1160000000000001</c:v>
                </c:pt>
                <c:pt idx="21">
                  <c:v>0.16999999999999993</c:v>
                </c:pt>
                <c:pt idx="22">
                  <c:v>4.3000000000000149E-2</c:v>
                </c:pt>
                <c:pt idx="23">
                  <c:v>9.6999999999999975E-2</c:v>
                </c:pt>
                <c:pt idx="24">
                  <c:v>9.1000000000000192E-2</c:v>
                </c:pt>
                <c:pt idx="25">
                  <c:v>0.11899999999999977</c:v>
                </c:pt>
                <c:pt idx="26">
                  <c:v>7.3999999999999844E-2</c:v>
                </c:pt>
                <c:pt idx="27">
                  <c:v>0.13300000000000001</c:v>
                </c:pt>
                <c:pt idx="28">
                  <c:v>3.5000000000000142E-2</c:v>
                </c:pt>
                <c:pt idx="29">
                  <c:v>0.10199999999999987</c:v>
                </c:pt>
                <c:pt idx="30">
                  <c:v>2.5999999999999801E-2</c:v>
                </c:pt>
                <c:pt idx="31">
                  <c:v>6.0000000000000053E-2</c:v>
                </c:pt>
                <c:pt idx="32">
                  <c:v>9.0999999999999748E-2</c:v>
                </c:pt>
                <c:pt idx="33">
                  <c:v>0.12300000000000022</c:v>
                </c:pt>
                <c:pt idx="34">
                  <c:v>8.9999999999999858E-2</c:v>
                </c:pt>
                <c:pt idx="35">
                  <c:v>0.12699999999999978</c:v>
                </c:pt>
                <c:pt idx="36">
                  <c:v>6.7000000000000171E-2</c:v>
                </c:pt>
                <c:pt idx="37">
                  <c:v>5.9000000000000163E-2</c:v>
                </c:pt>
                <c:pt idx="38">
                  <c:v>0.11099999999999977</c:v>
                </c:pt>
                <c:pt idx="39">
                  <c:v>0.58899999999999997</c:v>
                </c:pt>
                <c:pt idx="40">
                  <c:v>9.3999999999999861E-2</c:v>
                </c:pt>
                <c:pt idx="41">
                  <c:v>0.13300000000000001</c:v>
                </c:pt>
                <c:pt idx="42">
                  <c:v>0.14299999999999979</c:v>
                </c:pt>
                <c:pt idx="43">
                  <c:v>2.4000000000000021E-2</c:v>
                </c:pt>
                <c:pt idx="44">
                  <c:v>1.6999999999999904E-2</c:v>
                </c:pt>
                <c:pt idx="45">
                  <c:v>0.11299999999999999</c:v>
                </c:pt>
                <c:pt idx="46">
                  <c:v>0.24799999999999978</c:v>
                </c:pt>
                <c:pt idx="47">
                  <c:v>0.20700000000000029</c:v>
                </c:pt>
                <c:pt idx="48">
                  <c:v>8.999999999999897E-3</c:v>
                </c:pt>
                <c:pt idx="49">
                  <c:v>0.15399999999999991</c:v>
                </c:pt>
                <c:pt idx="50">
                  <c:v>0.18699999999999983</c:v>
                </c:pt>
                <c:pt idx="51">
                  <c:v>4.0000000000000036E-2</c:v>
                </c:pt>
                <c:pt idx="52">
                  <c:v>0.18599999999999994</c:v>
                </c:pt>
                <c:pt idx="53">
                  <c:v>0.10599999999999987</c:v>
                </c:pt>
                <c:pt idx="54">
                  <c:v>0.18999999999999995</c:v>
                </c:pt>
                <c:pt idx="55">
                  <c:v>0.18100000000000005</c:v>
                </c:pt>
                <c:pt idx="56">
                  <c:v>3.9000000000000146E-2</c:v>
                </c:pt>
                <c:pt idx="57">
                  <c:v>0.13900000000000023</c:v>
                </c:pt>
                <c:pt idx="58">
                  <c:v>4.4999999999999929E-2</c:v>
                </c:pt>
                <c:pt idx="59">
                  <c:v>0.17999999999999972</c:v>
                </c:pt>
                <c:pt idx="60">
                  <c:v>5.2000000000000046E-2</c:v>
                </c:pt>
                <c:pt idx="61">
                  <c:v>7.8000000000000291E-2</c:v>
                </c:pt>
                <c:pt idx="62">
                  <c:v>0.23999999999999977</c:v>
                </c:pt>
                <c:pt idx="63">
                  <c:v>7.7999999999999847E-2</c:v>
                </c:pt>
                <c:pt idx="64">
                  <c:v>0.1469999999999998</c:v>
                </c:pt>
                <c:pt idx="65">
                  <c:v>1.399999999999979E-2</c:v>
                </c:pt>
                <c:pt idx="66">
                  <c:v>0.27300000000000013</c:v>
                </c:pt>
                <c:pt idx="67">
                  <c:v>0.2280000000000002</c:v>
                </c:pt>
                <c:pt idx="68">
                  <c:v>7.6999999999999957E-2</c:v>
                </c:pt>
                <c:pt idx="69">
                  <c:v>8.8000000000000078E-2</c:v>
                </c:pt>
                <c:pt idx="70">
                  <c:v>6.0000000000002274E-3</c:v>
                </c:pt>
                <c:pt idx="71">
                  <c:v>2.4999999999999911E-2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FD-40CB-9F71-51CF006C280E}"/>
            </c:ext>
          </c:extLst>
        </c:ser>
        <c:ser>
          <c:idx val="1"/>
          <c:order val="1"/>
          <c:tx>
            <c:strRef>
              <c:f>'Pre-Improvement'!$N$3</c:f>
              <c:strCache>
                <c:ptCount val="1"/>
                <c:pt idx="0">
                  <c:v>R UCL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'Pre-Improvement'!$N$4:$N$75</c:f>
              <c:numCache>
                <c:formatCode>0.0000</c:formatCode>
                <c:ptCount val="72"/>
                <c:pt idx="0">
                  <c:v>0.29936930555555552</c:v>
                </c:pt>
                <c:pt idx="1">
                  <c:v>0.29936930555555552</c:v>
                </c:pt>
                <c:pt idx="2">
                  <c:v>0.29936930555555552</c:v>
                </c:pt>
                <c:pt idx="3">
                  <c:v>0.29936930555555552</c:v>
                </c:pt>
                <c:pt idx="4">
                  <c:v>0.29936930555555552</c:v>
                </c:pt>
                <c:pt idx="5">
                  <c:v>0.29936930555555552</c:v>
                </c:pt>
                <c:pt idx="6">
                  <c:v>0.29936930555555552</c:v>
                </c:pt>
                <c:pt idx="7">
                  <c:v>0.29936930555555552</c:v>
                </c:pt>
                <c:pt idx="8">
                  <c:v>0.29936930555555552</c:v>
                </c:pt>
                <c:pt idx="9">
                  <c:v>0.29936930555555552</c:v>
                </c:pt>
                <c:pt idx="10">
                  <c:v>0.29936930555555552</c:v>
                </c:pt>
                <c:pt idx="11">
                  <c:v>0.29936930555555552</c:v>
                </c:pt>
                <c:pt idx="12">
                  <c:v>0.29936930555555552</c:v>
                </c:pt>
                <c:pt idx="13">
                  <c:v>0.29936930555555552</c:v>
                </c:pt>
                <c:pt idx="14">
                  <c:v>0.29936930555555552</c:v>
                </c:pt>
                <c:pt idx="15">
                  <c:v>0.29936930555555552</c:v>
                </c:pt>
                <c:pt idx="16">
                  <c:v>0.29936930555555552</c:v>
                </c:pt>
                <c:pt idx="17">
                  <c:v>0.29936930555555552</c:v>
                </c:pt>
                <c:pt idx="18">
                  <c:v>0.29936930555555552</c:v>
                </c:pt>
                <c:pt idx="19">
                  <c:v>0.29936930555555552</c:v>
                </c:pt>
                <c:pt idx="20">
                  <c:v>0.29936930555555552</c:v>
                </c:pt>
                <c:pt idx="21">
                  <c:v>0.29936930555555552</c:v>
                </c:pt>
                <c:pt idx="22">
                  <c:v>0.29936930555555552</c:v>
                </c:pt>
                <c:pt idx="23">
                  <c:v>0.29936930555555552</c:v>
                </c:pt>
                <c:pt idx="24">
                  <c:v>0.29936930555555552</c:v>
                </c:pt>
                <c:pt idx="25">
                  <c:v>0.29936930555555552</c:v>
                </c:pt>
                <c:pt idx="26">
                  <c:v>0.29936930555555552</c:v>
                </c:pt>
                <c:pt idx="27">
                  <c:v>0.29936930555555552</c:v>
                </c:pt>
                <c:pt idx="28">
                  <c:v>0.29936930555555552</c:v>
                </c:pt>
                <c:pt idx="29">
                  <c:v>0.29936930555555552</c:v>
                </c:pt>
                <c:pt idx="30">
                  <c:v>0.29936930555555552</c:v>
                </c:pt>
                <c:pt idx="31">
                  <c:v>0.29936930555555552</c:v>
                </c:pt>
                <c:pt idx="32">
                  <c:v>0.29936930555555552</c:v>
                </c:pt>
                <c:pt idx="33">
                  <c:v>0.29936930555555552</c:v>
                </c:pt>
                <c:pt idx="34">
                  <c:v>0.29936930555555552</c:v>
                </c:pt>
                <c:pt idx="35">
                  <c:v>0.29936930555555552</c:v>
                </c:pt>
                <c:pt idx="36">
                  <c:v>0.29936930555555552</c:v>
                </c:pt>
                <c:pt idx="37">
                  <c:v>0.29936930555555552</c:v>
                </c:pt>
                <c:pt idx="38">
                  <c:v>0.29936930555555552</c:v>
                </c:pt>
                <c:pt idx="39">
                  <c:v>0.29936930555555552</c:v>
                </c:pt>
                <c:pt idx="40">
                  <c:v>0.29936930555555552</c:v>
                </c:pt>
                <c:pt idx="41">
                  <c:v>0.29936930555555552</c:v>
                </c:pt>
                <c:pt idx="42">
                  <c:v>0.29936930555555552</c:v>
                </c:pt>
                <c:pt idx="43">
                  <c:v>0.29936930555555552</c:v>
                </c:pt>
                <c:pt idx="44">
                  <c:v>0.29936930555555552</c:v>
                </c:pt>
                <c:pt idx="45">
                  <c:v>0.29936930555555552</c:v>
                </c:pt>
                <c:pt idx="46">
                  <c:v>0.29936930555555552</c:v>
                </c:pt>
                <c:pt idx="47">
                  <c:v>0.29936930555555552</c:v>
                </c:pt>
                <c:pt idx="48">
                  <c:v>0.29936930555555552</c:v>
                </c:pt>
                <c:pt idx="49">
                  <c:v>0.29936930555555552</c:v>
                </c:pt>
                <c:pt idx="50">
                  <c:v>0.29936930555555552</c:v>
                </c:pt>
                <c:pt idx="51">
                  <c:v>0.29936930555555552</c:v>
                </c:pt>
                <c:pt idx="52">
                  <c:v>0.29936930555555552</c:v>
                </c:pt>
                <c:pt idx="53">
                  <c:v>0.29936930555555552</c:v>
                </c:pt>
                <c:pt idx="54">
                  <c:v>0.29936930555555552</c:v>
                </c:pt>
                <c:pt idx="55">
                  <c:v>0.29936930555555552</c:v>
                </c:pt>
                <c:pt idx="56">
                  <c:v>0.29936930555555552</c:v>
                </c:pt>
                <c:pt idx="57">
                  <c:v>0.29936930555555552</c:v>
                </c:pt>
                <c:pt idx="58">
                  <c:v>0.29936930555555552</c:v>
                </c:pt>
                <c:pt idx="59">
                  <c:v>0.29936930555555552</c:v>
                </c:pt>
                <c:pt idx="60">
                  <c:v>0.29936930555555552</c:v>
                </c:pt>
                <c:pt idx="61">
                  <c:v>0.29936930555555552</c:v>
                </c:pt>
                <c:pt idx="62">
                  <c:v>0.29936930555555552</c:v>
                </c:pt>
                <c:pt idx="63">
                  <c:v>0.29936930555555552</c:v>
                </c:pt>
                <c:pt idx="64">
                  <c:v>0.29936930555555552</c:v>
                </c:pt>
                <c:pt idx="65">
                  <c:v>0.29936930555555552</c:v>
                </c:pt>
                <c:pt idx="66">
                  <c:v>0.29936930555555552</c:v>
                </c:pt>
                <c:pt idx="67">
                  <c:v>0.29936930555555552</c:v>
                </c:pt>
                <c:pt idx="68">
                  <c:v>0.29936930555555552</c:v>
                </c:pt>
                <c:pt idx="69">
                  <c:v>0.29936930555555552</c:v>
                </c:pt>
                <c:pt idx="70">
                  <c:v>0.29936930555555552</c:v>
                </c:pt>
                <c:pt idx="71">
                  <c:v>0.29936930555555552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FD-40CB-9F71-51CF006C280E}"/>
            </c:ext>
          </c:extLst>
        </c:ser>
        <c:ser>
          <c:idx val="2"/>
          <c:order val="2"/>
          <c:tx>
            <c:strRef>
              <c:f>'Pre-Improvement'!$O$3</c:f>
              <c:strCache>
                <c:ptCount val="1"/>
                <c:pt idx="0">
                  <c:v>R-bar</c:v>
                </c:pt>
              </c:strCache>
            </c:strRef>
          </c:tx>
          <c:spPr>
            <a:ln w="9525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'Pre-Improvement'!$O$4:$O$75</c:f>
              <c:numCache>
                <c:formatCode>0.0000</c:formatCode>
                <c:ptCount val="72"/>
                <c:pt idx="0">
                  <c:v>0.1164861111111111</c:v>
                </c:pt>
                <c:pt idx="1">
                  <c:v>0.1164861111111111</c:v>
                </c:pt>
                <c:pt idx="2">
                  <c:v>0.1164861111111111</c:v>
                </c:pt>
                <c:pt idx="3">
                  <c:v>0.1164861111111111</c:v>
                </c:pt>
                <c:pt idx="4">
                  <c:v>0.1164861111111111</c:v>
                </c:pt>
                <c:pt idx="5">
                  <c:v>0.1164861111111111</c:v>
                </c:pt>
                <c:pt idx="6">
                  <c:v>0.1164861111111111</c:v>
                </c:pt>
                <c:pt idx="7">
                  <c:v>0.1164861111111111</c:v>
                </c:pt>
                <c:pt idx="8">
                  <c:v>0.1164861111111111</c:v>
                </c:pt>
                <c:pt idx="9">
                  <c:v>0.1164861111111111</c:v>
                </c:pt>
                <c:pt idx="10">
                  <c:v>0.1164861111111111</c:v>
                </c:pt>
                <c:pt idx="11">
                  <c:v>0.1164861111111111</c:v>
                </c:pt>
                <c:pt idx="12">
                  <c:v>0.1164861111111111</c:v>
                </c:pt>
                <c:pt idx="13">
                  <c:v>0.1164861111111111</c:v>
                </c:pt>
                <c:pt idx="14">
                  <c:v>0.1164861111111111</c:v>
                </c:pt>
                <c:pt idx="15">
                  <c:v>0.1164861111111111</c:v>
                </c:pt>
                <c:pt idx="16">
                  <c:v>0.1164861111111111</c:v>
                </c:pt>
                <c:pt idx="17">
                  <c:v>0.1164861111111111</c:v>
                </c:pt>
                <c:pt idx="18">
                  <c:v>0.1164861111111111</c:v>
                </c:pt>
                <c:pt idx="19">
                  <c:v>0.1164861111111111</c:v>
                </c:pt>
                <c:pt idx="20">
                  <c:v>0.1164861111111111</c:v>
                </c:pt>
                <c:pt idx="21">
                  <c:v>0.1164861111111111</c:v>
                </c:pt>
                <c:pt idx="22">
                  <c:v>0.1164861111111111</c:v>
                </c:pt>
                <c:pt idx="23">
                  <c:v>0.1164861111111111</c:v>
                </c:pt>
                <c:pt idx="24">
                  <c:v>0.1164861111111111</c:v>
                </c:pt>
                <c:pt idx="25">
                  <c:v>0.1164861111111111</c:v>
                </c:pt>
                <c:pt idx="26">
                  <c:v>0.1164861111111111</c:v>
                </c:pt>
                <c:pt idx="27">
                  <c:v>0.1164861111111111</c:v>
                </c:pt>
                <c:pt idx="28">
                  <c:v>0.1164861111111111</c:v>
                </c:pt>
                <c:pt idx="29">
                  <c:v>0.1164861111111111</c:v>
                </c:pt>
                <c:pt idx="30">
                  <c:v>0.1164861111111111</c:v>
                </c:pt>
                <c:pt idx="31">
                  <c:v>0.1164861111111111</c:v>
                </c:pt>
                <c:pt idx="32">
                  <c:v>0.1164861111111111</c:v>
                </c:pt>
                <c:pt idx="33">
                  <c:v>0.1164861111111111</c:v>
                </c:pt>
                <c:pt idx="34">
                  <c:v>0.1164861111111111</c:v>
                </c:pt>
                <c:pt idx="35">
                  <c:v>0.1164861111111111</c:v>
                </c:pt>
                <c:pt idx="36">
                  <c:v>0.1164861111111111</c:v>
                </c:pt>
                <c:pt idx="37">
                  <c:v>0.1164861111111111</c:v>
                </c:pt>
                <c:pt idx="38">
                  <c:v>0.1164861111111111</c:v>
                </c:pt>
                <c:pt idx="39">
                  <c:v>0.1164861111111111</c:v>
                </c:pt>
                <c:pt idx="40">
                  <c:v>0.1164861111111111</c:v>
                </c:pt>
                <c:pt idx="41">
                  <c:v>0.1164861111111111</c:v>
                </c:pt>
                <c:pt idx="42">
                  <c:v>0.1164861111111111</c:v>
                </c:pt>
                <c:pt idx="43">
                  <c:v>0.1164861111111111</c:v>
                </c:pt>
                <c:pt idx="44">
                  <c:v>0.1164861111111111</c:v>
                </c:pt>
                <c:pt idx="45">
                  <c:v>0.1164861111111111</c:v>
                </c:pt>
                <c:pt idx="46">
                  <c:v>0.1164861111111111</c:v>
                </c:pt>
                <c:pt idx="47">
                  <c:v>0.1164861111111111</c:v>
                </c:pt>
                <c:pt idx="48">
                  <c:v>0.1164861111111111</c:v>
                </c:pt>
                <c:pt idx="49">
                  <c:v>0.1164861111111111</c:v>
                </c:pt>
                <c:pt idx="50">
                  <c:v>0.1164861111111111</c:v>
                </c:pt>
                <c:pt idx="51">
                  <c:v>0.1164861111111111</c:v>
                </c:pt>
                <c:pt idx="52">
                  <c:v>0.1164861111111111</c:v>
                </c:pt>
                <c:pt idx="53">
                  <c:v>0.1164861111111111</c:v>
                </c:pt>
                <c:pt idx="54">
                  <c:v>0.1164861111111111</c:v>
                </c:pt>
                <c:pt idx="55">
                  <c:v>0.1164861111111111</c:v>
                </c:pt>
                <c:pt idx="56">
                  <c:v>0.1164861111111111</c:v>
                </c:pt>
                <c:pt idx="57">
                  <c:v>0.1164861111111111</c:v>
                </c:pt>
                <c:pt idx="58">
                  <c:v>0.1164861111111111</c:v>
                </c:pt>
                <c:pt idx="59">
                  <c:v>0.1164861111111111</c:v>
                </c:pt>
                <c:pt idx="60">
                  <c:v>0.1164861111111111</c:v>
                </c:pt>
                <c:pt idx="61">
                  <c:v>0.1164861111111111</c:v>
                </c:pt>
                <c:pt idx="62">
                  <c:v>0.1164861111111111</c:v>
                </c:pt>
                <c:pt idx="63">
                  <c:v>0.1164861111111111</c:v>
                </c:pt>
                <c:pt idx="64">
                  <c:v>0.1164861111111111</c:v>
                </c:pt>
                <c:pt idx="65">
                  <c:v>0.1164861111111111</c:v>
                </c:pt>
                <c:pt idx="66">
                  <c:v>0.1164861111111111</c:v>
                </c:pt>
                <c:pt idx="67">
                  <c:v>0.1164861111111111</c:v>
                </c:pt>
                <c:pt idx="68">
                  <c:v>0.1164861111111111</c:v>
                </c:pt>
                <c:pt idx="69">
                  <c:v>0.1164861111111111</c:v>
                </c:pt>
                <c:pt idx="70">
                  <c:v>0.1164861111111111</c:v>
                </c:pt>
                <c:pt idx="71">
                  <c:v>0.1164861111111111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FD-40CB-9F71-51CF006C280E}"/>
            </c:ext>
          </c:extLst>
        </c:ser>
        <c:ser>
          <c:idx val="3"/>
          <c:order val="3"/>
          <c:tx>
            <c:strRef>
              <c:f>'Pre-Improvement'!$P$3</c:f>
              <c:strCache>
                <c:ptCount val="1"/>
                <c:pt idx="0">
                  <c:v>R LCL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'Pre-Improvement'!$A$4:$A$75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'Pre-Improvement'!$P$4:$P$75</c:f>
              <c:numCache>
                <c:formatCode>0.0000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EFD-40CB-9F71-51CF006C2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range (thousand Å)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302181780728016"/>
          <c:y val="0.10101373691924875"/>
          <c:w val="0.1045018628422462"/>
          <c:h val="0.287150015338991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X-bar Chart — Post-Improvement Data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'Post-Improvement'!$E$3</c:f>
              <c:strCache>
                <c:ptCount val="1"/>
                <c:pt idx="0">
                  <c:v>Sample Mean (X-bar_i)</c:v>
                </c:pt>
              </c:strCache>
            </c:strRef>
          </c:tx>
          <c:spPr>
            <a:ln w="12700"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'Post-Improvement'!$E$4:$E$75</c:f>
              <c:numCache>
                <c:formatCode>0.0000</c:formatCode>
                <c:ptCount val="72"/>
                <c:pt idx="0">
                  <c:v>3.0483333333333338</c:v>
                </c:pt>
                <c:pt idx="1">
                  <c:v>3.0536666666666665</c:v>
                </c:pt>
                <c:pt idx="2">
                  <c:v>3.079333333333333</c:v>
                </c:pt>
                <c:pt idx="3">
                  <c:v>3.0466666666666669</c:v>
                </c:pt>
                <c:pt idx="4">
                  <c:v>3.0666666666666664</c:v>
                </c:pt>
                <c:pt idx="5">
                  <c:v>3.0653333333333332</c:v>
                </c:pt>
                <c:pt idx="6">
                  <c:v>3.0826666666666664</c:v>
                </c:pt>
                <c:pt idx="7">
                  <c:v>3.0763333333333329</c:v>
                </c:pt>
                <c:pt idx="8">
                  <c:v>3.0426666666666669</c:v>
                </c:pt>
                <c:pt idx="9">
                  <c:v>3.0909999999999997</c:v>
                </c:pt>
                <c:pt idx="10">
                  <c:v>3.093666666666667</c:v>
                </c:pt>
                <c:pt idx="11">
                  <c:v>3.0489999999999995</c:v>
                </c:pt>
                <c:pt idx="12">
                  <c:v>3.0703333333333336</c:v>
                </c:pt>
                <c:pt idx="13">
                  <c:v>3.0703333333333336</c:v>
                </c:pt>
                <c:pt idx="14">
                  <c:v>3.0556666666666668</c:v>
                </c:pt>
                <c:pt idx="15">
                  <c:v>3.0886666666666667</c:v>
                </c:pt>
                <c:pt idx="16">
                  <c:v>3.0693333333333332</c:v>
                </c:pt>
                <c:pt idx="17">
                  <c:v>3.0716666666666668</c:v>
                </c:pt>
                <c:pt idx="18">
                  <c:v>3.0266666666666668</c:v>
                </c:pt>
                <c:pt idx="19">
                  <c:v>3.0443333333333329</c:v>
                </c:pt>
                <c:pt idx="20">
                  <c:v>3.0549999999999997</c:v>
                </c:pt>
                <c:pt idx="21">
                  <c:v>3.0920000000000001</c:v>
                </c:pt>
                <c:pt idx="22">
                  <c:v>3.0649999999999999</c:v>
                </c:pt>
                <c:pt idx="23">
                  <c:v>3.0693333333333328</c:v>
                </c:pt>
                <c:pt idx="24">
                  <c:v>3.0356666666666663</c:v>
                </c:pt>
                <c:pt idx="25">
                  <c:v>3.0176666666666669</c:v>
                </c:pt>
                <c:pt idx="26">
                  <c:v>3.0586666666666669</c:v>
                </c:pt>
                <c:pt idx="27">
                  <c:v>3.0173333333333332</c:v>
                </c:pt>
                <c:pt idx="28">
                  <c:v>3.0413333333333328</c:v>
                </c:pt>
                <c:pt idx="29">
                  <c:v>3.0566666666666666</c:v>
                </c:pt>
                <c:pt idx="30">
                  <c:v>3.0636666666666663</c:v>
                </c:pt>
                <c:pt idx="31">
                  <c:v>3.0670000000000002</c:v>
                </c:pt>
                <c:pt idx="32">
                  <c:v>3.0579999999999998</c:v>
                </c:pt>
                <c:pt idx="33">
                  <c:v>3.0690000000000004</c:v>
                </c:pt>
                <c:pt idx="34">
                  <c:v>3.0696666666666665</c:v>
                </c:pt>
                <c:pt idx="35">
                  <c:v>3.063333333333333</c:v>
                </c:pt>
                <c:pt idx="36">
                  <c:v>3.0813333333333333</c:v>
                </c:pt>
                <c:pt idx="37">
                  <c:v>3.0826666666666669</c:v>
                </c:pt>
                <c:pt idx="38">
                  <c:v>3.0833333333333335</c:v>
                </c:pt>
                <c:pt idx="39">
                  <c:v>3.0593333333333335</c:v>
                </c:pt>
                <c:pt idx="40">
                  <c:v>3.0503333333333331</c:v>
                </c:pt>
                <c:pt idx="41">
                  <c:v>3.0176666666666669</c:v>
                </c:pt>
                <c:pt idx="42">
                  <c:v>3.0779999999999998</c:v>
                </c:pt>
                <c:pt idx="43">
                  <c:v>3.0269999999999997</c:v>
                </c:pt>
                <c:pt idx="44">
                  <c:v>3.047333333333333</c:v>
                </c:pt>
                <c:pt idx="45">
                  <c:v>3.0749999999999997</c:v>
                </c:pt>
                <c:pt idx="46">
                  <c:v>3.1046666666666667</c:v>
                </c:pt>
                <c:pt idx="47">
                  <c:v>3.0743333333333336</c:v>
                </c:pt>
                <c:pt idx="48">
                  <c:v>3.06</c:v>
                </c:pt>
                <c:pt idx="49">
                  <c:v>3.0569999999999999</c:v>
                </c:pt>
                <c:pt idx="50">
                  <c:v>3.0566666666666666</c:v>
                </c:pt>
                <c:pt idx="51">
                  <c:v>3.0213333333333332</c:v>
                </c:pt>
                <c:pt idx="52">
                  <c:v>3.0706666666666664</c:v>
                </c:pt>
                <c:pt idx="53">
                  <c:v>3.0450000000000004</c:v>
                </c:pt>
                <c:pt idx="54">
                  <c:v>3.095333333333333</c:v>
                </c:pt>
                <c:pt idx="55">
                  <c:v>3.0436666666666667</c:v>
                </c:pt>
                <c:pt idx="56">
                  <c:v>3.0420000000000003</c:v>
                </c:pt>
                <c:pt idx="57">
                  <c:v>3.0216666666666669</c:v>
                </c:pt>
                <c:pt idx="58">
                  <c:v>3.0676666666666663</c:v>
                </c:pt>
                <c:pt idx="59">
                  <c:v>3.0683333333333334</c:v>
                </c:pt>
                <c:pt idx="60">
                  <c:v>3.0550000000000002</c:v>
                </c:pt>
                <c:pt idx="61">
                  <c:v>3.0549999999999997</c:v>
                </c:pt>
                <c:pt idx="62">
                  <c:v>3.0356666666666663</c:v>
                </c:pt>
                <c:pt idx="63">
                  <c:v>3.0463333333333336</c:v>
                </c:pt>
                <c:pt idx="64">
                  <c:v>3.03</c:v>
                </c:pt>
                <c:pt idx="65">
                  <c:v>3.093</c:v>
                </c:pt>
                <c:pt idx="66">
                  <c:v>3.0873333333333335</c:v>
                </c:pt>
                <c:pt idx="67">
                  <c:v>3.0643333333333334</c:v>
                </c:pt>
                <c:pt idx="68">
                  <c:v>3.0806666666666671</c:v>
                </c:pt>
                <c:pt idx="69">
                  <c:v>3.0646666666666671</c:v>
                </c:pt>
                <c:pt idx="70">
                  <c:v>3.0926666666666662</c:v>
                </c:pt>
                <c:pt idx="71">
                  <c:v>3.0853333333333333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2-4DB9-B7B5-AF0CC24C23A6}"/>
            </c:ext>
          </c:extLst>
        </c:ser>
        <c:ser>
          <c:idx val="1"/>
          <c:order val="1"/>
          <c:tx>
            <c:strRef>
              <c:f>'Post-Improvement'!$J$3</c:f>
              <c:strCache>
                <c:ptCount val="1"/>
                <c:pt idx="0">
                  <c:v>X-bar UCL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'Post-Improvement'!$J$4:$J$75</c:f>
              <c:numCache>
                <c:formatCode>0.0000</c:formatCode>
                <c:ptCount val="72"/>
                <c:pt idx="0">
                  <c:v>3.1302836111111101</c:v>
                </c:pt>
                <c:pt idx="1">
                  <c:v>3.1302836111111101</c:v>
                </c:pt>
                <c:pt idx="2">
                  <c:v>3.1302836111111101</c:v>
                </c:pt>
                <c:pt idx="3">
                  <c:v>3.1302836111111101</c:v>
                </c:pt>
                <c:pt idx="4">
                  <c:v>3.1302836111111101</c:v>
                </c:pt>
                <c:pt idx="5">
                  <c:v>3.1302836111111101</c:v>
                </c:pt>
                <c:pt idx="6">
                  <c:v>3.1302836111111101</c:v>
                </c:pt>
                <c:pt idx="7">
                  <c:v>3.1302836111111101</c:v>
                </c:pt>
                <c:pt idx="8">
                  <c:v>3.1302836111111101</c:v>
                </c:pt>
                <c:pt idx="9">
                  <c:v>3.1302836111111101</c:v>
                </c:pt>
                <c:pt idx="10">
                  <c:v>3.1302836111111101</c:v>
                </c:pt>
                <c:pt idx="11">
                  <c:v>3.1302836111111101</c:v>
                </c:pt>
                <c:pt idx="12">
                  <c:v>3.1302836111111101</c:v>
                </c:pt>
                <c:pt idx="13">
                  <c:v>3.1302836111111101</c:v>
                </c:pt>
                <c:pt idx="14">
                  <c:v>3.1302836111111101</c:v>
                </c:pt>
                <c:pt idx="15">
                  <c:v>3.1302836111111101</c:v>
                </c:pt>
                <c:pt idx="16">
                  <c:v>3.1302836111111101</c:v>
                </c:pt>
                <c:pt idx="17">
                  <c:v>3.1302836111111101</c:v>
                </c:pt>
                <c:pt idx="18">
                  <c:v>3.1302836111111101</c:v>
                </c:pt>
                <c:pt idx="19">
                  <c:v>3.1302836111111101</c:v>
                </c:pt>
                <c:pt idx="20">
                  <c:v>3.1302836111111101</c:v>
                </c:pt>
                <c:pt idx="21">
                  <c:v>3.1302836111111101</c:v>
                </c:pt>
                <c:pt idx="22">
                  <c:v>3.1302836111111101</c:v>
                </c:pt>
                <c:pt idx="23">
                  <c:v>3.1302836111111101</c:v>
                </c:pt>
                <c:pt idx="24">
                  <c:v>3.1302836111111101</c:v>
                </c:pt>
                <c:pt idx="25">
                  <c:v>3.1302836111111101</c:v>
                </c:pt>
                <c:pt idx="26">
                  <c:v>3.1302836111111101</c:v>
                </c:pt>
                <c:pt idx="27">
                  <c:v>3.1302836111111101</c:v>
                </c:pt>
                <c:pt idx="28">
                  <c:v>3.1302836111111101</c:v>
                </c:pt>
                <c:pt idx="29">
                  <c:v>3.1302836111111101</c:v>
                </c:pt>
                <c:pt idx="30">
                  <c:v>3.1302836111111101</c:v>
                </c:pt>
                <c:pt idx="31">
                  <c:v>3.1302836111111101</c:v>
                </c:pt>
                <c:pt idx="32">
                  <c:v>3.1302836111111101</c:v>
                </c:pt>
                <c:pt idx="33">
                  <c:v>3.1302836111111101</c:v>
                </c:pt>
                <c:pt idx="34">
                  <c:v>3.1302836111111101</c:v>
                </c:pt>
                <c:pt idx="35">
                  <c:v>3.1302836111111101</c:v>
                </c:pt>
                <c:pt idx="36">
                  <c:v>3.1302836111111101</c:v>
                </c:pt>
                <c:pt idx="37">
                  <c:v>3.1302836111111101</c:v>
                </c:pt>
                <c:pt idx="38">
                  <c:v>3.1302836111111101</c:v>
                </c:pt>
                <c:pt idx="39">
                  <c:v>3.1302836111111101</c:v>
                </c:pt>
                <c:pt idx="40">
                  <c:v>3.1302836111111101</c:v>
                </c:pt>
                <c:pt idx="41">
                  <c:v>3.1302836111111101</c:v>
                </c:pt>
                <c:pt idx="42">
                  <c:v>3.1302836111111101</c:v>
                </c:pt>
                <c:pt idx="43">
                  <c:v>3.1302836111111101</c:v>
                </c:pt>
                <c:pt idx="44">
                  <c:v>3.1302836111111101</c:v>
                </c:pt>
                <c:pt idx="45">
                  <c:v>3.1302836111111101</c:v>
                </c:pt>
                <c:pt idx="46">
                  <c:v>3.1302836111111101</c:v>
                </c:pt>
                <c:pt idx="47">
                  <c:v>3.1302836111111101</c:v>
                </c:pt>
                <c:pt idx="48">
                  <c:v>3.1302836111111101</c:v>
                </c:pt>
                <c:pt idx="49">
                  <c:v>3.1302836111111101</c:v>
                </c:pt>
                <c:pt idx="50">
                  <c:v>3.1302836111111101</c:v>
                </c:pt>
                <c:pt idx="51">
                  <c:v>3.1302836111111101</c:v>
                </c:pt>
                <c:pt idx="52">
                  <c:v>3.1302836111111101</c:v>
                </c:pt>
                <c:pt idx="53">
                  <c:v>3.1302836111111101</c:v>
                </c:pt>
                <c:pt idx="54">
                  <c:v>3.1302836111111101</c:v>
                </c:pt>
                <c:pt idx="55">
                  <c:v>3.1302836111111101</c:v>
                </c:pt>
                <c:pt idx="56">
                  <c:v>3.1302836111111101</c:v>
                </c:pt>
                <c:pt idx="57">
                  <c:v>3.1302836111111101</c:v>
                </c:pt>
                <c:pt idx="58">
                  <c:v>3.1302836111111101</c:v>
                </c:pt>
                <c:pt idx="59">
                  <c:v>3.1302836111111101</c:v>
                </c:pt>
                <c:pt idx="60">
                  <c:v>3.1302836111111101</c:v>
                </c:pt>
                <c:pt idx="61">
                  <c:v>3.1302836111111101</c:v>
                </c:pt>
                <c:pt idx="62">
                  <c:v>3.1302836111111101</c:v>
                </c:pt>
                <c:pt idx="63">
                  <c:v>3.1302836111111101</c:v>
                </c:pt>
                <c:pt idx="64">
                  <c:v>3.1302836111111101</c:v>
                </c:pt>
                <c:pt idx="65">
                  <c:v>3.1302836111111101</c:v>
                </c:pt>
                <c:pt idx="66">
                  <c:v>3.1302836111111101</c:v>
                </c:pt>
                <c:pt idx="67">
                  <c:v>3.1302836111111101</c:v>
                </c:pt>
                <c:pt idx="68">
                  <c:v>3.1302836111111101</c:v>
                </c:pt>
                <c:pt idx="69">
                  <c:v>3.1302836111111101</c:v>
                </c:pt>
                <c:pt idx="70">
                  <c:v>3.1302836111111101</c:v>
                </c:pt>
                <c:pt idx="71">
                  <c:v>3.1302836111111101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D2-4DB9-B7B5-AF0CC24C23A6}"/>
            </c:ext>
          </c:extLst>
        </c:ser>
        <c:ser>
          <c:idx val="2"/>
          <c:order val="2"/>
          <c:tx>
            <c:strRef>
              <c:f>'Post-Improvement'!$K$3</c:f>
              <c:strCache>
                <c:ptCount val="1"/>
                <c:pt idx="0">
                  <c:v>X-bar Mean</c:v>
                </c:pt>
              </c:strCache>
            </c:strRef>
          </c:tx>
          <c:spPr>
            <a:ln w="9525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'Post-Improvement'!$K$4:$K$75</c:f>
              <c:numCache>
                <c:formatCode>0.0000</c:formatCode>
                <c:ptCount val="72"/>
                <c:pt idx="0">
                  <c:v>3.0612777777777769</c:v>
                </c:pt>
                <c:pt idx="1">
                  <c:v>3.0612777777777769</c:v>
                </c:pt>
                <c:pt idx="2">
                  <c:v>3.0612777777777769</c:v>
                </c:pt>
                <c:pt idx="3">
                  <c:v>3.0612777777777769</c:v>
                </c:pt>
                <c:pt idx="4">
                  <c:v>3.0612777777777769</c:v>
                </c:pt>
                <c:pt idx="5">
                  <c:v>3.0612777777777769</c:v>
                </c:pt>
                <c:pt idx="6">
                  <c:v>3.0612777777777769</c:v>
                </c:pt>
                <c:pt idx="7">
                  <c:v>3.0612777777777769</c:v>
                </c:pt>
                <c:pt idx="8">
                  <c:v>3.0612777777777769</c:v>
                </c:pt>
                <c:pt idx="9">
                  <c:v>3.0612777777777769</c:v>
                </c:pt>
                <c:pt idx="10">
                  <c:v>3.0612777777777769</c:v>
                </c:pt>
                <c:pt idx="11">
                  <c:v>3.0612777777777769</c:v>
                </c:pt>
                <c:pt idx="12">
                  <c:v>3.0612777777777769</c:v>
                </c:pt>
                <c:pt idx="13">
                  <c:v>3.0612777777777769</c:v>
                </c:pt>
                <c:pt idx="14">
                  <c:v>3.0612777777777769</c:v>
                </c:pt>
                <c:pt idx="15">
                  <c:v>3.0612777777777769</c:v>
                </c:pt>
                <c:pt idx="16">
                  <c:v>3.0612777777777769</c:v>
                </c:pt>
                <c:pt idx="17">
                  <c:v>3.0612777777777769</c:v>
                </c:pt>
                <c:pt idx="18">
                  <c:v>3.0612777777777769</c:v>
                </c:pt>
                <c:pt idx="19">
                  <c:v>3.0612777777777769</c:v>
                </c:pt>
                <c:pt idx="20">
                  <c:v>3.0612777777777769</c:v>
                </c:pt>
                <c:pt idx="21">
                  <c:v>3.0612777777777769</c:v>
                </c:pt>
                <c:pt idx="22">
                  <c:v>3.0612777777777769</c:v>
                </c:pt>
                <c:pt idx="23">
                  <c:v>3.0612777777777769</c:v>
                </c:pt>
                <c:pt idx="24">
                  <c:v>3.0612777777777769</c:v>
                </c:pt>
                <c:pt idx="25">
                  <c:v>3.0612777777777769</c:v>
                </c:pt>
                <c:pt idx="26">
                  <c:v>3.0612777777777769</c:v>
                </c:pt>
                <c:pt idx="27">
                  <c:v>3.0612777777777769</c:v>
                </c:pt>
                <c:pt idx="28">
                  <c:v>3.0612777777777769</c:v>
                </c:pt>
                <c:pt idx="29">
                  <c:v>3.0612777777777769</c:v>
                </c:pt>
                <c:pt idx="30">
                  <c:v>3.0612777777777769</c:v>
                </c:pt>
                <c:pt idx="31">
                  <c:v>3.0612777777777769</c:v>
                </c:pt>
                <c:pt idx="32">
                  <c:v>3.0612777777777769</c:v>
                </c:pt>
                <c:pt idx="33">
                  <c:v>3.0612777777777769</c:v>
                </c:pt>
                <c:pt idx="34">
                  <c:v>3.0612777777777769</c:v>
                </c:pt>
                <c:pt idx="35">
                  <c:v>3.0612777777777769</c:v>
                </c:pt>
                <c:pt idx="36">
                  <c:v>3.0612777777777769</c:v>
                </c:pt>
                <c:pt idx="37">
                  <c:v>3.0612777777777769</c:v>
                </c:pt>
                <c:pt idx="38">
                  <c:v>3.0612777777777769</c:v>
                </c:pt>
                <c:pt idx="39">
                  <c:v>3.0612777777777769</c:v>
                </c:pt>
                <c:pt idx="40">
                  <c:v>3.0612777777777769</c:v>
                </c:pt>
                <c:pt idx="41">
                  <c:v>3.0612777777777769</c:v>
                </c:pt>
                <c:pt idx="42">
                  <c:v>3.0612777777777769</c:v>
                </c:pt>
                <c:pt idx="43">
                  <c:v>3.0612777777777769</c:v>
                </c:pt>
                <c:pt idx="44">
                  <c:v>3.0612777777777769</c:v>
                </c:pt>
                <c:pt idx="45">
                  <c:v>3.0612777777777769</c:v>
                </c:pt>
                <c:pt idx="46">
                  <c:v>3.0612777777777769</c:v>
                </c:pt>
                <c:pt idx="47">
                  <c:v>3.0612777777777769</c:v>
                </c:pt>
                <c:pt idx="48">
                  <c:v>3.0612777777777769</c:v>
                </c:pt>
                <c:pt idx="49">
                  <c:v>3.0612777777777769</c:v>
                </c:pt>
                <c:pt idx="50">
                  <c:v>3.0612777777777769</c:v>
                </c:pt>
                <c:pt idx="51">
                  <c:v>3.0612777777777769</c:v>
                </c:pt>
                <c:pt idx="52">
                  <c:v>3.0612777777777769</c:v>
                </c:pt>
                <c:pt idx="53">
                  <c:v>3.0612777777777769</c:v>
                </c:pt>
                <c:pt idx="54">
                  <c:v>3.0612777777777769</c:v>
                </c:pt>
                <c:pt idx="55">
                  <c:v>3.0612777777777769</c:v>
                </c:pt>
                <c:pt idx="56">
                  <c:v>3.0612777777777769</c:v>
                </c:pt>
                <c:pt idx="57">
                  <c:v>3.0612777777777769</c:v>
                </c:pt>
                <c:pt idx="58">
                  <c:v>3.0612777777777769</c:v>
                </c:pt>
                <c:pt idx="59">
                  <c:v>3.0612777777777769</c:v>
                </c:pt>
                <c:pt idx="60">
                  <c:v>3.0612777777777769</c:v>
                </c:pt>
                <c:pt idx="61">
                  <c:v>3.0612777777777769</c:v>
                </c:pt>
                <c:pt idx="62">
                  <c:v>3.0612777777777769</c:v>
                </c:pt>
                <c:pt idx="63">
                  <c:v>3.0612777777777769</c:v>
                </c:pt>
                <c:pt idx="64">
                  <c:v>3.0612777777777769</c:v>
                </c:pt>
                <c:pt idx="65">
                  <c:v>3.0612777777777769</c:v>
                </c:pt>
                <c:pt idx="66">
                  <c:v>3.0612777777777769</c:v>
                </c:pt>
                <c:pt idx="67">
                  <c:v>3.0612777777777769</c:v>
                </c:pt>
                <c:pt idx="68">
                  <c:v>3.0612777777777769</c:v>
                </c:pt>
                <c:pt idx="69">
                  <c:v>3.0612777777777769</c:v>
                </c:pt>
                <c:pt idx="70">
                  <c:v>3.0612777777777769</c:v>
                </c:pt>
                <c:pt idx="71">
                  <c:v>3.0612777777777769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D2-4DB9-B7B5-AF0CC24C23A6}"/>
            </c:ext>
          </c:extLst>
        </c:ser>
        <c:ser>
          <c:idx val="3"/>
          <c:order val="3"/>
          <c:tx>
            <c:strRef>
              <c:f>'Post-Improvement'!$L$3</c:f>
              <c:strCache>
                <c:ptCount val="1"/>
                <c:pt idx="0">
                  <c:v>X-bar LCL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'Post-Improvement'!$L$4:$L$75</c:f>
              <c:numCache>
                <c:formatCode>0.0000</c:formatCode>
                <c:ptCount val="72"/>
                <c:pt idx="0">
                  <c:v>2.9922719444444437</c:v>
                </c:pt>
                <c:pt idx="1">
                  <c:v>2.9922719444444437</c:v>
                </c:pt>
                <c:pt idx="2">
                  <c:v>2.9922719444444437</c:v>
                </c:pt>
                <c:pt idx="3">
                  <c:v>2.9922719444444437</c:v>
                </c:pt>
                <c:pt idx="4">
                  <c:v>2.9922719444444437</c:v>
                </c:pt>
                <c:pt idx="5">
                  <c:v>2.9922719444444437</c:v>
                </c:pt>
                <c:pt idx="6">
                  <c:v>2.9922719444444437</c:v>
                </c:pt>
                <c:pt idx="7">
                  <c:v>2.9922719444444437</c:v>
                </c:pt>
                <c:pt idx="8">
                  <c:v>2.9922719444444437</c:v>
                </c:pt>
                <c:pt idx="9">
                  <c:v>2.9922719444444437</c:v>
                </c:pt>
                <c:pt idx="10">
                  <c:v>2.9922719444444437</c:v>
                </c:pt>
                <c:pt idx="11">
                  <c:v>2.9922719444444437</c:v>
                </c:pt>
                <c:pt idx="12">
                  <c:v>2.9922719444444437</c:v>
                </c:pt>
                <c:pt idx="13">
                  <c:v>2.9922719444444437</c:v>
                </c:pt>
                <c:pt idx="14">
                  <c:v>2.9922719444444437</c:v>
                </c:pt>
                <c:pt idx="15">
                  <c:v>2.9922719444444437</c:v>
                </c:pt>
                <c:pt idx="16">
                  <c:v>2.9922719444444437</c:v>
                </c:pt>
                <c:pt idx="17">
                  <c:v>2.9922719444444437</c:v>
                </c:pt>
                <c:pt idx="18">
                  <c:v>2.9922719444444437</c:v>
                </c:pt>
                <c:pt idx="19">
                  <c:v>2.9922719444444437</c:v>
                </c:pt>
                <c:pt idx="20">
                  <c:v>2.9922719444444437</c:v>
                </c:pt>
                <c:pt idx="21">
                  <c:v>2.9922719444444437</c:v>
                </c:pt>
                <c:pt idx="22">
                  <c:v>2.9922719444444437</c:v>
                </c:pt>
                <c:pt idx="23">
                  <c:v>2.9922719444444437</c:v>
                </c:pt>
                <c:pt idx="24">
                  <c:v>2.9922719444444437</c:v>
                </c:pt>
                <c:pt idx="25">
                  <c:v>2.9922719444444437</c:v>
                </c:pt>
                <c:pt idx="26">
                  <c:v>2.9922719444444437</c:v>
                </c:pt>
                <c:pt idx="27">
                  <c:v>2.9922719444444437</c:v>
                </c:pt>
                <c:pt idx="28">
                  <c:v>2.9922719444444437</c:v>
                </c:pt>
                <c:pt idx="29">
                  <c:v>2.9922719444444437</c:v>
                </c:pt>
                <c:pt idx="30">
                  <c:v>2.9922719444444437</c:v>
                </c:pt>
                <c:pt idx="31">
                  <c:v>2.9922719444444437</c:v>
                </c:pt>
                <c:pt idx="32">
                  <c:v>2.9922719444444437</c:v>
                </c:pt>
                <c:pt idx="33">
                  <c:v>2.9922719444444437</c:v>
                </c:pt>
                <c:pt idx="34">
                  <c:v>2.9922719444444437</c:v>
                </c:pt>
                <c:pt idx="35">
                  <c:v>2.9922719444444437</c:v>
                </c:pt>
                <c:pt idx="36">
                  <c:v>2.9922719444444437</c:v>
                </c:pt>
                <c:pt idx="37">
                  <c:v>2.9922719444444437</c:v>
                </c:pt>
                <c:pt idx="38">
                  <c:v>2.9922719444444437</c:v>
                </c:pt>
                <c:pt idx="39">
                  <c:v>2.9922719444444437</c:v>
                </c:pt>
                <c:pt idx="40">
                  <c:v>2.9922719444444437</c:v>
                </c:pt>
                <c:pt idx="41">
                  <c:v>2.9922719444444437</c:v>
                </c:pt>
                <c:pt idx="42">
                  <c:v>2.9922719444444437</c:v>
                </c:pt>
                <c:pt idx="43">
                  <c:v>2.9922719444444437</c:v>
                </c:pt>
                <c:pt idx="44">
                  <c:v>2.9922719444444437</c:v>
                </c:pt>
                <c:pt idx="45">
                  <c:v>2.9922719444444437</c:v>
                </c:pt>
                <c:pt idx="46">
                  <c:v>2.9922719444444437</c:v>
                </c:pt>
                <c:pt idx="47">
                  <c:v>2.9922719444444437</c:v>
                </c:pt>
                <c:pt idx="48">
                  <c:v>2.9922719444444437</c:v>
                </c:pt>
                <c:pt idx="49">
                  <c:v>2.9922719444444437</c:v>
                </c:pt>
                <c:pt idx="50">
                  <c:v>2.9922719444444437</c:v>
                </c:pt>
                <c:pt idx="51">
                  <c:v>2.9922719444444437</c:v>
                </c:pt>
                <c:pt idx="52">
                  <c:v>2.9922719444444437</c:v>
                </c:pt>
                <c:pt idx="53">
                  <c:v>2.9922719444444437</c:v>
                </c:pt>
                <c:pt idx="54">
                  <c:v>2.9922719444444437</c:v>
                </c:pt>
                <c:pt idx="55">
                  <c:v>2.9922719444444437</c:v>
                </c:pt>
                <c:pt idx="56">
                  <c:v>2.9922719444444437</c:v>
                </c:pt>
                <c:pt idx="57">
                  <c:v>2.9922719444444437</c:v>
                </c:pt>
                <c:pt idx="58">
                  <c:v>2.9922719444444437</c:v>
                </c:pt>
                <c:pt idx="59">
                  <c:v>2.9922719444444437</c:v>
                </c:pt>
                <c:pt idx="60">
                  <c:v>2.9922719444444437</c:v>
                </c:pt>
                <c:pt idx="61">
                  <c:v>2.9922719444444437</c:v>
                </c:pt>
                <c:pt idx="62">
                  <c:v>2.9922719444444437</c:v>
                </c:pt>
                <c:pt idx="63">
                  <c:v>2.9922719444444437</c:v>
                </c:pt>
                <c:pt idx="64">
                  <c:v>2.9922719444444437</c:v>
                </c:pt>
                <c:pt idx="65">
                  <c:v>2.9922719444444437</c:v>
                </c:pt>
                <c:pt idx="66">
                  <c:v>2.9922719444444437</c:v>
                </c:pt>
                <c:pt idx="67">
                  <c:v>2.9922719444444437</c:v>
                </c:pt>
                <c:pt idx="68">
                  <c:v>2.9922719444444437</c:v>
                </c:pt>
                <c:pt idx="69">
                  <c:v>2.9922719444444437</c:v>
                </c:pt>
                <c:pt idx="70">
                  <c:v>2.9922719444444437</c:v>
                </c:pt>
                <c:pt idx="71">
                  <c:v>2.9922719444444437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AD2-4DB9-B7B5-AF0CC24C2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mean (thousand Å)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231992327686914"/>
          <c:y val="0.62997396623596491"/>
          <c:w val="0.1343676484883834"/>
          <c:h val="0.28245132644423504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 Chart — Post-Improvement Data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'Post-Improvement'!$F$3</c:f>
              <c:strCache>
                <c:ptCount val="1"/>
                <c:pt idx="0">
                  <c:v>Sample Range (R_i)</c:v>
                </c:pt>
              </c:strCache>
            </c:strRef>
          </c:tx>
          <c:spPr>
            <a:ln w="12700">
              <a:prstDash val="solid"/>
            </a:ln>
          </c:spPr>
          <c:marker>
            <c:symbol val="circle"/>
            <c:size val="4"/>
            <c:spPr>
              <a:ln>
                <a:prstDash val="solid"/>
              </a:ln>
            </c:spPr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'Post-Improvement'!$F$4:$F$75</c:f>
              <c:numCache>
                <c:formatCode>0.0000</c:formatCode>
                <c:ptCount val="72"/>
                <c:pt idx="0">
                  <c:v>8.4000000000000075E-2</c:v>
                </c:pt>
                <c:pt idx="1">
                  <c:v>3.0000000000000249E-2</c:v>
                </c:pt>
                <c:pt idx="2">
                  <c:v>5.4999999999999716E-2</c:v>
                </c:pt>
                <c:pt idx="3">
                  <c:v>5.4999999999999716E-2</c:v>
                </c:pt>
                <c:pt idx="4">
                  <c:v>9.9000000000000199E-2</c:v>
                </c:pt>
                <c:pt idx="5">
                  <c:v>0.13000000000000034</c:v>
                </c:pt>
                <c:pt idx="6">
                  <c:v>3.2999999999999918E-2</c:v>
                </c:pt>
                <c:pt idx="7">
                  <c:v>6.0000000000002274E-3</c:v>
                </c:pt>
                <c:pt idx="8">
                  <c:v>4.8000000000000043E-2</c:v>
                </c:pt>
                <c:pt idx="9">
                  <c:v>7.6000000000000068E-2</c:v>
                </c:pt>
                <c:pt idx="10">
                  <c:v>6.2000000000000277E-2</c:v>
                </c:pt>
                <c:pt idx="11">
                  <c:v>6.4999999999999947E-2</c:v>
                </c:pt>
                <c:pt idx="12">
                  <c:v>4.7000000000000153E-2</c:v>
                </c:pt>
                <c:pt idx="13">
                  <c:v>8.8999999999999968E-2</c:v>
                </c:pt>
                <c:pt idx="14">
                  <c:v>0.14500000000000002</c:v>
                </c:pt>
                <c:pt idx="15">
                  <c:v>8.1999999999999851E-2</c:v>
                </c:pt>
                <c:pt idx="16">
                  <c:v>5.500000000000016E-2</c:v>
                </c:pt>
                <c:pt idx="17">
                  <c:v>6.800000000000006E-2</c:v>
                </c:pt>
                <c:pt idx="18">
                  <c:v>5.7999999999999829E-2</c:v>
                </c:pt>
                <c:pt idx="19">
                  <c:v>8.3000000000000185E-2</c:v>
                </c:pt>
                <c:pt idx="20">
                  <c:v>8.8999999999999968E-2</c:v>
                </c:pt>
                <c:pt idx="21">
                  <c:v>0.10799999999999965</c:v>
                </c:pt>
                <c:pt idx="22">
                  <c:v>3.4999999999999698E-2</c:v>
                </c:pt>
                <c:pt idx="23">
                  <c:v>8.6000000000000298E-2</c:v>
                </c:pt>
                <c:pt idx="24">
                  <c:v>1.9000000000000128E-2</c:v>
                </c:pt>
                <c:pt idx="25">
                  <c:v>5.9000000000000163E-2</c:v>
                </c:pt>
                <c:pt idx="26">
                  <c:v>6.9000000000000394E-2</c:v>
                </c:pt>
                <c:pt idx="27">
                  <c:v>0.11500000000000021</c:v>
                </c:pt>
                <c:pt idx="28">
                  <c:v>2.5999999999999801E-2</c:v>
                </c:pt>
                <c:pt idx="29">
                  <c:v>0.1549999999999998</c:v>
                </c:pt>
                <c:pt idx="30">
                  <c:v>2.8000000000000025E-2</c:v>
                </c:pt>
                <c:pt idx="31">
                  <c:v>9.3999999999999861E-2</c:v>
                </c:pt>
                <c:pt idx="32">
                  <c:v>0.10499999999999998</c:v>
                </c:pt>
                <c:pt idx="33">
                  <c:v>5.600000000000005E-2</c:v>
                </c:pt>
                <c:pt idx="34">
                  <c:v>3.6000000000000032E-2</c:v>
                </c:pt>
                <c:pt idx="35">
                  <c:v>5.2000000000000046E-2</c:v>
                </c:pt>
                <c:pt idx="36">
                  <c:v>0.10499999999999998</c:v>
                </c:pt>
                <c:pt idx="37">
                  <c:v>7.9000000000000181E-2</c:v>
                </c:pt>
                <c:pt idx="38">
                  <c:v>0.14300000000000024</c:v>
                </c:pt>
                <c:pt idx="39">
                  <c:v>2.4000000000000021E-2</c:v>
                </c:pt>
                <c:pt idx="40">
                  <c:v>2.7000000000000135E-2</c:v>
                </c:pt>
                <c:pt idx="41">
                  <c:v>8.8999999999999968E-2</c:v>
                </c:pt>
                <c:pt idx="42">
                  <c:v>5.2000000000000046E-2</c:v>
                </c:pt>
                <c:pt idx="43">
                  <c:v>4.2999999999999705E-2</c:v>
                </c:pt>
                <c:pt idx="44">
                  <c:v>4.0999999999999925E-2</c:v>
                </c:pt>
                <c:pt idx="45">
                  <c:v>5.9000000000000163E-2</c:v>
                </c:pt>
                <c:pt idx="46">
                  <c:v>7.2999999999999954E-2</c:v>
                </c:pt>
                <c:pt idx="47">
                  <c:v>0.10099999999999998</c:v>
                </c:pt>
                <c:pt idx="48">
                  <c:v>9.7999999999999865E-2</c:v>
                </c:pt>
                <c:pt idx="49">
                  <c:v>3.6999999999999922E-2</c:v>
                </c:pt>
                <c:pt idx="50">
                  <c:v>2.0000000000000018E-2</c:v>
                </c:pt>
                <c:pt idx="51">
                  <c:v>4.8000000000000043E-2</c:v>
                </c:pt>
                <c:pt idx="52">
                  <c:v>3.7000000000000366E-2</c:v>
                </c:pt>
                <c:pt idx="53">
                  <c:v>5.8000000000000274E-2</c:v>
                </c:pt>
                <c:pt idx="54">
                  <c:v>9.1000000000000192E-2</c:v>
                </c:pt>
                <c:pt idx="55">
                  <c:v>7.0000000000001172E-3</c:v>
                </c:pt>
                <c:pt idx="56">
                  <c:v>5.2000000000000046E-2</c:v>
                </c:pt>
                <c:pt idx="57">
                  <c:v>7.2000000000000064E-2</c:v>
                </c:pt>
                <c:pt idx="58">
                  <c:v>8.1999999999999851E-2</c:v>
                </c:pt>
                <c:pt idx="59">
                  <c:v>4.1999999999999815E-2</c:v>
                </c:pt>
                <c:pt idx="60">
                  <c:v>4.0999999999999925E-2</c:v>
                </c:pt>
                <c:pt idx="61">
                  <c:v>0.10299999999999976</c:v>
                </c:pt>
                <c:pt idx="62">
                  <c:v>2.8999999999999915E-2</c:v>
                </c:pt>
                <c:pt idx="63">
                  <c:v>0.129</c:v>
                </c:pt>
                <c:pt idx="64">
                  <c:v>9.2999999999999972E-2</c:v>
                </c:pt>
                <c:pt idx="65">
                  <c:v>4.7000000000000153E-2</c:v>
                </c:pt>
                <c:pt idx="66">
                  <c:v>3.3999999999999808E-2</c:v>
                </c:pt>
                <c:pt idx="67">
                  <c:v>0.12700000000000022</c:v>
                </c:pt>
                <c:pt idx="68">
                  <c:v>6.1999999999999833E-2</c:v>
                </c:pt>
                <c:pt idx="69">
                  <c:v>3.3000000000000362E-2</c:v>
                </c:pt>
                <c:pt idx="70">
                  <c:v>9.9000000000000199E-2</c:v>
                </c:pt>
                <c:pt idx="71">
                  <c:v>9.1999999999999638E-2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5D-4835-A38C-D5F5815ECB4E}"/>
            </c:ext>
          </c:extLst>
        </c:ser>
        <c:ser>
          <c:idx val="1"/>
          <c:order val="1"/>
          <c:tx>
            <c:strRef>
              <c:f>'Post-Improvement'!$N$3</c:f>
              <c:strCache>
                <c:ptCount val="1"/>
                <c:pt idx="0">
                  <c:v>R UCL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'Post-Improvement'!$N$4:$N$75</c:f>
              <c:numCache>
                <c:formatCode>0.0000</c:formatCode>
                <c:ptCount val="72"/>
                <c:pt idx="0">
                  <c:v>0.1738676388888889</c:v>
                </c:pt>
                <c:pt idx="1">
                  <c:v>0.1738676388888889</c:v>
                </c:pt>
                <c:pt idx="2">
                  <c:v>0.1738676388888889</c:v>
                </c:pt>
                <c:pt idx="3">
                  <c:v>0.1738676388888889</c:v>
                </c:pt>
                <c:pt idx="4">
                  <c:v>0.1738676388888889</c:v>
                </c:pt>
                <c:pt idx="5">
                  <c:v>0.1738676388888889</c:v>
                </c:pt>
                <c:pt idx="6">
                  <c:v>0.1738676388888889</c:v>
                </c:pt>
                <c:pt idx="7">
                  <c:v>0.1738676388888889</c:v>
                </c:pt>
                <c:pt idx="8">
                  <c:v>0.1738676388888889</c:v>
                </c:pt>
                <c:pt idx="9">
                  <c:v>0.1738676388888889</c:v>
                </c:pt>
                <c:pt idx="10">
                  <c:v>0.1738676388888889</c:v>
                </c:pt>
                <c:pt idx="11">
                  <c:v>0.1738676388888889</c:v>
                </c:pt>
                <c:pt idx="12">
                  <c:v>0.1738676388888889</c:v>
                </c:pt>
                <c:pt idx="13">
                  <c:v>0.1738676388888889</c:v>
                </c:pt>
                <c:pt idx="14">
                  <c:v>0.1738676388888889</c:v>
                </c:pt>
                <c:pt idx="15">
                  <c:v>0.1738676388888889</c:v>
                </c:pt>
                <c:pt idx="16">
                  <c:v>0.1738676388888889</c:v>
                </c:pt>
                <c:pt idx="17">
                  <c:v>0.1738676388888889</c:v>
                </c:pt>
                <c:pt idx="18">
                  <c:v>0.1738676388888889</c:v>
                </c:pt>
                <c:pt idx="19">
                  <c:v>0.1738676388888889</c:v>
                </c:pt>
                <c:pt idx="20">
                  <c:v>0.1738676388888889</c:v>
                </c:pt>
                <c:pt idx="21">
                  <c:v>0.1738676388888889</c:v>
                </c:pt>
                <c:pt idx="22">
                  <c:v>0.1738676388888889</c:v>
                </c:pt>
                <c:pt idx="23">
                  <c:v>0.1738676388888889</c:v>
                </c:pt>
                <c:pt idx="24">
                  <c:v>0.1738676388888889</c:v>
                </c:pt>
                <c:pt idx="25">
                  <c:v>0.1738676388888889</c:v>
                </c:pt>
                <c:pt idx="26">
                  <c:v>0.1738676388888889</c:v>
                </c:pt>
                <c:pt idx="27">
                  <c:v>0.1738676388888889</c:v>
                </c:pt>
                <c:pt idx="28">
                  <c:v>0.1738676388888889</c:v>
                </c:pt>
                <c:pt idx="29">
                  <c:v>0.1738676388888889</c:v>
                </c:pt>
                <c:pt idx="30">
                  <c:v>0.1738676388888889</c:v>
                </c:pt>
                <c:pt idx="31">
                  <c:v>0.1738676388888889</c:v>
                </c:pt>
                <c:pt idx="32">
                  <c:v>0.1738676388888889</c:v>
                </c:pt>
                <c:pt idx="33">
                  <c:v>0.1738676388888889</c:v>
                </c:pt>
                <c:pt idx="34">
                  <c:v>0.1738676388888889</c:v>
                </c:pt>
                <c:pt idx="35">
                  <c:v>0.1738676388888889</c:v>
                </c:pt>
                <c:pt idx="36">
                  <c:v>0.1738676388888889</c:v>
                </c:pt>
                <c:pt idx="37">
                  <c:v>0.1738676388888889</c:v>
                </c:pt>
                <c:pt idx="38">
                  <c:v>0.1738676388888889</c:v>
                </c:pt>
                <c:pt idx="39">
                  <c:v>0.1738676388888889</c:v>
                </c:pt>
                <c:pt idx="40">
                  <c:v>0.1738676388888889</c:v>
                </c:pt>
                <c:pt idx="41">
                  <c:v>0.1738676388888889</c:v>
                </c:pt>
                <c:pt idx="42">
                  <c:v>0.1738676388888889</c:v>
                </c:pt>
                <c:pt idx="43">
                  <c:v>0.1738676388888889</c:v>
                </c:pt>
                <c:pt idx="44">
                  <c:v>0.1738676388888889</c:v>
                </c:pt>
                <c:pt idx="45">
                  <c:v>0.1738676388888889</c:v>
                </c:pt>
                <c:pt idx="46">
                  <c:v>0.1738676388888889</c:v>
                </c:pt>
                <c:pt idx="47">
                  <c:v>0.1738676388888889</c:v>
                </c:pt>
                <c:pt idx="48">
                  <c:v>0.1738676388888889</c:v>
                </c:pt>
                <c:pt idx="49">
                  <c:v>0.1738676388888889</c:v>
                </c:pt>
                <c:pt idx="50">
                  <c:v>0.1738676388888889</c:v>
                </c:pt>
                <c:pt idx="51">
                  <c:v>0.1738676388888889</c:v>
                </c:pt>
                <c:pt idx="52">
                  <c:v>0.1738676388888889</c:v>
                </c:pt>
                <c:pt idx="53">
                  <c:v>0.1738676388888889</c:v>
                </c:pt>
                <c:pt idx="54">
                  <c:v>0.1738676388888889</c:v>
                </c:pt>
                <c:pt idx="55">
                  <c:v>0.1738676388888889</c:v>
                </c:pt>
                <c:pt idx="56">
                  <c:v>0.1738676388888889</c:v>
                </c:pt>
                <c:pt idx="57">
                  <c:v>0.1738676388888889</c:v>
                </c:pt>
                <c:pt idx="58">
                  <c:v>0.1738676388888889</c:v>
                </c:pt>
                <c:pt idx="59">
                  <c:v>0.1738676388888889</c:v>
                </c:pt>
                <c:pt idx="60">
                  <c:v>0.1738676388888889</c:v>
                </c:pt>
                <c:pt idx="61">
                  <c:v>0.1738676388888889</c:v>
                </c:pt>
                <c:pt idx="62">
                  <c:v>0.1738676388888889</c:v>
                </c:pt>
                <c:pt idx="63">
                  <c:v>0.1738676388888889</c:v>
                </c:pt>
                <c:pt idx="64">
                  <c:v>0.1738676388888889</c:v>
                </c:pt>
                <c:pt idx="65">
                  <c:v>0.1738676388888889</c:v>
                </c:pt>
                <c:pt idx="66">
                  <c:v>0.1738676388888889</c:v>
                </c:pt>
                <c:pt idx="67">
                  <c:v>0.1738676388888889</c:v>
                </c:pt>
                <c:pt idx="68">
                  <c:v>0.1738676388888889</c:v>
                </c:pt>
                <c:pt idx="69">
                  <c:v>0.1738676388888889</c:v>
                </c:pt>
                <c:pt idx="70">
                  <c:v>0.1738676388888889</c:v>
                </c:pt>
                <c:pt idx="71">
                  <c:v>0.1738676388888889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5D-4835-A38C-D5F5815ECB4E}"/>
            </c:ext>
          </c:extLst>
        </c:ser>
        <c:ser>
          <c:idx val="2"/>
          <c:order val="2"/>
          <c:tx>
            <c:strRef>
              <c:f>'Post-Improvement'!$O$3</c:f>
              <c:strCache>
                <c:ptCount val="1"/>
                <c:pt idx="0">
                  <c:v>R-bar</c:v>
                </c:pt>
              </c:strCache>
            </c:strRef>
          </c:tx>
          <c:spPr>
            <a:ln w="9525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'Post-Improvement'!$O$4:$O$75</c:f>
              <c:numCache>
                <c:formatCode>0.0000</c:formatCode>
                <c:ptCount val="72"/>
                <c:pt idx="0">
                  <c:v>6.7652777777777784E-2</c:v>
                </c:pt>
                <c:pt idx="1">
                  <c:v>6.7652777777777784E-2</c:v>
                </c:pt>
                <c:pt idx="2">
                  <c:v>6.7652777777777784E-2</c:v>
                </c:pt>
                <c:pt idx="3">
                  <c:v>6.7652777777777784E-2</c:v>
                </c:pt>
                <c:pt idx="4">
                  <c:v>6.7652777777777784E-2</c:v>
                </c:pt>
                <c:pt idx="5">
                  <c:v>6.7652777777777784E-2</c:v>
                </c:pt>
                <c:pt idx="6">
                  <c:v>6.7652777777777784E-2</c:v>
                </c:pt>
                <c:pt idx="7">
                  <c:v>6.7652777777777784E-2</c:v>
                </c:pt>
                <c:pt idx="8">
                  <c:v>6.7652777777777784E-2</c:v>
                </c:pt>
                <c:pt idx="9">
                  <c:v>6.7652777777777784E-2</c:v>
                </c:pt>
                <c:pt idx="10">
                  <c:v>6.7652777777777784E-2</c:v>
                </c:pt>
                <c:pt idx="11">
                  <c:v>6.7652777777777784E-2</c:v>
                </c:pt>
                <c:pt idx="12">
                  <c:v>6.7652777777777784E-2</c:v>
                </c:pt>
                <c:pt idx="13">
                  <c:v>6.7652777777777784E-2</c:v>
                </c:pt>
                <c:pt idx="14">
                  <c:v>6.7652777777777784E-2</c:v>
                </c:pt>
                <c:pt idx="15">
                  <c:v>6.7652777777777784E-2</c:v>
                </c:pt>
                <c:pt idx="16">
                  <c:v>6.7652777777777784E-2</c:v>
                </c:pt>
                <c:pt idx="17">
                  <c:v>6.7652777777777784E-2</c:v>
                </c:pt>
                <c:pt idx="18">
                  <c:v>6.7652777777777784E-2</c:v>
                </c:pt>
                <c:pt idx="19">
                  <c:v>6.7652777777777784E-2</c:v>
                </c:pt>
                <c:pt idx="20">
                  <c:v>6.7652777777777784E-2</c:v>
                </c:pt>
                <c:pt idx="21">
                  <c:v>6.7652777777777784E-2</c:v>
                </c:pt>
                <c:pt idx="22">
                  <c:v>6.7652777777777784E-2</c:v>
                </c:pt>
                <c:pt idx="23">
                  <c:v>6.7652777777777784E-2</c:v>
                </c:pt>
                <c:pt idx="24">
                  <c:v>6.7652777777777784E-2</c:v>
                </c:pt>
                <c:pt idx="25">
                  <c:v>6.7652777777777784E-2</c:v>
                </c:pt>
                <c:pt idx="26">
                  <c:v>6.7652777777777784E-2</c:v>
                </c:pt>
                <c:pt idx="27">
                  <c:v>6.7652777777777784E-2</c:v>
                </c:pt>
                <c:pt idx="28">
                  <c:v>6.7652777777777784E-2</c:v>
                </c:pt>
                <c:pt idx="29">
                  <c:v>6.7652777777777784E-2</c:v>
                </c:pt>
                <c:pt idx="30">
                  <c:v>6.7652777777777784E-2</c:v>
                </c:pt>
                <c:pt idx="31">
                  <c:v>6.7652777777777784E-2</c:v>
                </c:pt>
                <c:pt idx="32">
                  <c:v>6.7652777777777784E-2</c:v>
                </c:pt>
                <c:pt idx="33">
                  <c:v>6.7652777777777784E-2</c:v>
                </c:pt>
                <c:pt idx="34">
                  <c:v>6.7652777777777784E-2</c:v>
                </c:pt>
                <c:pt idx="35">
                  <c:v>6.7652777777777784E-2</c:v>
                </c:pt>
                <c:pt idx="36">
                  <c:v>6.7652777777777784E-2</c:v>
                </c:pt>
                <c:pt idx="37">
                  <c:v>6.7652777777777784E-2</c:v>
                </c:pt>
                <c:pt idx="38">
                  <c:v>6.7652777777777784E-2</c:v>
                </c:pt>
                <c:pt idx="39">
                  <c:v>6.7652777777777784E-2</c:v>
                </c:pt>
                <c:pt idx="40">
                  <c:v>6.7652777777777784E-2</c:v>
                </c:pt>
                <c:pt idx="41">
                  <c:v>6.7652777777777784E-2</c:v>
                </c:pt>
                <c:pt idx="42">
                  <c:v>6.7652777777777784E-2</c:v>
                </c:pt>
                <c:pt idx="43">
                  <c:v>6.7652777777777784E-2</c:v>
                </c:pt>
                <c:pt idx="44">
                  <c:v>6.7652777777777784E-2</c:v>
                </c:pt>
                <c:pt idx="45">
                  <c:v>6.7652777777777784E-2</c:v>
                </c:pt>
                <c:pt idx="46">
                  <c:v>6.7652777777777784E-2</c:v>
                </c:pt>
                <c:pt idx="47">
                  <c:v>6.7652777777777784E-2</c:v>
                </c:pt>
                <c:pt idx="48">
                  <c:v>6.7652777777777784E-2</c:v>
                </c:pt>
                <c:pt idx="49">
                  <c:v>6.7652777777777784E-2</c:v>
                </c:pt>
                <c:pt idx="50">
                  <c:v>6.7652777777777784E-2</c:v>
                </c:pt>
                <c:pt idx="51">
                  <c:v>6.7652777777777784E-2</c:v>
                </c:pt>
                <c:pt idx="52">
                  <c:v>6.7652777777777784E-2</c:v>
                </c:pt>
                <c:pt idx="53">
                  <c:v>6.7652777777777784E-2</c:v>
                </c:pt>
                <c:pt idx="54">
                  <c:v>6.7652777777777784E-2</c:v>
                </c:pt>
                <c:pt idx="55">
                  <c:v>6.7652777777777784E-2</c:v>
                </c:pt>
                <c:pt idx="56">
                  <c:v>6.7652777777777784E-2</c:v>
                </c:pt>
                <c:pt idx="57">
                  <c:v>6.7652777777777784E-2</c:v>
                </c:pt>
                <c:pt idx="58">
                  <c:v>6.7652777777777784E-2</c:v>
                </c:pt>
                <c:pt idx="59">
                  <c:v>6.7652777777777784E-2</c:v>
                </c:pt>
                <c:pt idx="60">
                  <c:v>6.7652777777777784E-2</c:v>
                </c:pt>
                <c:pt idx="61">
                  <c:v>6.7652777777777784E-2</c:v>
                </c:pt>
                <c:pt idx="62">
                  <c:v>6.7652777777777784E-2</c:v>
                </c:pt>
                <c:pt idx="63">
                  <c:v>6.7652777777777784E-2</c:v>
                </c:pt>
                <c:pt idx="64">
                  <c:v>6.7652777777777784E-2</c:v>
                </c:pt>
                <c:pt idx="65">
                  <c:v>6.7652777777777784E-2</c:v>
                </c:pt>
                <c:pt idx="66">
                  <c:v>6.7652777777777784E-2</c:v>
                </c:pt>
                <c:pt idx="67">
                  <c:v>6.7652777777777784E-2</c:v>
                </c:pt>
                <c:pt idx="68">
                  <c:v>6.7652777777777784E-2</c:v>
                </c:pt>
                <c:pt idx="69">
                  <c:v>6.7652777777777784E-2</c:v>
                </c:pt>
                <c:pt idx="70">
                  <c:v>6.7652777777777784E-2</c:v>
                </c:pt>
                <c:pt idx="71">
                  <c:v>6.7652777777777784E-2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5D-4835-A38C-D5F5815ECB4E}"/>
            </c:ext>
          </c:extLst>
        </c:ser>
        <c:ser>
          <c:idx val="3"/>
          <c:order val="3"/>
          <c:tx>
            <c:strRef>
              <c:f>'Post-Improvement'!$P$3</c:f>
              <c:strCache>
                <c:ptCount val="1"/>
                <c:pt idx="0">
                  <c:v>R LCL</c:v>
                </c:pt>
              </c:strCache>
            </c:strRef>
          </c:tx>
          <c:spPr>
            <a:ln w="9525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'Post-Improvement'!$A$4:$A$75</c:f>
              <c:numCache>
                <c:formatCode>General</c:formatCode>
                <c:ptCount val="7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</c:numCache>
            </c:numRef>
          </c:cat>
          <c:val>
            <c:numRef>
              <c:f>'Post-Improvement'!$P$4:$P$75</c:f>
              <c:numCache>
                <c:formatCode>0.0000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75D-4835-A38C-D5F5815E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number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range (thousand Å)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99610859453379"/>
          <c:y val="0.20603494563179603"/>
          <c:w val="0.11181497583072386"/>
          <c:h val="0.23745391826021747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89</xdr:row>
      <xdr:rowOff>0</xdr:rowOff>
    </xdr:from>
    <xdr:ext cx="14071600" cy="29337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107</xdr:row>
      <xdr:rowOff>0</xdr:rowOff>
    </xdr:from>
    <xdr:ext cx="14077950" cy="29337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89</xdr:row>
      <xdr:rowOff>0</xdr:rowOff>
    </xdr:from>
    <xdr:ext cx="13138150" cy="3130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31750</xdr:colOff>
      <xdr:row>109</xdr:row>
      <xdr:rowOff>50800</xdr:rowOff>
    </xdr:from>
    <xdr:ext cx="13157200" cy="33337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workbookViewId="0">
      <selection sqref="A1:L1"/>
    </sheetView>
  </sheetViews>
  <sheetFormatPr defaultRowHeight="14.5" x14ac:dyDescent="0.35"/>
  <cols>
    <col min="1" max="1" width="10" style="10" customWidth="1"/>
    <col min="2" max="4" width="9" style="10" customWidth="1"/>
    <col min="5" max="6" width="16" style="10" customWidth="1"/>
    <col min="7" max="7" width="14" style="10" customWidth="1"/>
    <col min="8" max="8" width="12" style="10" customWidth="1"/>
    <col min="9" max="9" width="3" style="10" customWidth="1"/>
    <col min="10" max="12" width="11" style="10" customWidth="1"/>
    <col min="13" max="13" width="8.7265625" style="10"/>
    <col min="14" max="16" width="9" style="10" customWidth="1"/>
    <col min="17" max="16384" width="8.7265625" style="10"/>
  </cols>
  <sheetData>
    <row r="1" spans="1:16" ht="17" x14ac:dyDescent="0.4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6" ht="29" x14ac:dyDescent="0.3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/>
      <c r="J3" s="11" t="s">
        <v>8</v>
      </c>
      <c r="K3" s="11" t="s">
        <v>9</v>
      </c>
      <c r="L3" s="11" t="s">
        <v>10</v>
      </c>
      <c r="N3" s="12" t="s">
        <v>11</v>
      </c>
      <c r="O3" s="12" t="s">
        <v>12</v>
      </c>
      <c r="P3" s="12" t="s">
        <v>13</v>
      </c>
    </row>
    <row r="4" spans="1:16" x14ac:dyDescent="0.35">
      <c r="A4" s="13">
        <v>1</v>
      </c>
      <c r="B4" s="13">
        <v>3.2650000000000001</v>
      </c>
      <c r="C4" s="13">
        <v>3.097</v>
      </c>
      <c r="D4" s="13">
        <v>3.2010000000000001</v>
      </c>
      <c r="E4" s="14">
        <f t="shared" ref="E4:E35" si="0">AVERAGE(B4:D4)</f>
        <v>3.1876666666666669</v>
      </c>
      <c r="F4" s="14">
        <f t="shared" ref="F4:F35" si="1">MAX(B4:D4)-MIN(B4:D4)</f>
        <v>0.16800000000000015</v>
      </c>
      <c r="G4" s="15" t="str">
        <f t="shared" ref="G4:G35" si="2">IF(OR(E4&gt;$B$84,E4&lt;$B$85),"OUT","ok")</f>
        <v>ok</v>
      </c>
      <c r="H4" s="15" t="str">
        <f t="shared" ref="H4:H35" si="3">IF(OR(F4&gt;$B$86,F4&lt;$B$87),"OUT","ok")</f>
        <v>ok</v>
      </c>
      <c r="J4" s="16">
        <f t="shared" ref="J4:J35" si="4">$B$84</f>
        <v>3.2513899074074071</v>
      </c>
      <c r="K4" s="16">
        <f t="shared" ref="K4:K35" si="5">$B$79</f>
        <v>3.132574074074074</v>
      </c>
      <c r="L4" s="16">
        <f t="shared" ref="L4:L35" si="6">$B$85</f>
        <v>3.0137582407407408</v>
      </c>
      <c r="N4" s="16">
        <f t="shared" ref="N4:N35" si="7">$B$86</f>
        <v>0.29936930555555552</v>
      </c>
      <c r="O4" s="16">
        <f t="shared" ref="O4:O35" si="8">$B$80</f>
        <v>0.1164861111111111</v>
      </c>
      <c r="P4" s="16">
        <f t="shared" ref="P4:P35" si="9">$B$87</f>
        <v>0</v>
      </c>
    </row>
    <row r="5" spans="1:16" x14ac:dyDescent="0.35">
      <c r="A5" s="13">
        <v>2</v>
      </c>
      <c r="B5" s="13">
        <v>3.2730000000000001</v>
      </c>
      <c r="C5" s="13">
        <v>3.2440000000000002</v>
      </c>
      <c r="D5" s="13">
        <v>3.125</v>
      </c>
      <c r="E5" s="14">
        <f t="shared" si="0"/>
        <v>3.214</v>
      </c>
      <c r="F5" s="14">
        <f t="shared" si="1"/>
        <v>0.14800000000000013</v>
      </c>
      <c r="G5" s="15" t="str">
        <f t="shared" si="2"/>
        <v>ok</v>
      </c>
      <c r="H5" s="15" t="str">
        <f t="shared" si="3"/>
        <v>ok</v>
      </c>
      <c r="J5" s="16">
        <f t="shared" si="4"/>
        <v>3.2513899074074071</v>
      </c>
      <c r="K5" s="16">
        <f t="shared" si="5"/>
        <v>3.132574074074074</v>
      </c>
      <c r="L5" s="16">
        <f t="shared" si="6"/>
        <v>3.0137582407407408</v>
      </c>
      <c r="N5" s="16">
        <f t="shared" si="7"/>
        <v>0.29936930555555552</v>
      </c>
      <c r="O5" s="16">
        <f t="shared" si="8"/>
        <v>0.1164861111111111</v>
      </c>
      <c r="P5" s="16">
        <f t="shared" si="9"/>
        <v>0</v>
      </c>
    </row>
    <row r="6" spans="1:16" x14ac:dyDescent="0.35">
      <c r="A6" s="13">
        <v>3</v>
      </c>
      <c r="B6" s="13">
        <v>3.1970000000000001</v>
      </c>
      <c r="C6" s="13">
        <v>3.1739999999999999</v>
      </c>
      <c r="D6" s="13">
        <v>3.1859999999999999</v>
      </c>
      <c r="E6" s="14">
        <f t="shared" si="0"/>
        <v>3.1856666666666666</v>
      </c>
      <c r="F6" s="14">
        <f t="shared" si="1"/>
        <v>2.3000000000000131E-2</v>
      </c>
      <c r="G6" s="15" t="str">
        <f t="shared" si="2"/>
        <v>ok</v>
      </c>
      <c r="H6" s="15" t="str">
        <f t="shared" si="3"/>
        <v>ok</v>
      </c>
      <c r="J6" s="16">
        <f t="shared" si="4"/>
        <v>3.2513899074074071</v>
      </c>
      <c r="K6" s="16">
        <f t="shared" si="5"/>
        <v>3.132574074074074</v>
      </c>
      <c r="L6" s="16">
        <f t="shared" si="6"/>
        <v>3.0137582407407408</v>
      </c>
      <c r="N6" s="16">
        <f t="shared" si="7"/>
        <v>0.29936930555555552</v>
      </c>
      <c r="O6" s="16">
        <f t="shared" si="8"/>
        <v>0.1164861111111111</v>
      </c>
      <c r="P6" s="16">
        <f t="shared" si="9"/>
        <v>0</v>
      </c>
    </row>
    <row r="7" spans="1:16" x14ac:dyDescent="0.35">
      <c r="A7" s="13">
        <v>4</v>
      </c>
      <c r="B7" s="13">
        <v>3.2149999999999999</v>
      </c>
      <c r="C7" s="13">
        <v>3.1579999999999999</v>
      </c>
      <c r="D7" s="13">
        <v>3.1219999999999999</v>
      </c>
      <c r="E7" s="14">
        <f t="shared" si="0"/>
        <v>3.1649999999999996</v>
      </c>
      <c r="F7" s="14">
        <f t="shared" si="1"/>
        <v>9.2999999999999972E-2</v>
      </c>
      <c r="G7" s="15" t="str">
        <f t="shared" si="2"/>
        <v>ok</v>
      </c>
      <c r="H7" s="15" t="str">
        <f t="shared" si="3"/>
        <v>ok</v>
      </c>
      <c r="J7" s="16">
        <f t="shared" si="4"/>
        <v>3.2513899074074071</v>
      </c>
      <c r="K7" s="16">
        <f t="shared" si="5"/>
        <v>3.132574074074074</v>
      </c>
      <c r="L7" s="16">
        <f t="shared" si="6"/>
        <v>3.0137582407407408</v>
      </c>
      <c r="N7" s="16">
        <f t="shared" si="7"/>
        <v>0.29936930555555552</v>
      </c>
      <c r="O7" s="16">
        <f t="shared" si="8"/>
        <v>0.1164861111111111</v>
      </c>
      <c r="P7" s="16">
        <f t="shared" si="9"/>
        <v>0</v>
      </c>
    </row>
    <row r="8" spans="1:16" x14ac:dyDescent="0.35">
      <c r="A8" s="13">
        <v>5</v>
      </c>
      <c r="B8" s="13">
        <v>3.3210000000000002</v>
      </c>
      <c r="C8" s="13">
        <v>3.2</v>
      </c>
      <c r="D8" s="13">
        <v>3.32</v>
      </c>
      <c r="E8" s="14">
        <f t="shared" si="0"/>
        <v>3.2803333333333335</v>
      </c>
      <c r="F8" s="14">
        <f t="shared" si="1"/>
        <v>0.121</v>
      </c>
      <c r="G8" s="15" t="str">
        <f t="shared" si="2"/>
        <v>OUT</v>
      </c>
      <c r="H8" s="15" t="str">
        <f t="shared" si="3"/>
        <v>ok</v>
      </c>
      <c r="J8" s="16">
        <f t="shared" si="4"/>
        <v>3.2513899074074071</v>
      </c>
      <c r="K8" s="16">
        <f t="shared" si="5"/>
        <v>3.132574074074074</v>
      </c>
      <c r="L8" s="16">
        <f t="shared" si="6"/>
        <v>3.0137582407407408</v>
      </c>
      <c r="N8" s="16">
        <f t="shared" si="7"/>
        <v>0.29936930555555552</v>
      </c>
      <c r="O8" s="16">
        <f t="shared" si="8"/>
        <v>0.1164861111111111</v>
      </c>
      <c r="P8" s="16">
        <f t="shared" si="9"/>
        <v>0</v>
      </c>
    </row>
    <row r="9" spans="1:16" x14ac:dyDescent="0.35">
      <c r="A9" s="13">
        <v>6</v>
      </c>
      <c r="B9" s="13">
        <v>3.2530000000000001</v>
      </c>
      <c r="C9" s="13">
        <v>3.254</v>
      </c>
      <c r="D9" s="13">
        <v>3.177</v>
      </c>
      <c r="E9" s="14">
        <f t="shared" si="0"/>
        <v>3.2279999999999998</v>
      </c>
      <c r="F9" s="14">
        <f t="shared" si="1"/>
        <v>7.6999999999999957E-2</v>
      </c>
      <c r="G9" s="15" t="str">
        <f t="shared" si="2"/>
        <v>ok</v>
      </c>
      <c r="H9" s="15" t="str">
        <f t="shared" si="3"/>
        <v>ok</v>
      </c>
      <c r="J9" s="16">
        <f t="shared" si="4"/>
        <v>3.2513899074074071</v>
      </c>
      <c r="K9" s="16">
        <f t="shared" si="5"/>
        <v>3.132574074074074</v>
      </c>
      <c r="L9" s="16">
        <f t="shared" si="6"/>
        <v>3.0137582407407408</v>
      </c>
      <c r="N9" s="16">
        <f t="shared" si="7"/>
        <v>0.29936930555555552</v>
      </c>
      <c r="O9" s="16">
        <f t="shared" si="8"/>
        <v>0.1164861111111111</v>
      </c>
      <c r="P9" s="16">
        <f t="shared" si="9"/>
        <v>0</v>
      </c>
    </row>
    <row r="10" spans="1:16" x14ac:dyDescent="0.35">
      <c r="A10" s="13">
        <v>7</v>
      </c>
      <c r="B10" s="13">
        <v>3.1859999999999999</v>
      </c>
      <c r="C10" s="13">
        <v>3.1720000000000002</v>
      </c>
      <c r="D10" s="13">
        <v>3.1379999999999999</v>
      </c>
      <c r="E10" s="14">
        <f t="shared" si="0"/>
        <v>3.1653333333333333</v>
      </c>
      <c r="F10" s="14">
        <f t="shared" si="1"/>
        <v>4.8000000000000043E-2</v>
      </c>
      <c r="G10" s="15" t="str">
        <f t="shared" si="2"/>
        <v>ok</v>
      </c>
      <c r="H10" s="15" t="str">
        <f t="shared" si="3"/>
        <v>ok</v>
      </c>
      <c r="J10" s="16">
        <f t="shared" si="4"/>
        <v>3.2513899074074071</v>
      </c>
      <c r="K10" s="16">
        <f t="shared" si="5"/>
        <v>3.132574074074074</v>
      </c>
      <c r="L10" s="16">
        <f t="shared" si="6"/>
        <v>3.0137582407407408</v>
      </c>
      <c r="N10" s="16">
        <f t="shared" si="7"/>
        <v>0.29936930555555552</v>
      </c>
      <c r="O10" s="16">
        <f t="shared" si="8"/>
        <v>0.1164861111111111</v>
      </c>
      <c r="P10" s="16">
        <f t="shared" si="9"/>
        <v>0</v>
      </c>
    </row>
    <row r="11" spans="1:16" x14ac:dyDescent="0.35">
      <c r="A11" s="13">
        <v>8</v>
      </c>
      <c r="B11" s="13">
        <v>3.2549999999999999</v>
      </c>
      <c r="C11" s="13">
        <v>2.927</v>
      </c>
      <c r="D11" s="13">
        <v>3.173</v>
      </c>
      <c r="E11" s="14">
        <f t="shared" si="0"/>
        <v>3.1183333333333336</v>
      </c>
      <c r="F11" s="14">
        <f t="shared" si="1"/>
        <v>0.32799999999999985</v>
      </c>
      <c r="G11" s="15" t="str">
        <f t="shared" si="2"/>
        <v>ok</v>
      </c>
      <c r="H11" s="15" t="str">
        <f t="shared" si="3"/>
        <v>OUT</v>
      </c>
      <c r="J11" s="16">
        <f t="shared" si="4"/>
        <v>3.2513899074074071</v>
      </c>
      <c r="K11" s="16">
        <f t="shared" si="5"/>
        <v>3.132574074074074</v>
      </c>
      <c r="L11" s="16">
        <f t="shared" si="6"/>
        <v>3.0137582407407408</v>
      </c>
      <c r="N11" s="16">
        <f t="shared" si="7"/>
        <v>0.29936930555555552</v>
      </c>
      <c r="O11" s="16">
        <f t="shared" si="8"/>
        <v>0.1164861111111111</v>
      </c>
      <c r="P11" s="16">
        <f t="shared" si="9"/>
        <v>0</v>
      </c>
    </row>
    <row r="12" spans="1:16" x14ac:dyDescent="0.35">
      <c r="A12" s="13">
        <v>9</v>
      </c>
      <c r="B12" s="13">
        <v>3.1949999999999998</v>
      </c>
      <c r="C12" s="13">
        <v>3.145</v>
      </c>
      <c r="D12" s="13">
        <v>3.125</v>
      </c>
      <c r="E12" s="14">
        <f t="shared" si="0"/>
        <v>3.1549999999999998</v>
      </c>
      <c r="F12" s="14">
        <f t="shared" si="1"/>
        <v>6.999999999999984E-2</v>
      </c>
      <c r="G12" s="15" t="str">
        <f t="shared" si="2"/>
        <v>ok</v>
      </c>
      <c r="H12" s="15" t="str">
        <f t="shared" si="3"/>
        <v>ok</v>
      </c>
      <c r="J12" s="16">
        <f t="shared" si="4"/>
        <v>3.2513899074074071</v>
      </c>
      <c r="K12" s="16">
        <f t="shared" si="5"/>
        <v>3.132574074074074</v>
      </c>
      <c r="L12" s="16">
        <f t="shared" si="6"/>
        <v>3.0137582407407408</v>
      </c>
      <c r="N12" s="16">
        <f t="shared" si="7"/>
        <v>0.29936930555555552</v>
      </c>
      <c r="O12" s="16">
        <f t="shared" si="8"/>
        <v>0.1164861111111111</v>
      </c>
      <c r="P12" s="16">
        <f t="shared" si="9"/>
        <v>0</v>
      </c>
    </row>
    <row r="13" spans="1:16" x14ac:dyDescent="0.35">
      <c r="A13" s="13">
        <v>10</v>
      </c>
      <c r="B13" s="13">
        <v>3.2050000000000001</v>
      </c>
      <c r="C13" s="13">
        <v>3.16</v>
      </c>
      <c r="D13" s="13">
        <v>3.1309999999999998</v>
      </c>
      <c r="E13" s="14">
        <f t="shared" si="0"/>
        <v>3.1653333333333333</v>
      </c>
      <c r="F13" s="14">
        <f t="shared" si="1"/>
        <v>7.4000000000000288E-2</v>
      </c>
      <c r="G13" s="15" t="str">
        <f t="shared" si="2"/>
        <v>ok</v>
      </c>
      <c r="H13" s="15" t="str">
        <f t="shared" si="3"/>
        <v>ok</v>
      </c>
      <c r="J13" s="16">
        <f t="shared" si="4"/>
        <v>3.2513899074074071</v>
      </c>
      <c r="K13" s="16">
        <f t="shared" si="5"/>
        <v>3.132574074074074</v>
      </c>
      <c r="L13" s="16">
        <f t="shared" si="6"/>
        <v>3.0137582407407408</v>
      </c>
      <c r="N13" s="16">
        <f t="shared" si="7"/>
        <v>0.29936930555555552</v>
      </c>
      <c r="O13" s="16">
        <f t="shared" si="8"/>
        <v>0.1164861111111111</v>
      </c>
      <c r="P13" s="16">
        <f t="shared" si="9"/>
        <v>0</v>
      </c>
    </row>
    <row r="14" spans="1:16" x14ac:dyDescent="0.35">
      <c r="A14" s="13">
        <v>11</v>
      </c>
      <c r="B14" s="13">
        <v>3.008</v>
      </c>
      <c r="C14" s="13">
        <v>3.0979999999999999</v>
      </c>
      <c r="D14" s="13">
        <v>3.0939999999999999</v>
      </c>
      <c r="E14" s="14">
        <f t="shared" si="0"/>
        <v>3.0666666666666664</v>
      </c>
      <c r="F14" s="14">
        <f t="shared" si="1"/>
        <v>8.9999999999999858E-2</v>
      </c>
      <c r="G14" s="15" t="str">
        <f t="shared" si="2"/>
        <v>ok</v>
      </c>
      <c r="H14" s="15" t="str">
        <f t="shared" si="3"/>
        <v>ok</v>
      </c>
      <c r="J14" s="16">
        <f t="shared" si="4"/>
        <v>3.2513899074074071</v>
      </c>
      <c r="K14" s="16">
        <f t="shared" si="5"/>
        <v>3.132574074074074</v>
      </c>
      <c r="L14" s="16">
        <f t="shared" si="6"/>
        <v>3.0137582407407408</v>
      </c>
      <c r="N14" s="16">
        <f t="shared" si="7"/>
        <v>0.29936930555555552</v>
      </c>
      <c r="O14" s="16">
        <f t="shared" si="8"/>
        <v>0.1164861111111111</v>
      </c>
      <c r="P14" s="16">
        <f t="shared" si="9"/>
        <v>0</v>
      </c>
    </row>
    <row r="15" spans="1:16" x14ac:dyDescent="0.35">
      <c r="A15" s="13">
        <v>12</v>
      </c>
      <c r="B15" s="13">
        <v>3.1909999999999998</v>
      </c>
      <c r="C15" s="13">
        <v>3.1219999999999999</v>
      </c>
      <c r="D15" s="13">
        <v>3.1509999999999998</v>
      </c>
      <c r="E15" s="14">
        <f t="shared" si="0"/>
        <v>3.1546666666666661</v>
      </c>
      <c r="F15" s="14">
        <f t="shared" si="1"/>
        <v>6.899999999999995E-2</v>
      </c>
      <c r="G15" s="15" t="str">
        <f t="shared" si="2"/>
        <v>ok</v>
      </c>
      <c r="H15" s="15" t="str">
        <f t="shared" si="3"/>
        <v>ok</v>
      </c>
      <c r="J15" s="16">
        <f t="shared" si="4"/>
        <v>3.2513899074074071</v>
      </c>
      <c r="K15" s="16">
        <f t="shared" si="5"/>
        <v>3.132574074074074</v>
      </c>
      <c r="L15" s="16">
        <f t="shared" si="6"/>
        <v>3.0137582407407408</v>
      </c>
      <c r="N15" s="16">
        <f t="shared" si="7"/>
        <v>0.29936930555555552</v>
      </c>
      <c r="O15" s="16">
        <f t="shared" si="8"/>
        <v>0.1164861111111111</v>
      </c>
      <c r="P15" s="16">
        <f t="shared" si="9"/>
        <v>0</v>
      </c>
    </row>
    <row r="16" spans="1:16" x14ac:dyDescent="0.35">
      <c r="A16" s="13">
        <v>13</v>
      </c>
      <c r="B16" s="13">
        <v>3.1080000000000001</v>
      </c>
      <c r="C16" s="13">
        <v>3.1030000000000002</v>
      </c>
      <c r="D16" s="13">
        <v>3.105</v>
      </c>
      <c r="E16" s="14">
        <f t="shared" si="0"/>
        <v>3.1053333333333337</v>
      </c>
      <c r="F16" s="14">
        <f t="shared" si="1"/>
        <v>4.9999999999998934E-3</v>
      </c>
      <c r="G16" s="15" t="str">
        <f t="shared" si="2"/>
        <v>ok</v>
      </c>
      <c r="H16" s="15" t="str">
        <f t="shared" si="3"/>
        <v>ok</v>
      </c>
      <c r="J16" s="16">
        <f t="shared" si="4"/>
        <v>3.2513899074074071</v>
      </c>
      <c r="K16" s="16">
        <f t="shared" si="5"/>
        <v>3.132574074074074</v>
      </c>
      <c r="L16" s="16">
        <f t="shared" si="6"/>
        <v>3.0137582407407408</v>
      </c>
      <c r="N16" s="16">
        <f t="shared" si="7"/>
        <v>0.29936930555555552</v>
      </c>
      <c r="O16" s="16">
        <f t="shared" si="8"/>
        <v>0.1164861111111111</v>
      </c>
      <c r="P16" s="16">
        <f t="shared" si="9"/>
        <v>0</v>
      </c>
    </row>
    <row r="17" spans="1:16" x14ac:dyDescent="0.35">
      <c r="A17" s="13">
        <v>14</v>
      </c>
      <c r="B17" s="13">
        <v>3.0049999999999999</v>
      </c>
      <c r="C17" s="13">
        <v>3.3010000000000002</v>
      </c>
      <c r="D17" s="13">
        <v>3.01</v>
      </c>
      <c r="E17" s="14">
        <f t="shared" si="0"/>
        <v>3.1053333333333328</v>
      </c>
      <c r="F17" s="14">
        <f t="shared" si="1"/>
        <v>0.29600000000000026</v>
      </c>
      <c r="G17" s="15" t="str">
        <f t="shared" si="2"/>
        <v>ok</v>
      </c>
      <c r="H17" s="15" t="str">
        <f t="shared" si="3"/>
        <v>ok</v>
      </c>
      <c r="J17" s="16">
        <f t="shared" si="4"/>
        <v>3.2513899074074071</v>
      </c>
      <c r="K17" s="16">
        <f t="shared" si="5"/>
        <v>3.132574074074074</v>
      </c>
      <c r="L17" s="16">
        <f t="shared" si="6"/>
        <v>3.0137582407407408</v>
      </c>
      <c r="N17" s="16">
        <f t="shared" si="7"/>
        <v>0.29936930555555552</v>
      </c>
      <c r="O17" s="16">
        <f t="shared" si="8"/>
        <v>0.1164861111111111</v>
      </c>
      <c r="P17" s="16">
        <f t="shared" si="9"/>
        <v>0</v>
      </c>
    </row>
    <row r="18" spans="1:16" x14ac:dyDescent="0.35">
      <c r="A18" s="13">
        <v>15</v>
      </c>
      <c r="B18" s="13">
        <v>3.2280000000000002</v>
      </c>
      <c r="C18" s="13">
        <v>3.0070000000000001</v>
      </c>
      <c r="D18" s="13">
        <v>3</v>
      </c>
      <c r="E18" s="14">
        <f t="shared" si="0"/>
        <v>3.0783333333333331</v>
      </c>
      <c r="F18" s="14">
        <f t="shared" si="1"/>
        <v>0.2280000000000002</v>
      </c>
      <c r="G18" s="15" t="str">
        <f t="shared" si="2"/>
        <v>ok</v>
      </c>
      <c r="H18" s="15" t="str">
        <f t="shared" si="3"/>
        <v>ok</v>
      </c>
      <c r="J18" s="16">
        <f t="shared" si="4"/>
        <v>3.2513899074074071</v>
      </c>
      <c r="K18" s="16">
        <f t="shared" si="5"/>
        <v>3.132574074074074</v>
      </c>
      <c r="L18" s="16">
        <f t="shared" si="6"/>
        <v>3.0137582407407408</v>
      </c>
      <c r="N18" s="16">
        <f t="shared" si="7"/>
        <v>0.29936930555555552</v>
      </c>
      <c r="O18" s="16">
        <f t="shared" si="8"/>
        <v>0.1164861111111111</v>
      </c>
      <c r="P18" s="16">
        <f t="shared" si="9"/>
        <v>0</v>
      </c>
    </row>
    <row r="19" spans="1:16" x14ac:dyDescent="0.35">
      <c r="A19" s="13">
        <v>16</v>
      </c>
      <c r="B19" s="13">
        <v>3.08</v>
      </c>
      <c r="C19" s="13">
        <v>3.069</v>
      </c>
      <c r="D19" s="13">
        <v>3.0630000000000002</v>
      </c>
      <c r="E19" s="14">
        <f t="shared" si="0"/>
        <v>3.0706666666666664</v>
      </c>
      <c r="F19" s="14">
        <f t="shared" si="1"/>
        <v>1.6999999999999904E-2</v>
      </c>
      <c r="G19" s="15" t="str">
        <f t="shared" si="2"/>
        <v>ok</v>
      </c>
      <c r="H19" s="15" t="str">
        <f t="shared" si="3"/>
        <v>ok</v>
      </c>
      <c r="J19" s="16">
        <f t="shared" si="4"/>
        <v>3.2513899074074071</v>
      </c>
      <c r="K19" s="16">
        <f t="shared" si="5"/>
        <v>3.132574074074074</v>
      </c>
      <c r="L19" s="16">
        <f t="shared" si="6"/>
        <v>3.0137582407407408</v>
      </c>
      <c r="N19" s="16">
        <f t="shared" si="7"/>
        <v>0.29936930555555552</v>
      </c>
      <c r="O19" s="16">
        <f t="shared" si="8"/>
        <v>0.1164861111111111</v>
      </c>
      <c r="P19" s="16">
        <f t="shared" si="9"/>
        <v>0</v>
      </c>
    </row>
    <row r="20" spans="1:16" x14ac:dyDescent="0.35">
      <c r="A20" s="13">
        <v>17</v>
      </c>
      <c r="B20" s="13">
        <v>3.1520000000000001</v>
      </c>
      <c r="C20" s="13">
        <v>3.0289999999999999</v>
      </c>
      <c r="D20" s="13">
        <v>3.202</v>
      </c>
      <c r="E20" s="14">
        <f t="shared" si="0"/>
        <v>3.1276666666666664</v>
      </c>
      <c r="F20" s="14">
        <f t="shared" si="1"/>
        <v>0.17300000000000004</v>
      </c>
      <c r="G20" s="15" t="str">
        <f t="shared" si="2"/>
        <v>ok</v>
      </c>
      <c r="H20" s="15" t="str">
        <f t="shared" si="3"/>
        <v>ok</v>
      </c>
      <c r="J20" s="16">
        <f t="shared" si="4"/>
        <v>3.2513899074074071</v>
      </c>
      <c r="K20" s="16">
        <f t="shared" si="5"/>
        <v>3.132574074074074</v>
      </c>
      <c r="L20" s="16">
        <f t="shared" si="6"/>
        <v>3.0137582407407408</v>
      </c>
      <c r="N20" s="16">
        <f t="shared" si="7"/>
        <v>0.29936930555555552</v>
      </c>
      <c r="O20" s="16">
        <f t="shared" si="8"/>
        <v>0.1164861111111111</v>
      </c>
      <c r="P20" s="16">
        <f t="shared" si="9"/>
        <v>0</v>
      </c>
    </row>
    <row r="21" spans="1:16" x14ac:dyDescent="0.35">
      <c r="A21" s="13">
        <v>18</v>
      </c>
      <c r="B21" s="13">
        <v>3.1440000000000001</v>
      </c>
      <c r="C21" s="13">
        <v>3.133</v>
      </c>
      <c r="D21" s="13">
        <v>2.9929999999999999</v>
      </c>
      <c r="E21" s="14">
        <f t="shared" si="0"/>
        <v>3.09</v>
      </c>
      <c r="F21" s="14">
        <f t="shared" si="1"/>
        <v>0.15100000000000025</v>
      </c>
      <c r="G21" s="15" t="str">
        <f t="shared" si="2"/>
        <v>ok</v>
      </c>
      <c r="H21" s="15" t="str">
        <f t="shared" si="3"/>
        <v>ok</v>
      </c>
      <c r="J21" s="16">
        <f t="shared" si="4"/>
        <v>3.2513899074074071</v>
      </c>
      <c r="K21" s="16">
        <f t="shared" si="5"/>
        <v>3.132574074074074</v>
      </c>
      <c r="L21" s="16">
        <f t="shared" si="6"/>
        <v>3.0137582407407408</v>
      </c>
      <c r="N21" s="16">
        <f t="shared" si="7"/>
        <v>0.29936930555555552</v>
      </c>
      <c r="O21" s="16">
        <f t="shared" si="8"/>
        <v>0.1164861111111111</v>
      </c>
      <c r="P21" s="16">
        <f t="shared" si="9"/>
        <v>0</v>
      </c>
    </row>
    <row r="22" spans="1:16" x14ac:dyDescent="0.35">
      <c r="A22" s="13">
        <v>19</v>
      </c>
      <c r="B22" s="13">
        <v>3.2440000000000002</v>
      </c>
      <c r="C22" s="13">
        <v>3.3079999999999998</v>
      </c>
      <c r="D22" s="13">
        <v>3.202</v>
      </c>
      <c r="E22" s="14">
        <f t="shared" si="0"/>
        <v>3.2513333333333332</v>
      </c>
      <c r="F22" s="14">
        <f t="shared" si="1"/>
        <v>0.10599999999999987</v>
      </c>
      <c r="G22" s="15" t="str">
        <f t="shared" si="2"/>
        <v>ok</v>
      </c>
      <c r="H22" s="15" t="str">
        <f t="shared" si="3"/>
        <v>ok</v>
      </c>
      <c r="J22" s="16">
        <f t="shared" si="4"/>
        <v>3.2513899074074071</v>
      </c>
      <c r="K22" s="16">
        <f t="shared" si="5"/>
        <v>3.132574074074074</v>
      </c>
      <c r="L22" s="16">
        <f t="shared" si="6"/>
        <v>3.0137582407407408</v>
      </c>
      <c r="N22" s="16">
        <f t="shared" si="7"/>
        <v>0.29936930555555552</v>
      </c>
      <c r="O22" s="16">
        <f t="shared" si="8"/>
        <v>0.1164861111111111</v>
      </c>
      <c r="P22" s="16">
        <f t="shared" si="9"/>
        <v>0</v>
      </c>
    </row>
    <row r="23" spans="1:16" x14ac:dyDescent="0.35">
      <c r="A23" s="13">
        <v>20</v>
      </c>
      <c r="B23" s="13">
        <v>3.0619999999999998</v>
      </c>
      <c r="C23" s="13">
        <v>3.1</v>
      </c>
      <c r="D23" s="13">
        <v>3.0910000000000002</v>
      </c>
      <c r="E23" s="14">
        <f t="shared" si="0"/>
        <v>3.0843333333333334</v>
      </c>
      <c r="F23" s="14">
        <f t="shared" si="1"/>
        <v>3.8000000000000256E-2</v>
      </c>
      <c r="G23" s="15" t="str">
        <f t="shared" si="2"/>
        <v>ok</v>
      </c>
      <c r="H23" s="15" t="str">
        <f t="shared" si="3"/>
        <v>ok</v>
      </c>
      <c r="J23" s="16">
        <f t="shared" si="4"/>
        <v>3.2513899074074071</v>
      </c>
      <c r="K23" s="16">
        <f t="shared" si="5"/>
        <v>3.132574074074074</v>
      </c>
      <c r="L23" s="16">
        <f t="shared" si="6"/>
        <v>3.0137582407407408</v>
      </c>
      <c r="N23" s="16">
        <f t="shared" si="7"/>
        <v>0.29936930555555552</v>
      </c>
      <c r="O23" s="16">
        <f t="shared" si="8"/>
        <v>0.1164861111111111</v>
      </c>
      <c r="P23" s="16">
        <f t="shared" si="9"/>
        <v>0</v>
      </c>
    </row>
    <row r="24" spans="1:16" x14ac:dyDescent="0.35">
      <c r="A24" s="13">
        <v>21</v>
      </c>
      <c r="B24" s="13">
        <v>3.141</v>
      </c>
      <c r="C24" s="13">
        <v>3.0249999999999999</v>
      </c>
      <c r="D24" s="13">
        <v>3.113</v>
      </c>
      <c r="E24" s="14">
        <f t="shared" si="0"/>
        <v>3.093</v>
      </c>
      <c r="F24" s="14">
        <f t="shared" si="1"/>
        <v>0.1160000000000001</v>
      </c>
      <c r="G24" s="15" t="str">
        <f t="shared" si="2"/>
        <v>ok</v>
      </c>
      <c r="H24" s="15" t="str">
        <f t="shared" si="3"/>
        <v>ok</v>
      </c>
      <c r="J24" s="16">
        <f t="shared" si="4"/>
        <v>3.2513899074074071</v>
      </c>
      <c r="K24" s="16">
        <f t="shared" si="5"/>
        <v>3.132574074074074</v>
      </c>
      <c r="L24" s="16">
        <f t="shared" si="6"/>
        <v>3.0137582407407408</v>
      </c>
      <c r="N24" s="16">
        <f t="shared" si="7"/>
        <v>0.29936930555555552</v>
      </c>
      <c r="O24" s="16">
        <f t="shared" si="8"/>
        <v>0.1164861111111111</v>
      </c>
      <c r="P24" s="16">
        <f t="shared" si="9"/>
        <v>0</v>
      </c>
    </row>
    <row r="25" spans="1:16" x14ac:dyDescent="0.35">
      <c r="A25" s="13">
        <v>22</v>
      </c>
      <c r="B25" s="13">
        <v>3.1789999999999998</v>
      </c>
      <c r="C25" s="13">
        <v>3.0369999999999999</v>
      </c>
      <c r="D25" s="13">
        <v>3.2069999999999999</v>
      </c>
      <c r="E25" s="14">
        <f t="shared" si="0"/>
        <v>3.1409999999999996</v>
      </c>
      <c r="F25" s="14">
        <f t="shared" si="1"/>
        <v>0.16999999999999993</v>
      </c>
      <c r="G25" s="15" t="str">
        <f t="shared" si="2"/>
        <v>ok</v>
      </c>
      <c r="H25" s="15" t="str">
        <f t="shared" si="3"/>
        <v>ok</v>
      </c>
      <c r="J25" s="16">
        <f t="shared" si="4"/>
        <v>3.2513899074074071</v>
      </c>
      <c r="K25" s="16">
        <f t="shared" si="5"/>
        <v>3.132574074074074</v>
      </c>
      <c r="L25" s="16">
        <f t="shared" si="6"/>
        <v>3.0137582407407408</v>
      </c>
      <c r="N25" s="16">
        <f t="shared" si="7"/>
        <v>0.29936930555555552</v>
      </c>
      <c r="O25" s="16">
        <f t="shared" si="8"/>
        <v>0.1164861111111111</v>
      </c>
      <c r="P25" s="16">
        <f t="shared" si="9"/>
        <v>0</v>
      </c>
    </row>
    <row r="26" spans="1:16" x14ac:dyDescent="0.35">
      <c r="A26" s="13">
        <v>23</v>
      </c>
      <c r="B26" s="13">
        <v>3.18</v>
      </c>
      <c r="C26" s="13">
        <v>3.137</v>
      </c>
      <c r="D26" s="13">
        <v>3.1709999999999998</v>
      </c>
      <c r="E26" s="14">
        <f t="shared" si="0"/>
        <v>3.1626666666666665</v>
      </c>
      <c r="F26" s="14">
        <f t="shared" si="1"/>
        <v>4.3000000000000149E-2</v>
      </c>
      <c r="G26" s="15" t="str">
        <f t="shared" si="2"/>
        <v>ok</v>
      </c>
      <c r="H26" s="15" t="str">
        <f t="shared" si="3"/>
        <v>ok</v>
      </c>
      <c r="J26" s="16">
        <f t="shared" si="4"/>
        <v>3.2513899074074071</v>
      </c>
      <c r="K26" s="16">
        <f t="shared" si="5"/>
        <v>3.132574074074074</v>
      </c>
      <c r="L26" s="16">
        <f t="shared" si="6"/>
        <v>3.0137582407407408</v>
      </c>
      <c r="N26" s="16">
        <f t="shared" si="7"/>
        <v>0.29936930555555552</v>
      </c>
      <c r="O26" s="16">
        <f t="shared" si="8"/>
        <v>0.1164861111111111</v>
      </c>
      <c r="P26" s="16">
        <f t="shared" si="9"/>
        <v>0</v>
      </c>
    </row>
    <row r="27" spans="1:16" x14ac:dyDescent="0.35">
      <c r="A27" s="13">
        <v>24</v>
      </c>
      <c r="B27" s="13">
        <v>3.1949999999999998</v>
      </c>
      <c r="C27" s="13">
        <v>3.0979999999999999</v>
      </c>
      <c r="D27" s="13">
        <v>3.173</v>
      </c>
      <c r="E27" s="14">
        <f t="shared" si="0"/>
        <v>3.1553333333333331</v>
      </c>
      <c r="F27" s="14">
        <f t="shared" si="1"/>
        <v>9.6999999999999975E-2</v>
      </c>
      <c r="G27" s="15" t="str">
        <f t="shared" si="2"/>
        <v>ok</v>
      </c>
      <c r="H27" s="15" t="str">
        <f t="shared" si="3"/>
        <v>ok</v>
      </c>
      <c r="J27" s="16">
        <f t="shared" si="4"/>
        <v>3.2513899074074071</v>
      </c>
      <c r="K27" s="16">
        <f t="shared" si="5"/>
        <v>3.132574074074074</v>
      </c>
      <c r="L27" s="16">
        <f t="shared" si="6"/>
        <v>3.0137582407407408</v>
      </c>
      <c r="N27" s="16">
        <f t="shared" si="7"/>
        <v>0.29936930555555552</v>
      </c>
      <c r="O27" s="16">
        <f t="shared" si="8"/>
        <v>0.1164861111111111</v>
      </c>
      <c r="P27" s="16">
        <f t="shared" si="9"/>
        <v>0</v>
      </c>
    </row>
    <row r="28" spans="1:16" x14ac:dyDescent="0.35">
      <c r="A28" s="13">
        <v>25</v>
      </c>
      <c r="B28" s="13">
        <v>2.96</v>
      </c>
      <c r="C28" s="13">
        <v>3.0510000000000002</v>
      </c>
      <c r="D28" s="13">
        <v>3.0459999999999998</v>
      </c>
      <c r="E28" s="14">
        <f t="shared" si="0"/>
        <v>3.0190000000000001</v>
      </c>
      <c r="F28" s="14">
        <f t="shared" si="1"/>
        <v>9.1000000000000192E-2</v>
      </c>
      <c r="G28" s="15" t="str">
        <f t="shared" si="2"/>
        <v>ok</v>
      </c>
      <c r="H28" s="15" t="str">
        <f t="shared" si="3"/>
        <v>ok</v>
      </c>
      <c r="J28" s="16">
        <f t="shared" si="4"/>
        <v>3.2513899074074071</v>
      </c>
      <c r="K28" s="16">
        <f t="shared" si="5"/>
        <v>3.132574074074074</v>
      </c>
      <c r="L28" s="16">
        <f t="shared" si="6"/>
        <v>3.0137582407407408</v>
      </c>
      <c r="N28" s="16">
        <f t="shared" si="7"/>
        <v>0.29936930555555552</v>
      </c>
      <c r="O28" s="16">
        <f t="shared" si="8"/>
        <v>0.1164861111111111</v>
      </c>
      <c r="P28" s="16">
        <f t="shared" si="9"/>
        <v>0</v>
      </c>
    </row>
    <row r="29" spans="1:16" x14ac:dyDescent="0.35">
      <c r="A29" s="13">
        <v>26</v>
      </c>
      <c r="B29" s="13">
        <v>3.1749999999999998</v>
      </c>
      <c r="C29" s="13">
        <v>3.2149999999999999</v>
      </c>
      <c r="D29" s="13">
        <v>3.0960000000000001</v>
      </c>
      <c r="E29" s="14">
        <f t="shared" si="0"/>
        <v>3.1620000000000004</v>
      </c>
      <c r="F29" s="14">
        <f t="shared" si="1"/>
        <v>0.11899999999999977</v>
      </c>
      <c r="G29" s="15" t="str">
        <f t="shared" si="2"/>
        <v>ok</v>
      </c>
      <c r="H29" s="15" t="str">
        <f t="shared" si="3"/>
        <v>ok</v>
      </c>
      <c r="J29" s="16">
        <f t="shared" si="4"/>
        <v>3.2513899074074071</v>
      </c>
      <c r="K29" s="16">
        <f t="shared" si="5"/>
        <v>3.132574074074074</v>
      </c>
      <c r="L29" s="16">
        <f t="shared" si="6"/>
        <v>3.0137582407407408</v>
      </c>
      <c r="N29" s="16">
        <f t="shared" si="7"/>
        <v>0.29936930555555552</v>
      </c>
      <c r="O29" s="16">
        <f t="shared" si="8"/>
        <v>0.1164861111111111</v>
      </c>
      <c r="P29" s="16">
        <f t="shared" si="9"/>
        <v>0</v>
      </c>
    </row>
    <row r="30" spans="1:16" x14ac:dyDescent="0.35">
      <c r="A30" s="13">
        <v>27</v>
      </c>
      <c r="B30" s="13">
        <v>3.286</v>
      </c>
      <c r="C30" s="13">
        <v>3.2120000000000002</v>
      </c>
      <c r="D30" s="13">
        <v>3.2650000000000001</v>
      </c>
      <c r="E30" s="14">
        <f t="shared" si="0"/>
        <v>3.2543333333333333</v>
      </c>
      <c r="F30" s="14">
        <f t="shared" si="1"/>
        <v>7.3999999999999844E-2</v>
      </c>
      <c r="G30" s="15" t="str">
        <f t="shared" si="2"/>
        <v>OUT</v>
      </c>
      <c r="H30" s="15" t="str">
        <f t="shared" si="3"/>
        <v>ok</v>
      </c>
      <c r="J30" s="16">
        <f t="shared" si="4"/>
        <v>3.2513899074074071</v>
      </c>
      <c r="K30" s="16">
        <f t="shared" si="5"/>
        <v>3.132574074074074</v>
      </c>
      <c r="L30" s="16">
        <f t="shared" si="6"/>
        <v>3.0137582407407408</v>
      </c>
      <c r="N30" s="16">
        <f t="shared" si="7"/>
        <v>0.29936930555555552</v>
      </c>
      <c r="O30" s="16">
        <f t="shared" si="8"/>
        <v>0.1164861111111111</v>
      </c>
      <c r="P30" s="16">
        <f t="shared" si="9"/>
        <v>0</v>
      </c>
    </row>
    <row r="31" spans="1:16" x14ac:dyDescent="0.35">
      <c r="A31" s="13">
        <v>28</v>
      </c>
      <c r="B31" s="13">
        <v>3.0049999999999999</v>
      </c>
      <c r="C31" s="13">
        <v>3.1230000000000002</v>
      </c>
      <c r="D31" s="13">
        <v>3.1379999999999999</v>
      </c>
      <c r="E31" s="14">
        <f t="shared" si="0"/>
        <v>3.0886666666666667</v>
      </c>
      <c r="F31" s="14">
        <f t="shared" si="1"/>
        <v>0.13300000000000001</v>
      </c>
      <c r="G31" s="15" t="str">
        <f t="shared" si="2"/>
        <v>ok</v>
      </c>
      <c r="H31" s="15" t="str">
        <f t="shared" si="3"/>
        <v>ok</v>
      </c>
      <c r="J31" s="16">
        <f t="shared" si="4"/>
        <v>3.2513899074074071</v>
      </c>
      <c r="K31" s="16">
        <f t="shared" si="5"/>
        <v>3.132574074074074</v>
      </c>
      <c r="L31" s="16">
        <f t="shared" si="6"/>
        <v>3.0137582407407408</v>
      </c>
      <c r="N31" s="16">
        <f t="shared" si="7"/>
        <v>0.29936930555555552</v>
      </c>
      <c r="O31" s="16">
        <f t="shared" si="8"/>
        <v>0.1164861111111111</v>
      </c>
      <c r="P31" s="16">
        <f t="shared" si="9"/>
        <v>0</v>
      </c>
    </row>
    <row r="32" spans="1:16" x14ac:dyDescent="0.35">
      <c r="A32" s="13">
        <v>29</v>
      </c>
      <c r="B32" s="13">
        <v>3.0649999999999999</v>
      </c>
      <c r="C32" s="13">
        <v>3.0619999999999998</v>
      </c>
      <c r="D32" s="13">
        <v>3.03</v>
      </c>
      <c r="E32" s="14">
        <f t="shared" si="0"/>
        <v>3.0523333333333333</v>
      </c>
      <c r="F32" s="14">
        <f t="shared" si="1"/>
        <v>3.5000000000000142E-2</v>
      </c>
      <c r="G32" s="15" t="str">
        <f t="shared" si="2"/>
        <v>ok</v>
      </c>
      <c r="H32" s="15" t="str">
        <f t="shared" si="3"/>
        <v>ok</v>
      </c>
      <c r="J32" s="16">
        <f t="shared" si="4"/>
        <v>3.2513899074074071</v>
      </c>
      <c r="K32" s="16">
        <f t="shared" si="5"/>
        <v>3.132574074074074</v>
      </c>
      <c r="L32" s="16">
        <f t="shared" si="6"/>
        <v>3.0137582407407408</v>
      </c>
      <c r="N32" s="16">
        <f t="shared" si="7"/>
        <v>0.29936930555555552</v>
      </c>
      <c r="O32" s="16">
        <f t="shared" si="8"/>
        <v>0.1164861111111111</v>
      </c>
      <c r="P32" s="16">
        <f t="shared" si="9"/>
        <v>0</v>
      </c>
    </row>
    <row r="33" spans="1:16" x14ac:dyDescent="0.35">
      <c r="A33" s="13">
        <v>30</v>
      </c>
      <c r="B33" s="13">
        <v>3.173</v>
      </c>
      <c r="C33" s="13">
        <v>3.177</v>
      </c>
      <c r="D33" s="13">
        <v>3.0750000000000002</v>
      </c>
      <c r="E33" s="14">
        <f t="shared" si="0"/>
        <v>3.1416666666666671</v>
      </c>
      <c r="F33" s="14">
        <f t="shared" si="1"/>
        <v>0.10199999999999987</v>
      </c>
      <c r="G33" s="15" t="str">
        <f t="shared" si="2"/>
        <v>ok</v>
      </c>
      <c r="H33" s="15" t="str">
        <f t="shared" si="3"/>
        <v>ok</v>
      </c>
      <c r="J33" s="16">
        <f t="shared" si="4"/>
        <v>3.2513899074074071</v>
      </c>
      <c r="K33" s="16">
        <f t="shared" si="5"/>
        <v>3.132574074074074</v>
      </c>
      <c r="L33" s="16">
        <f t="shared" si="6"/>
        <v>3.0137582407407408</v>
      </c>
      <c r="N33" s="16">
        <f t="shared" si="7"/>
        <v>0.29936930555555552</v>
      </c>
      <c r="O33" s="16">
        <f t="shared" si="8"/>
        <v>0.1164861111111111</v>
      </c>
      <c r="P33" s="16">
        <f t="shared" si="9"/>
        <v>0</v>
      </c>
    </row>
    <row r="34" spans="1:16" x14ac:dyDescent="0.35">
      <c r="A34" s="13">
        <v>31</v>
      </c>
      <c r="B34" s="13">
        <v>3.0680000000000001</v>
      </c>
      <c r="C34" s="13">
        <v>3.09</v>
      </c>
      <c r="D34" s="13">
        <v>3.0640000000000001</v>
      </c>
      <c r="E34" s="14">
        <f t="shared" si="0"/>
        <v>3.0739999999999998</v>
      </c>
      <c r="F34" s="14">
        <f t="shared" si="1"/>
        <v>2.5999999999999801E-2</v>
      </c>
      <c r="G34" s="15" t="str">
        <f t="shared" si="2"/>
        <v>ok</v>
      </c>
      <c r="H34" s="15" t="str">
        <f t="shared" si="3"/>
        <v>ok</v>
      </c>
      <c r="J34" s="16">
        <f t="shared" si="4"/>
        <v>3.2513899074074071</v>
      </c>
      <c r="K34" s="16">
        <f t="shared" si="5"/>
        <v>3.132574074074074</v>
      </c>
      <c r="L34" s="16">
        <f t="shared" si="6"/>
        <v>3.0137582407407408</v>
      </c>
      <c r="N34" s="16">
        <f t="shared" si="7"/>
        <v>0.29936930555555552</v>
      </c>
      <c r="O34" s="16">
        <f t="shared" si="8"/>
        <v>0.1164861111111111</v>
      </c>
      <c r="P34" s="16">
        <f t="shared" si="9"/>
        <v>0</v>
      </c>
    </row>
    <row r="35" spans="1:16" x14ac:dyDescent="0.35">
      <c r="A35" s="13">
        <v>32</v>
      </c>
      <c r="B35" s="13">
        <v>2.919</v>
      </c>
      <c r="C35" s="13">
        <v>2.97</v>
      </c>
      <c r="D35" s="13">
        <v>2.9790000000000001</v>
      </c>
      <c r="E35" s="14">
        <f t="shared" si="0"/>
        <v>2.956</v>
      </c>
      <c r="F35" s="14">
        <f t="shared" si="1"/>
        <v>6.0000000000000053E-2</v>
      </c>
      <c r="G35" s="15" t="str">
        <f t="shared" si="2"/>
        <v>OUT</v>
      </c>
      <c r="H35" s="15" t="str">
        <f t="shared" si="3"/>
        <v>ok</v>
      </c>
      <c r="J35" s="16">
        <f t="shared" si="4"/>
        <v>3.2513899074074071</v>
      </c>
      <c r="K35" s="16">
        <f t="shared" si="5"/>
        <v>3.132574074074074</v>
      </c>
      <c r="L35" s="16">
        <f t="shared" si="6"/>
        <v>3.0137582407407408</v>
      </c>
      <c r="N35" s="16">
        <f t="shared" si="7"/>
        <v>0.29936930555555552</v>
      </c>
      <c r="O35" s="16">
        <f t="shared" si="8"/>
        <v>0.1164861111111111</v>
      </c>
      <c r="P35" s="16">
        <f t="shared" si="9"/>
        <v>0</v>
      </c>
    </row>
    <row r="36" spans="1:16" x14ac:dyDescent="0.35">
      <c r="A36" s="13">
        <v>33</v>
      </c>
      <c r="B36" s="13">
        <v>3.0009999999999999</v>
      </c>
      <c r="C36" s="13">
        <v>3.0209999999999999</v>
      </c>
      <c r="D36" s="13">
        <v>2.93</v>
      </c>
      <c r="E36" s="14">
        <f t="shared" ref="E36:E67" si="10">AVERAGE(B36:D36)</f>
        <v>2.984</v>
      </c>
      <c r="F36" s="14">
        <f t="shared" ref="F36:F67" si="11">MAX(B36:D36)-MIN(B36:D36)</f>
        <v>9.0999999999999748E-2</v>
      </c>
      <c r="G36" s="15" t="str">
        <f t="shared" ref="G36:G67" si="12">IF(OR(E36&gt;$B$84,E36&lt;$B$85),"OUT","ok")</f>
        <v>OUT</v>
      </c>
      <c r="H36" s="15" t="str">
        <f t="shared" ref="H36:H67" si="13">IF(OR(F36&gt;$B$86,F36&lt;$B$87),"OUT","ok")</f>
        <v>ok</v>
      </c>
      <c r="J36" s="16">
        <f t="shared" ref="J36:J67" si="14">$B$84</f>
        <v>3.2513899074074071</v>
      </c>
      <c r="K36" s="16">
        <f t="shared" ref="K36:K67" si="15">$B$79</f>
        <v>3.132574074074074</v>
      </c>
      <c r="L36" s="16">
        <f t="shared" ref="L36:L67" si="16">$B$85</f>
        <v>3.0137582407407408</v>
      </c>
      <c r="N36" s="16">
        <f t="shared" ref="N36:N67" si="17">$B$86</f>
        <v>0.29936930555555552</v>
      </c>
      <c r="O36" s="16">
        <f t="shared" ref="O36:O67" si="18">$B$80</f>
        <v>0.1164861111111111</v>
      </c>
      <c r="P36" s="16">
        <f t="shared" ref="P36:P67" si="19">$B$87</f>
        <v>0</v>
      </c>
    </row>
    <row r="37" spans="1:16" x14ac:dyDescent="0.35">
      <c r="A37" s="13">
        <v>34</v>
      </c>
      <c r="B37" s="13">
        <v>3.25</v>
      </c>
      <c r="C37" s="13">
        <v>3.1269999999999998</v>
      </c>
      <c r="D37" s="13">
        <v>3.23</v>
      </c>
      <c r="E37" s="14">
        <f t="shared" si="10"/>
        <v>3.2023333333333333</v>
      </c>
      <c r="F37" s="14">
        <f t="shared" si="11"/>
        <v>0.12300000000000022</v>
      </c>
      <c r="G37" s="15" t="str">
        <f t="shared" si="12"/>
        <v>ok</v>
      </c>
      <c r="H37" s="15" t="str">
        <f t="shared" si="13"/>
        <v>ok</v>
      </c>
      <c r="J37" s="16">
        <f t="shared" si="14"/>
        <v>3.2513899074074071</v>
      </c>
      <c r="K37" s="16">
        <f t="shared" si="15"/>
        <v>3.132574074074074</v>
      </c>
      <c r="L37" s="16">
        <f t="shared" si="16"/>
        <v>3.0137582407407408</v>
      </c>
      <c r="N37" s="16">
        <f t="shared" si="17"/>
        <v>0.29936930555555552</v>
      </c>
      <c r="O37" s="16">
        <f t="shared" si="18"/>
        <v>0.1164861111111111</v>
      </c>
      <c r="P37" s="16">
        <f t="shared" si="19"/>
        <v>0</v>
      </c>
    </row>
    <row r="38" spans="1:16" x14ac:dyDescent="0.35">
      <c r="A38" s="13">
        <v>35</v>
      </c>
      <c r="B38" s="13">
        <v>3.1789999999999998</v>
      </c>
      <c r="C38" s="13">
        <v>3.1040000000000001</v>
      </c>
      <c r="D38" s="13">
        <v>3.194</v>
      </c>
      <c r="E38" s="14">
        <f t="shared" si="10"/>
        <v>3.1590000000000003</v>
      </c>
      <c r="F38" s="14">
        <f t="shared" si="11"/>
        <v>8.9999999999999858E-2</v>
      </c>
      <c r="G38" s="15" t="str">
        <f t="shared" si="12"/>
        <v>ok</v>
      </c>
      <c r="H38" s="15" t="str">
        <f t="shared" si="13"/>
        <v>ok</v>
      </c>
      <c r="J38" s="16">
        <f t="shared" si="14"/>
        <v>3.2513899074074071</v>
      </c>
      <c r="K38" s="16">
        <f t="shared" si="15"/>
        <v>3.132574074074074</v>
      </c>
      <c r="L38" s="16">
        <f t="shared" si="16"/>
        <v>3.0137582407407408</v>
      </c>
      <c r="N38" s="16">
        <f t="shared" si="17"/>
        <v>0.29936930555555552</v>
      </c>
      <c r="O38" s="16">
        <f t="shared" si="18"/>
        <v>0.1164861111111111</v>
      </c>
      <c r="P38" s="16">
        <f t="shared" si="19"/>
        <v>0</v>
      </c>
    </row>
    <row r="39" spans="1:16" x14ac:dyDescent="0.35">
      <c r="A39" s="13">
        <v>36</v>
      </c>
      <c r="B39" s="13">
        <v>3.109</v>
      </c>
      <c r="C39" s="13">
        <v>3.1</v>
      </c>
      <c r="D39" s="13">
        <v>3.2269999999999999</v>
      </c>
      <c r="E39" s="14">
        <f t="shared" si="10"/>
        <v>3.1453333333333333</v>
      </c>
      <c r="F39" s="14">
        <f t="shared" si="11"/>
        <v>0.12699999999999978</v>
      </c>
      <c r="G39" s="15" t="str">
        <f t="shared" si="12"/>
        <v>ok</v>
      </c>
      <c r="H39" s="15" t="str">
        <f t="shared" si="13"/>
        <v>ok</v>
      </c>
      <c r="J39" s="16">
        <f t="shared" si="14"/>
        <v>3.2513899074074071</v>
      </c>
      <c r="K39" s="16">
        <f t="shared" si="15"/>
        <v>3.132574074074074</v>
      </c>
      <c r="L39" s="16">
        <f t="shared" si="16"/>
        <v>3.0137582407407408</v>
      </c>
      <c r="N39" s="16">
        <f t="shared" si="17"/>
        <v>0.29936930555555552</v>
      </c>
      <c r="O39" s="16">
        <f t="shared" si="18"/>
        <v>0.1164861111111111</v>
      </c>
      <c r="P39" s="16">
        <f t="shared" si="19"/>
        <v>0</v>
      </c>
    </row>
    <row r="40" spans="1:16" x14ac:dyDescent="0.35">
      <c r="A40" s="13">
        <v>37</v>
      </c>
      <c r="B40" s="13">
        <v>2.996</v>
      </c>
      <c r="C40" s="13">
        <v>3.0419999999999998</v>
      </c>
      <c r="D40" s="13">
        <v>3.0630000000000002</v>
      </c>
      <c r="E40" s="14">
        <f t="shared" si="10"/>
        <v>3.033666666666667</v>
      </c>
      <c r="F40" s="14">
        <f t="shared" si="11"/>
        <v>6.7000000000000171E-2</v>
      </c>
      <c r="G40" s="15" t="str">
        <f t="shared" si="12"/>
        <v>ok</v>
      </c>
      <c r="H40" s="15" t="str">
        <f t="shared" si="13"/>
        <v>ok</v>
      </c>
      <c r="J40" s="16">
        <f t="shared" si="14"/>
        <v>3.2513899074074071</v>
      </c>
      <c r="K40" s="16">
        <f t="shared" si="15"/>
        <v>3.132574074074074</v>
      </c>
      <c r="L40" s="16">
        <f t="shared" si="16"/>
        <v>3.0137582407407408</v>
      </c>
      <c r="N40" s="16">
        <f t="shared" si="17"/>
        <v>0.29936930555555552</v>
      </c>
      <c r="O40" s="16">
        <f t="shared" si="18"/>
        <v>0.1164861111111111</v>
      </c>
      <c r="P40" s="16">
        <f t="shared" si="19"/>
        <v>0</v>
      </c>
    </row>
    <row r="41" spans="1:16" x14ac:dyDescent="0.35">
      <c r="A41" s="13">
        <v>38</v>
      </c>
      <c r="B41" s="13">
        <v>3.17</v>
      </c>
      <c r="C41" s="13">
        <v>3.1709999999999998</v>
      </c>
      <c r="D41" s="13">
        <v>3.2290000000000001</v>
      </c>
      <c r="E41" s="14">
        <f t="shared" si="10"/>
        <v>3.19</v>
      </c>
      <c r="F41" s="14">
        <f t="shared" si="11"/>
        <v>5.9000000000000163E-2</v>
      </c>
      <c r="G41" s="15" t="str">
        <f t="shared" si="12"/>
        <v>ok</v>
      </c>
      <c r="H41" s="15" t="str">
        <f t="shared" si="13"/>
        <v>ok</v>
      </c>
      <c r="J41" s="16">
        <f t="shared" si="14"/>
        <v>3.2513899074074071</v>
      </c>
      <c r="K41" s="16">
        <f t="shared" si="15"/>
        <v>3.132574074074074</v>
      </c>
      <c r="L41" s="16">
        <f t="shared" si="16"/>
        <v>3.0137582407407408</v>
      </c>
      <c r="N41" s="16">
        <f t="shared" si="17"/>
        <v>0.29936930555555552</v>
      </c>
      <c r="O41" s="16">
        <f t="shared" si="18"/>
        <v>0.1164861111111111</v>
      </c>
      <c r="P41" s="16">
        <f t="shared" si="19"/>
        <v>0</v>
      </c>
    </row>
    <row r="42" spans="1:16" x14ac:dyDescent="0.35">
      <c r="A42" s="13">
        <v>39</v>
      </c>
      <c r="B42" s="13">
        <v>3.0670000000000002</v>
      </c>
      <c r="C42" s="13">
        <v>3.1459999999999999</v>
      </c>
      <c r="D42" s="13">
        <v>3.1779999999999999</v>
      </c>
      <c r="E42" s="14">
        <f t="shared" si="10"/>
        <v>3.1303333333333332</v>
      </c>
      <c r="F42" s="14">
        <f t="shared" si="11"/>
        <v>0.11099999999999977</v>
      </c>
      <c r="G42" s="15" t="str">
        <f t="shared" si="12"/>
        <v>ok</v>
      </c>
      <c r="H42" s="15" t="str">
        <f t="shared" si="13"/>
        <v>ok</v>
      </c>
      <c r="J42" s="16">
        <f t="shared" si="14"/>
        <v>3.2513899074074071</v>
      </c>
      <c r="K42" s="16">
        <f t="shared" si="15"/>
        <v>3.132574074074074</v>
      </c>
      <c r="L42" s="16">
        <f t="shared" si="16"/>
        <v>3.0137582407407408</v>
      </c>
      <c r="N42" s="16">
        <f t="shared" si="17"/>
        <v>0.29936930555555552</v>
      </c>
      <c r="O42" s="16">
        <f t="shared" si="18"/>
        <v>0.1164861111111111</v>
      </c>
      <c r="P42" s="16">
        <f t="shared" si="19"/>
        <v>0</v>
      </c>
    </row>
    <row r="43" spans="1:16" x14ac:dyDescent="0.35">
      <c r="A43" s="13">
        <v>40</v>
      </c>
      <c r="B43" s="13">
        <v>3.819</v>
      </c>
      <c r="C43" s="13">
        <v>3.8980000000000001</v>
      </c>
      <c r="D43" s="13">
        <v>3.3090000000000002</v>
      </c>
      <c r="E43" s="14">
        <f t="shared" si="10"/>
        <v>3.6753333333333331</v>
      </c>
      <c r="F43" s="14">
        <f t="shared" si="11"/>
        <v>0.58899999999999997</v>
      </c>
      <c r="G43" s="15" t="str">
        <f t="shared" si="12"/>
        <v>OUT</v>
      </c>
      <c r="H43" s="15" t="str">
        <f t="shared" si="13"/>
        <v>OUT</v>
      </c>
      <c r="J43" s="16">
        <f t="shared" si="14"/>
        <v>3.2513899074074071</v>
      </c>
      <c r="K43" s="16">
        <f t="shared" si="15"/>
        <v>3.132574074074074</v>
      </c>
      <c r="L43" s="16">
        <f t="shared" si="16"/>
        <v>3.0137582407407408</v>
      </c>
      <c r="N43" s="16">
        <f t="shared" si="17"/>
        <v>0.29936930555555552</v>
      </c>
      <c r="O43" s="16">
        <f t="shared" si="18"/>
        <v>0.1164861111111111</v>
      </c>
      <c r="P43" s="16">
        <f t="shared" si="19"/>
        <v>0</v>
      </c>
    </row>
    <row r="44" spans="1:16" x14ac:dyDescent="0.35">
      <c r="A44" s="13">
        <v>41</v>
      </c>
      <c r="B44" s="13">
        <v>3.2160000000000002</v>
      </c>
      <c r="C44" s="13">
        <v>3.2530000000000001</v>
      </c>
      <c r="D44" s="13">
        <v>3.31</v>
      </c>
      <c r="E44" s="14">
        <f t="shared" si="10"/>
        <v>3.2596666666666665</v>
      </c>
      <c r="F44" s="14">
        <f t="shared" si="11"/>
        <v>9.3999999999999861E-2</v>
      </c>
      <c r="G44" s="15" t="str">
        <f t="shared" si="12"/>
        <v>OUT</v>
      </c>
      <c r="H44" s="15" t="str">
        <f t="shared" si="13"/>
        <v>ok</v>
      </c>
      <c r="J44" s="16">
        <f t="shared" si="14"/>
        <v>3.2513899074074071</v>
      </c>
      <c r="K44" s="16">
        <f t="shared" si="15"/>
        <v>3.132574074074074</v>
      </c>
      <c r="L44" s="16">
        <f t="shared" si="16"/>
        <v>3.0137582407407408</v>
      </c>
      <c r="N44" s="16">
        <f t="shared" si="17"/>
        <v>0.29936930555555552</v>
      </c>
      <c r="O44" s="16">
        <f t="shared" si="18"/>
        <v>0.1164861111111111</v>
      </c>
      <c r="P44" s="16">
        <f t="shared" si="19"/>
        <v>0</v>
      </c>
    </row>
    <row r="45" spans="1:16" x14ac:dyDescent="0.35">
      <c r="A45" s="13">
        <v>42</v>
      </c>
      <c r="B45" s="13">
        <v>3.1560000000000001</v>
      </c>
      <c r="C45" s="13">
        <v>3.2</v>
      </c>
      <c r="D45" s="13">
        <v>3.0670000000000002</v>
      </c>
      <c r="E45" s="14">
        <f t="shared" si="10"/>
        <v>3.141</v>
      </c>
      <c r="F45" s="14">
        <f t="shared" si="11"/>
        <v>0.13300000000000001</v>
      </c>
      <c r="G45" s="15" t="str">
        <f t="shared" si="12"/>
        <v>ok</v>
      </c>
      <c r="H45" s="15" t="str">
        <f t="shared" si="13"/>
        <v>ok</v>
      </c>
      <c r="J45" s="16">
        <f t="shared" si="14"/>
        <v>3.2513899074074071</v>
      </c>
      <c r="K45" s="16">
        <f t="shared" si="15"/>
        <v>3.132574074074074</v>
      </c>
      <c r="L45" s="16">
        <f t="shared" si="16"/>
        <v>3.0137582407407408</v>
      </c>
      <c r="N45" s="16">
        <f t="shared" si="17"/>
        <v>0.29936930555555552</v>
      </c>
      <c r="O45" s="16">
        <f t="shared" si="18"/>
        <v>0.1164861111111111</v>
      </c>
      <c r="P45" s="16">
        <f t="shared" si="19"/>
        <v>0</v>
      </c>
    </row>
    <row r="46" spans="1:16" x14ac:dyDescent="0.35">
      <c r="A46" s="13">
        <v>43</v>
      </c>
      <c r="B46" s="13">
        <v>3.141</v>
      </c>
      <c r="C46" s="13">
        <v>3.0190000000000001</v>
      </c>
      <c r="D46" s="13">
        <v>3.1619999999999999</v>
      </c>
      <c r="E46" s="14">
        <f t="shared" si="10"/>
        <v>3.1073333333333331</v>
      </c>
      <c r="F46" s="14">
        <f t="shared" si="11"/>
        <v>0.14299999999999979</v>
      </c>
      <c r="G46" s="15" t="str">
        <f t="shared" si="12"/>
        <v>ok</v>
      </c>
      <c r="H46" s="15" t="str">
        <f t="shared" si="13"/>
        <v>ok</v>
      </c>
      <c r="J46" s="16">
        <f t="shared" si="14"/>
        <v>3.2513899074074071</v>
      </c>
      <c r="K46" s="16">
        <f t="shared" si="15"/>
        <v>3.132574074074074</v>
      </c>
      <c r="L46" s="16">
        <f t="shared" si="16"/>
        <v>3.0137582407407408</v>
      </c>
      <c r="N46" s="16">
        <f t="shared" si="17"/>
        <v>0.29936930555555552</v>
      </c>
      <c r="O46" s="16">
        <f t="shared" si="18"/>
        <v>0.1164861111111111</v>
      </c>
      <c r="P46" s="16">
        <f t="shared" si="19"/>
        <v>0</v>
      </c>
    </row>
    <row r="47" spans="1:16" x14ac:dyDescent="0.35">
      <c r="A47" s="13">
        <v>44</v>
      </c>
      <c r="B47" s="13">
        <v>3.226</v>
      </c>
      <c r="C47" s="13">
        <v>3.2360000000000002</v>
      </c>
      <c r="D47" s="13">
        <v>3.25</v>
      </c>
      <c r="E47" s="14">
        <f t="shared" si="10"/>
        <v>3.2373333333333334</v>
      </c>
      <c r="F47" s="14">
        <f t="shared" si="11"/>
        <v>2.4000000000000021E-2</v>
      </c>
      <c r="G47" s="15" t="str">
        <f t="shared" si="12"/>
        <v>ok</v>
      </c>
      <c r="H47" s="15" t="str">
        <f t="shared" si="13"/>
        <v>ok</v>
      </c>
      <c r="J47" s="16">
        <f t="shared" si="14"/>
        <v>3.2513899074074071</v>
      </c>
      <c r="K47" s="16">
        <f t="shared" si="15"/>
        <v>3.132574074074074</v>
      </c>
      <c r="L47" s="16">
        <f t="shared" si="16"/>
        <v>3.0137582407407408</v>
      </c>
      <c r="N47" s="16">
        <f t="shared" si="17"/>
        <v>0.29936930555555552</v>
      </c>
      <c r="O47" s="16">
        <f t="shared" si="18"/>
        <v>0.1164861111111111</v>
      </c>
      <c r="P47" s="16">
        <f t="shared" si="19"/>
        <v>0</v>
      </c>
    </row>
    <row r="48" spans="1:16" x14ac:dyDescent="0.35">
      <c r="A48" s="13">
        <v>45</v>
      </c>
      <c r="B48" s="13">
        <v>3.2469999999999999</v>
      </c>
      <c r="C48" s="13">
        <v>3.25</v>
      </c>
      <c r="D48" s="13">
        <v>3.2330000000000001</v>
      </c>
      <c r="E48" s="14">
        <f t="shared" si="10"/>
        <v>3.2433333333333336</v>
      </c>
      <c r="F48" s="14">
        <f t="shared" si="11"/>
        <v>1.6999999999999904E-2</v>
      </c>
      <c r="G48" s="15" t="str">
        <f t="shared" si="12"/>
        <v>ok</v>
      </c>
      <c r="H48" s="15" t="str">
        <f t="shared" si="13"/>
        <v>ok</v>
      </c>
      <c r="J48" s="16">
        <f t="shared" si="14"/>
        <v>3.2513899074074071</v>
      </c>
      <c r="K48" s="16">
        <f t="shared" si="15"/>
        <v>3.132574074074074</v>
      </c>
      <c r="L48" s="16">
        <f t="shared" si="16"/>
        <v>3.0137582407407408</v>
      </c>
      <c r="N48" s="16">
        <f t="shared" si="17"/>
        <v>0.29936930555555552</v>
      </c>
      <c r="O48" s="16">
        <f t="shared" si="18"/>
        <v>0.1164861111111111</v>
      </c>
      <c r="P48" s="16">
        <f t="shared" si="19"/>
        <v>0</v>
      </c>
    </row>
    <row r="49" spans="1:16" x14ac:dyDescent="0.35">
      <c r="A49" s="13">
        <v>46</v>
      </c>
      <c r="B49" s="13">
        <v>3.1640000000000001</v>
      </c>
      <c r="C49" s="13">
        <v>3.0510000000000002</v>
      </c>
      <c r="D49" s="13">
        <v>3.1360000000000001</v>
      </c>
      <c r="E49" s="14">
        <f t="shared" si="10"/>
        <v>3.1169999999999995</v>
      </c>
      <c r="F49" s="14">
        <f t="shared" si="11"/>
        <v>0.11299999999999999</v>
      </c>
      <c r="G49" s="15" t="str">
        <f t="shared" si="12"/>
        <v>ok</v>
      </c>
      <c r="H49" s="15" t="str">
        <f t="shared" si="13"/>
        <v>ok</v>
      </c>
      <c r="J49" s="16">
        <f t="shared" si="14"/>
        <v>3.2513899074074071</v>
      </c>
      <c r="K49" s="16">
        <f t="shared" si="15"/>
        <v>3.132574074074074</v>
      </c>
      <c r="L49" s="16">
        <f t="shared" si="16"/>
        <v>3.0137582407407408</v>
      </c>
      <c r="N49" s="16">
        <f t="shared" si="17"/>
        <v>0.29936930555555552</v>
      </c>
      <c r="O49" s="16">
        <f t="shared" si="18"/>
        <v>0.1164861111111111</v>
      </c>
      <c r="P49" s="16">
        <f t="shared" si="19"/>
        <v>0</v>
      </c>
    </row>
    <row r="50" spans="1:16" x14ac:dyDescent="0.35">
      <c r="A50" s="13">
        <v>47</v>
      </c>
      <c r="B50" s="13">
        <v>3.012</v>
      </c>
      <c r="C50" s="13">
        <v>3.26</v>
      </c>
      <c r="D50" s="13">
        <v>3.202</v>
      </c>
      <c r="E50" s="14">
        <f t="shared" si="10"/>
        <v>3.1579999999999999</v>
      </c>
      <c r="F50" s="14">
        <f t="shared" si="11"/>
        <v>0.24799999999999978</v>
      </c>
      <c r="G50" s="15" t="str">
        <f t="shared" si="12"/>
        <v>ok</v>
      </c>
      <c r="H50" s="15" t="str">
        <f t="shared" si="13"/>
        <v>ok</v>
      </c>
      <c r="J50" s="16">
        <f t="shared" si="14"/>
        <v>3.2513899074074071</v>
      </c>
      <c r="K50" s="16">
        <f t="shared" si="15"/>
        <v>3.132574074074074</v>
      </c>
      <c r="L50" s="16">
        <f t="shared" si="16"/>
        <v>3.0137582407407408</v>
      </c>
      <c r="N50" s="16">
        <f t="shared" si="17"/>
        <v>0.29936930555555552</v>
      </c>
      <c r="O50" s="16">
        <f t="shared" si="18"/>
        <v>0.1164861111111111</v>
      </c>
      <c r="P50" s="16">
        <f t="shared" si="19"/>
        <v>0</v>
      </c>
    </row>
    <row r="51" spans="1:16" x14ac:dyDescent="0.35">
      <c r="A51" s="13">
        <v>48</v>
      </c>
      <c r="B51" s="13">
        <v>3.2090000000000001</v>
      </c>
      <c r="C51" s="13">
        <v>3.0019999999999998</v>
      </c>
      <c r="D51" s="13">
        <v>3.1739999999999999</v>
      </c>
      <c r="E51" s="14">
        <f t="shared" si="10"/>
        <v>3.1283333333333334</v>
      </c>
      <c r="F51" s="14">
        <f t="shared" si="11"/>
        <v>0.20700000000000029</v>
      </c>
      <c r="G51" s="15" t="str">
        <f t="shared" si="12"/>
        <v>ok</v>
      </c>
      <c r="H51" s="15" t="str">
        <f t="shared" si="13"/>
        <v>ok</v>
      </c>
      <c r="J51" s="16">
        <f t="shared" si="14"/>
        <v>3.2513899074074071</v>
      </c>
      <c r="K51" s="16">
        <f t="shared" si="15"/>
        <v>3.132574074074074</v>
      </c>
      <c r="L51" s="16">
        <f t="shared" si="16"/>
        <v>3.0137582407407408</v>
      </c>
      <c r="N51" s="16">
        <f t="shared" si="17"/>
        <v>0.29936930555555552</v>
      </c>
      <c r="O51" s="16">
        <f t="shared" si="18"/>
        <v>0.1164861111111111</v>
      </c>
      <c r="P51" s="16">
        <f t="shared" si="19"/>
        <v>0</v>
      </c>
    </row>
    <row r="52" spans="1:16" x14ac:dyDescent="0.35">
      <c r="A52" s="13">
        <v>49</v>
      </c>
      <c r="B52" s="13">
        <v>3.125</v>
      </c>
      <c r="C52" s="13">
        <v>3.1320000000000001</v>
      </c>
      <c r="D52" s="13">
        <v>3.1339999999999999</v>
      </c>
      <c r="E52" s="14">
        <f t="shared" si="10"/>
        <v>3.1303333333333332</v>
      </c>
      <c r="F52" s="14">
        <f t="shared" si="11"/>
        <v>8.999999999999897E-3</v>
      </c>
      <c r="G52" s="15" t="str">
        <f t="shared" si="12"/>
        <v>ok</v>
      </c>
      <c r="H52" s="15" t="str">
        <f t="shared" si="13"/>
        <v>ok</v>
      </c>
      <c r="J52" s="16">
        <f t="shared" si="14"/>
        <v>3.2513899074074071</v>
      </c>
      <c r="K52" s="16">
        <f t="shared" si="15"/>
        <v>3.132574074074074</v>
      </c>
      <c r="L52" s="16">
        <f t="shared" si="16"/>
        <v>3.0137582407407408</v>
      </c>
      <c r="N52" s="16">
        <f t="shared" si="17"/>
        <v>0.29936930555555552</v>
      </c>
      <c r="O52" s="16">
        <f t="shared" si="18"/>
        <v>0.1164861111111111</v>
      </c>
      <c r="P52" s="16">
        <f t="shared" si="19"/>
        <v>0</v>
      </c>
    </row>
    <row r="53" spans="1:16" x14ac:dyDescent="0.35">
      <c r="A53" s="13">
        <v>50</v>
      </c>
      <c r="B53" s="13">
        <v>3.1110000000000002</v>
      </c>
      <c r="C53" s="13">
        <v>3.0230000000000001</v>
      </c>
      <c r="D53" s="13">
        <v>3.177</v>
      </c>
      <c r="E53" s="14">
        <f t="shared" si="10"/>
        <v>3.1036666666666668</v>
      </c>
      <c r="F53" s="14">
        <f t="shared" si="11"/>
        <v>0.15399999999999991</v>
      </c>
      <c r="G53" s="15" t="str">
        <f t="shared" si="12"/>
        <v>ok</v>
      </c>
      <c r="H53" s="15" t="str">
        <f t="shared" si="13"/>
        <v>ok</v>
      </c>
      <c r="J53" s="16">
        <f t="shared" si="14"/>
        <v>3.2513899074074071</v>
      </c>
      <c r="K53" s="16">
        <f t="shared" si="15"/>
        <v>3.132574074074074</v>
      </c>
      <c r="L53" s="16">
        <f t="shared" si="16"/>
        <v>3.0137582407407408</v>
      </c>
      <c r="N53" s="16">
        <f t="shared" si="17"/>
        <v>0.29936930555555552</v>
      </c>
      <c r="O53" s="16">
        <f t="shared" si="18"/>
        <v>0.1164861111111111</v>
      </c>
      <c r="P53" s="16">
        <f t="shared" si="19"/>
        <v>0</v>
      </c>
    </row>
    <row r="54" spans="1:16" x14ac:dyDescent="0.35">
      <c r="A54" s="13">
        <v>51</v>
      </c>
      <c r="B54" s="13">
        <v>3.306</v>
      </c>
      <c r="C54" s="13">
        <v>3.1190000000000002</v>
      </c>
      <c r="D54" s="13">
        <v>3.133</v>
      </c>
      <c r="E54" s="14">
        <f t="shared" si="10"/>
        <v>3.1859999999999999</v>
      </c>
      <c r="F54" s="14">
        <f t="shared" si="11"/>
        <v>0.18699999999999983</v>
      </c>
      <c r="G54" s="15" t="str">
        <f t="shared" si="12"/>
        <v>ok</v>
      </c>
      <c r="H54" s="15" t="str">
        <f t="shared" si="13"/>
        <v>ok</v>
      </c>
      <c r="J54" s="16">
        <f t="shared" si="14"/>
        <v>3.2513899074074071</v>
      </c>
      <c r="K54" s="16">
        <f t="shared" si="15"/>
        <v>3.132574074074074</v>
      </c>
      <c r="L54" s="16">
        <f t="shared" si="16"/>
        <v>3.0137582407407408</v>
      </c>
      <c r="N54" s="16">
        <f t="shared" si="17"/>
        <v>0.29936930555555552</v>
      </c>
      <c r="O54" s="16">
        <f t="shared" si="18"/>
        <v>0.1164861111111111</v>
      </c>
      <c r="P54" s="16">
        <f t="shared" si="19"/>
        <v>0</v>
      </c>
    </row>
    <row r="55" spans="1:16" x14ac:dyDescent="0.35">
      <c r="A55" s="13">
        <v>52</v>
      </c>
      <c r="B55" s="13">
        <v>3.17</v>
      </c>
      <c r="C55" s="13">
        <v>3.2029999999999998</v>
      </c>
      <c r="D55" s="13">
        <v>3.21</v>
      </c>
      <c r="E55" s="14">
        <f t="shared" si="10"/>
        <v>3.1943333333333328</v>
      </c>
      <c r="F55" s="14">
        <f t="shared" si="11"/>
        <v>4.0000000000000036E-2</v>
      </c>
      <c r="G55" s="15" t="str">
        <f t="shared" si="12"/>
        <v>ok</v>
      </c>
      <c r="H55" s="15" t="str">
        <f t="shared" si="13"/>
        <v>ok</v>
      </c>
      <c r="J55" s="16">
        <f t="shared" si="14"/>
        <v>3.2513899074074071</v>
      </c>
      <c r="K55" s="16">
        <f t="shared" si="15"/>
        <v>3.132574074074074</v>
      </c>
      <c r="L55" s="16">
        <f t="shared" si="16"/>
        <v>3.0137582407407408</v>
      </c>
      <c r="N55" s="16">
        <f t="shared" si="17"/>
        <v>0.29936930555555552</v>
      </c>
      <c r="O55" s="16">
        <f t="shared" si="18"/>
        <v>0.1164861111111111</v>
      </c>
      <c r="P55" s="16">
        <f t="shared" si="19"/>
        <v>0</v>
      </c>
    </row>
    <row r="56" spans="1:16" x14ac:dyDescent="0.35">
      <c r="A56" s="13">
        <v>53</v>
      </c>
      <c r="B56" s="13">
        <v>3.0110000000000001</v>
      </c>
      <c r="C56" s="13">
        <v>3.1970000000000001</v>
      </c>
      <c r="D56" s="13">
        <v>3.0760000000000001</v>
      </c>
      <c r="E56" s="14">
        <f t="shared" si="10"/>
        <v>3.0946666666666669</v>
      </c>
      <c r="F56" s="14">
        <f t="shared" si="11"/>
        <v>0.18599999999999994</v>
      </c>
      <c r="G56" s="15" t="str">
        <f t="shared" si="12"/>
        <v>ok</v>
      </c>
      <c r="H56" s="15" t="str">
        <f t="shared" si="13"/>
        <v>ok</v>
      </c>
      <c r="J56" s="16">
        <f t="shared" si="14"/>
        <v>3.2513899074074071</v>
      </c>
      <c r="K56" s="16">
        <f t="shared" si="15"/>
        <v>3.132574074074074</v>
      </c>
      <c r="L56" s="16">
        <f t="shared" si="16"/>
        <v>3.0137582407407408</v>
      </c>
      <c r="N56" s="16">
        <f t="shared" si="17"/>
        <v>0.29936930555555552</v>
      </c>
      <c r="O56" s="16">
        <f t="shared" si="18"/>
        <v>0.1164861111111111</v>
      </c>
      <c r="P56" s="16">
        <f t="shared" si="19"/>
        <v>0</v>
      </c>
    </row>
    <row r="57" spans="1:16" x14ac:dyDescent="0.35">
      <c r="A57" s="13">
        <v>54</v>
      </c>
      <c r="B57" s="13">
        <v>3.137</v>
      </c>
      <c r="C57" s="13">
        <v>3.0310000000000001</v>
      </c>
      <c r="D57" s="13">
        <v>3.0390000000000001</v>
      </c>
      <c r="E57" s="14">
        <f t="shared" si="10"/>
        <v>3.0690000000000004</v>
      </c>
      <c r="F57" s="14">
        <f t="shared" si="11"/>
        <v>0.10599999999999987</v>
      </c>
      <c r="G57" s="15" t="str">
        <f t="shared" si="12"/>
        <v>ok</v>
      </c>
      <c r="H57" s="15" t="str">
        <f t="shared" si="13"/>
        <v>ok</v>
      </c>
      <c r="J57" s="16">
        <f t="shared" si="14"/>
        <v>3.2513899074074071</v>
      </c>
      <c r="K57" s="16">
        <f t="shared" si="15"/>
        <v>3.132574074074074</v>
      </c>
      <c r="L57" s="16">
        <f t="shared" si="16"/>
        <v>3.0137582407407408</v>
      </c>
      <c r="N57" s="16">
        <f t="shared" si="17"/>
        <v>0.29936930555555552</v>
      </c>
      <c r="O57" s="16">
        <f t="shared" si="18"/>
        <v>0.1164861111111111</v>
      </c>
      <c r="P57" s="16">
        <f t="shared" si="19"/>
        <v>0</v>
      </c>
    </row>
    <row r="58" spans="1:16" x14ac:dyDescent="0.35">
      <c r="A58" s="13">
        <v>55</v>
      </c>
      <c r="B58" s="13">
        <v>3.1779999999999999</v>
      </c>
      <c r="C58" s="13">
        <v>3.0030000000000001</v>
      </c>
      <c r="D58" s="13">
        <v>3.1930000000000001</v>
      </c>
      <c r="E58" s="14">
        <f t="shared" si="10"/>
        <v>3.1246666666666667</v>
      </c>
      <c r="F58" s="14">
        <f t="shared" si="11"/>
        <v>0.18999999999999995</v>
      </c>
      <c r="G58" s="15" t="str">
        <f t="shared" si="12"/>
        <v>ok</v>
      </c>
      <c r="H58" s="15" t="str">
        <f t="shared" si="13"/>
        <v>ok</v>
      </c>
      <c r="J58" s="16">
        <f t="shared" si="14"/>
        <v>3.2513899074074071</v>
      </c>
      <c r="K58" s="16">
        <f t="shared" si="15"/>
        <v>3.132574074074074</v>
      </c>
      <c r="L58" s="16">
        <f t="shared" si="16"/>
        <v>3.0137582407407408</v>
      </c>
      <c r="N58" s="16">
        <f t="shared" si="17"/>
        <v>0.29936930555555552</v>
      </c>
      <c r="O58" s="16">
        <f t="shared" si="18"/>
        <v>0.1164861111111111</v>
      </c>
      <c r="P58" s="16">
        <f t="shared" si="19"/>
        <v>0</v>
      </c>
    </row>
    <row r="59" spans="1:16" x14ac:dyDescent="0.35">
      <c r="A59" s="13">
        <v>56</v>
      </c>
      <c r="B59" s="13">
        <v>3.105</v>
      </c>
      <c r="C59" s="13">
        <v>3.0680000000000001</v>
      </c>
      <c r="D59" s="13">
        <v>3.2490000000000001</v>
      </c>
      <c r="E59" s="14">
        <f t="shared" si="10"/>
        <v>3.1406666666666667</v>
      </c>
      <c r="F59" s="14">
        <f t="shared" si="11"/>
        <v>0.18100000000000005</v>
      </c>
      <c r="G59" s="15" t="str">
        <f t="shared" si="12"/>
        <v>ok</v>
      </c>
      <c r="H59" s="15" t="str">
        <f t="shared" si="13"/>
        <v>ok</v>
      </c>
      <c r="J59" s="16">
        <f t="shared" si="14"/>
        <v>3.2513899074074071</v>
      </c>
      <c r="K59" s="16">
        <f t="shared" si="15"/>
        <v>3.132574074074074</v>
      </c>
      <c r="L59" s="16">
        <f t="shared" si="16"/>
        <v>3.0137582407407408</v>
      </c>
      <c r="N59" s="16">
        <f t="shared" si="17"/>
        <v>0.29936930555555552</v>
      </c>
      <c r="O59" s="16">
        <f t="shared" si="18"/>
        <v>0.1164861111111111</v>
      </c>
      <c r="P59" s="16">
        <f t="shared" si="19"/>
        <v>0</v>
      </c>
    </row>
    <row r="60" spans="1:16" x14ac:dyDescent="0.35">
      <c r="A60" s="13">
        <v>57</v>
      </c>
      <c r="B60" s="13">
        <v>3.044</v>
      </c>
      <c r="C60" s="13">
        <v>3.0049999999999999</v>
      </c>
      <c r="D60" s="13">
        <v>3.01</v>
      </c>
      <c r="E60" s="14">
        <f t="shared" si="10"/>
        <v>3.0196666666666663</v>
      </c>
      <c r="F60" s="14">
        <f t="shared" si="11"/>
        <v>3.9000000000000146E-2</v>
      </c>
      <c r="G60" s="15" t="str">
        <f t="shared" si="12"/>
        <v>ok</v>
      </c>
      <c r="H60" s="15" t="str">
        <f t="shared" si="13"/>
        <v>ok</v>
      </c>
      <c r="J60" s="16">
        <f t="shared" si="14"/>
        <v>3.2513899074074071</v>
      </c>
      <c r="K60" s="16">
        <f t="shared" si="15"/>
        <v>3.132574074074074</v>
      </c>
      <c r="L60" s="16">
        <f t="shared" si="16"/>
        <v>3.0137582407407408</v>
      </c>
      <c r="N60" s="16">
        <f t="shared" si="17"/>
        <v>0.29936930555555552</v>
      </c>
      <c r="O60" s="16">
        <f t="shared" si="18"/>
        <v>0.1164861111111111</v>
      </c>
      <c r="P60" s="16">
        <f t="shared" si="19"/>
        <v>0</v>
      </c>
    </row>
    <row r="61" spans="1:16" x14ac:dyDescent="0.35">
      <c r="A61" s="13">
        <v>58</v>
      </c>
      <c r="B61" s="13">
        <v>3.1640000000000001</v>
      </c>
      <c r="C61" s="13">
        <v>3.0579999999999998</v>
      </c>
      <c r="D61" s="13">
        <v>3.1970000000000001</v>
      </c>
      <c r="E61" s="14">
        <f t="shared" si="10"/>
        <v>3.1396666666666668</v>
      </c>
      <c r="F61" s="14">
        <f t="shared" si="11"/>
        <v>0.13900000000000023</v>
      </c>
      <c r="G61" s="15" t="str">
        <f t="shared" si="12"/>
        <v>ok</v>
      </c>
      <c r="H61" s="15" t="str">
        <f t="shared" si="13"/>
        <v>ok</v>
      </c>
      <c r="J61" s="16">
        <f t="shared" si="14"/>
        <v>3.2513899074074071</v>
      </c>
      <c r="K61" s="16">
        <f t="shared" si="15"/>
        <v>3.132574074074074</v>
      </c>
      <c r="L61" s="16">
        <f t="shared" si="16"/>
        <v>3.0137582407407408</v>
      </c>
      <c r="N61" s="16">
        <f t="shared" si="17"/>
        <v>0.29936930555555552</v>
      </c>
      <c r="O61" s="16">
        <f t="shared" si="18"/>
        <v>0.1164861111111111</v>
      </c>
      <c r="P61" s="16">
        <f t="shared" si="19"/>
        <v>0</v>
      </c>
    </row>
    <row r="62" spans="1:16" x14ac:dyDescent="0.35">
      <c r="A62" s="13">
        <v>59</v>
      </c>
      <c r="B62" s="13">
        <v>3.008</v>
      </c>
      <c r="C62" s="13">
        <v>3.0249999999999999</v>
      </c>
      <c r="D62" s="13">
        <v>3.0529999999999999</v>
      </c>
      <c r="E62" s="14">
        <f t="shared" si="10"/>
        <v>3.0286666666666662</v>
      </c>
      <c r="F62" s="14">
        <f t="shared" si="11"/>
        <v>4.4999999999999929E-2</v>
      </c>
      <c r="G62" s="15" t="str">
        <f t="shared" si="12"/>
        <v>ok</v>
      </c>
      <c r="H62" s="15" t="str">
        <f t="shared" si="13"/>
        <v>ok</v>
      </c>
      <c r="J62" s="16">
        <f t="shared" si="14"/>
        <v>3.2513899074074071</v>
      </c>
      <c r="K62" s="16">
        <f t="shared" si="15"/>
        <v>3.132574074074074</v>
      </c>
      <c r="L62" s="16">
        <f t="shared" si="16"/>
        <v>3.0137582407407408</v>
      </c>
      <c r="N62" s="16">
        <f t="shared" si="17"/>
        <v>0.29936930555555552</v>
      </c>
      <c r="O62" s="16">
        <f t="shared" si="18"/>
        <v>0.1164861111111111</v>
      </c>
      <c r="P62" s="16">
        <f t="shared" si="19"/>
        <v>0</v>
      </c>
    </row>
    <row r="63" spans="1:16" x14ac:dyDescent="0.35">
      <c r="A63" s="13">
        <v>60</v>
      </c>
      <c r="B63" s="13">
        <v>3.2360000000000002</v>
      </c>
      <c r="C63" s="13">
        <v>3.0910000000000002</v>
      </c>
      <c r="D63" s="13">
        <v>3.2709999999999999</v>
      </c>
      <c r="E63" s="14">
        <f t="shared" si="10"/>
        <v>3.1993333333333331</v>
      </c>
      <c r="F63" s="14">
        <f t="shared" si="11"/>
        <v>0.17999999999999972</v>
      </c>
      <c r="G63" s="15" t="str">
        <f t="shared" si="12"/>
        <v>ok</v>
      </c>
      <c r="H63" s="15" t="str">
        <f t="shared" si="13"/>
        <v>ok</v>
      </c>
      <c r="J63" s="16">
        <f t="shared" si="14"/>
        <v>3.2513899074074071</v>
      </c>
      <c r="K63" s="16">
        <f t="shared" si="15"/>
        <v>3.132574074074074</v>
      </c>
      <c r="L63" s="16">
        <f t="shared" si="16"/>
        <v>3.0137582407407408</v>
      </c>
      <c r="N63" s="16">
        <f t="shared" si="17"/>
        <v>0.29936930555555552</v>
      </c>
      <c r="O63" s="16">
        <f t="shared" si="18"/>
        <v>0.1164861111111111</v>
      </c>
      <c r="P63" s="16">
        <f t="shared" si="19"/>
        <v>0</v>
      </c>
    </row>
    <row r="64" spans="1:16" x14ac:dyDescent="0.35">
      <c r="A64" s="13">
        <v>61</v>
      </c>
      <c r="B64" s="13">
        <v>3.0110000000000001</v>
      </c>
      <c r="C64" s="13">
        <v>2.9820000000000002</v>
      </c>
      <c r="D64" s="13">
        <v>2.9590000000000001</v>
      </c>
      <c r="E64" s="14">
        <f t="shared" si="10"/>
        <v>2.984</v>
      </c>
      <c r="F64" s="14">
        <f t="shared" si="11"/>
        <v>5.2000000000000046E-2</v>
      </c>
      <c r="G64" s="15" t="str">
        <f t="shared" si="12"/>
        <v>OUT</v>
      </c>
      <c r="H64" s="15" t="str">
        <f t="shared" si="13"/>
        <v>ok</v>
      </c>
      <c r="J64" s="16">
        <f t="shared" si="14"/>
        <v>3.2513899074074071</v>
      </c>
      <c r="K64" s="16">
        <f t="shared" si="15"/>
        <v>3.132574074074074</v>
      </c>
      <c r="L64" s="16">
        <f t="shared" si="16"/>
        <v>3.0137582407407408</v>
      </c>
      <c r="N64" s="16">
        <f t="shared" si="17"/>
        <v>0.29936930555555552</v>
      </c>
      <c r="O64" s="16">
        <f t="shared" si="18"/>
        <v>0.1164861111111111</v>
      </c>
      <c r="P64" s="16">
        <f t="shared" si="19"/>
        <v>0</v>
      </c>
    </row>
    <row r="65" spans="1:16" x14ac:dyDescent="0.35">
      <c r="A65" s="13">
        <v>62</v>
      </c>
      <c r="B65" s="13">
        <v>3.17</v>
      </c>
      <c r="C65" s="13">
        <v>3.1760000000000002</v>
      </c>
      <c r="D65" s="13">
        <v>3.0979999999999999</v>
      </c>
      <c r="E65" s="14">
        <f t="shared" si="10"/>
        <v>3.1479999999999997</v>
      </c>
      <c r="F65" s="14">
        <f t="shared" si="11"/>
        <v>7.8000000000000291E-2</v>
      </c>
      <c r="G65" s="15" t="str">
        <f t="shared" si="12"/>
        <v>ok</v>
      </c>
      <c r="H65" s="15" t="str">
        <f t="shared" si="13"/>
        <v>ok</v>
      </c>
      <c r="J65" s="16">
        <f t="shared" si="14"/>
        <v>3.2513899074074071</v>
      </c>
      <c r="K65" s="16">
        <f t="shared" si="15"/>
        <v>3.132574074074074</v>
      </c>
      <c r="L65" s="16">
        <f t="shared" si="16"/>
        <v>3.0137582407407408</v>
      </c>
      <c r="N65" s="16">
        <f t="shared" si="17"/>
        <v>0.29936930555555552</v>
      </c>
      <c r="O65" s="16">
        <f t="shared" si="18"/>
        <v>0.1164861111111111</v>
      </c>
      <c r="P65" s="16">
        <f t="shared" si="19"/>
        <v>0</v>
      </c>
    </row>
    <row r="66" spans="1:16" x14ac:dyDescent="0.35">
      <c r="A66" s="13">
        <v>63</v>
      </c>
      <c r="B66" s="13">
        <v>3.3039999999999998</v>
      </c>
      <c r="C66" s="13">
        <v>3.2429999999999999</v>
      </c>
      <c r="D66" s="13">
        <v>3.0640000000000001</v>
      </c>
      <c r="E66" s="14">
        <f t="shared" si="10"/>
        <v>3.2036666666666669</v>
      </c>
      <c r="F66" s="14">
        <f t="shared" si="11"/>
        <v>0.23999999999999977</v>
      </c>
      <c r="G66" s="15" t="str">
        <f t="shared" si="12"/>
        <v>ok</v>
      </c>
      <c r="H66" s="15" t="str">
        <f t="shared" si="13"/>
        <v>ok</v>
      </c>
      <c r="J66" s="16">
        <f t="shared" si="14"/>
        <v>3.2513899074074071</v>
      </c>
      <c r="K66" s="16">
        <f t="shared" si="15"/>
        <v>3.132574074074074</v>
      </c>
      <c r="L66" s="16">
        <f t="shared" si="16"/>
        <v>3.0137582407407408</v>
      </c>
      <c r="N66" s="16">
        <f t="shared" si="17"/>
        <v>0.29936930555555552</v>
      </c>
      <c r="O66" s="16">
        <f t="shared" si="18"/>
        <v>0.1164861111111111</v>
      </c>
      <c r="P66" s="16">
        <f t="shared" si="19"/>
        <v>0</v>
      </c>
    </row>
    <row r="67" spans="1:16" x14ac:dyDescent="0.35">
      <c r="A67" s="13">
        <v>64</v>
      </c>
      <c r="B67" s="13">
        <v>3.0369999999999999</v>
      </c>
      <c r="C67" s="13">
        <v>2.968</v>
      </c>
      <c r="D67" s="13">
        <v>2.9590000000000001</v>
      </c>
      <c r="E67" s="14">
        <f t="shared" si="10"/>
        <v>2.988</v>
      </c>
      <c r="F67" s="14">
        <f t="shared" si="11"/>
        <v>7.7999999999999847E-2</v>
      </c>
      <c r="G67" s="15" t="str">
        <f t="shared" si="12"/>
        <v>OUT</v>
      </c>
      <c r="H67" s="15" t="str">
        <f t="shared" si="13"/>
        <v>ok</v>
      </c>
      <c r="J67" s="16">
        <f t="shared" si="14"/>
        <v>3.2513899074074071</v>
      </c>
      <c r="K67" s="16">
        <f t="shared" si="15"/>
        <v>3.132574074074074</v>
      </c>
      <c r="L67" s="16">
        <f t="shared" si="16"/>
        <v>3.0137582407407408</v>
      </c>
      <c r="N67" s="16">
        <f t="shared" si="17"/>
        <v>0.29936930555555552</v>
      </c>
      <c r="O67" s="16">
        <f t="shared" si="18"/>
        <v>0.1164861111111111</v>
      </c>
      <c r="P67" s="16">
        <f t="shared" si="19"/>
        <v>0</v>
      </c>
    </row>
    <row r="68" spans="1:16" x14ac:dyDescent="0.35">
      <c r="A68" s="13">
        <v>65</v>
      </c>
      <c r="B68" s="13">
        <v>3.0750000000000002</v>
      </c>
      <c r="C68" s="13">
        <v>3.1739999999999999</v>
      </c>
      <c r="D68" s="13">
        <v>3.0270000000000001</v>
      </c>
      <c r="E68" s="14">
        <f t="shared" ref="E68:E99" si="20">AVERAGE(B68:D68)</f>
        <v>3.0920000000000001</v>
      </c>
      <c r="F68" s="14">
        <f t="shared" ref="F68:F75" si="21">MAX(B68:D68)-MIN(B68:D68)</f>
        <v>0.1469999999999998</v>
      </c>
      <c r="G68" s="15" t="str">
        <f t="shared" ref="G68:G75" si="22">IF(OR(E68&gt;$B$84,E68&lt;$B$85),"OUT","ok")</f>
        <v>ok</v>
      </c>
      <c r="H68" s="15" t="str">
        <f t="shared" ref="H68:H75" si="23">IF(OR(F68&gt;$B$86,F68&lt;$B$87),"OUT","ok")</f>
        <v>ok</v>
      </c>
      <c r="J68" s="16">
        <f t="shared" ref="J68:J75" si="24">$B$84</f>
        <v>3.2513899074074071</v>
      </c>
      <c r="K68" s="16">
        <f t="shared" ref="K68:K75" si="25">$B$79</f>
        <v>3.132574074074074</v>
      </c>
      <c r="L68" s="16">
        <f t="shared" ref="L68:L75" si="26">$B$85</f>
        <v>3.0137582407407408</v>
      </c>
      <c r="N68" s="16">
        <f t="shared" ref="N68:N75" si="27">$B$86</f>
        <v>0.29936930555555552</v>
      </c>
      <c r="O68" s="16">
        <f t="shared" ref="O68:O75" si="28">$B$80</f>
        <v>0.1164861111111111</v>
      </c>
      <c r="P68" s="16">
        <f t="shared" ref="P68:P75" si="29">$B$87</f>
        <v>0</v>
      </c>
    </row>
    <row r="69" spans="1:16" x14ac:dyDescent="0.35">
      <c r="A69" s="13">
        <v>66</v>
      </c>
      <c r="B69" s="13">
        <v>3.2549999999999999</v>
      </c>
      <c r="C69" s="13">
        <v>3.2450000000000001</v>
      </c>
      <c r="D69" s="13">
        <v>3.2410000000000001</v>
      </c>
      <c r="E69" s="14">
        <f t="shared" si="20"/>
        <v>3.2469999999999999</v>
      </c>
      <c r="F69" s="14">
        <f t="shared" si="21"/>
        <v>1.399999999999979E-2</v>
      </c>
      <c r="G69" s="15" t="str">
        <f t="shared" si="22"/>
        <v>ok</v>
      </c>
      <c r="H69" s="15" t="str">
        <f t="shared" si="23"/>
        <v>ok</v>
      </c>
      <c r="J69" s="16">
        <f t="shared" si="24"/>
        <v>3.2513899074074071</v>
      </c>
      <c r="K69" s="16">
        <f t="shared" si="25"/>
        <v>3.132574074074074</v>
      </c>
      <c r="L69" s="16">
        <f t="shared" si="26"/>
        <v>3.0137582407407408</v>
      </c>
      <c r="N69" s="16">
        <f t="shared" si="27"/>
        <v>0.29936930555555552</v>
      </c>
      <c r="O69" s="16">
        <f t="shared" si="28"/>
        <v>0.1164861111111111</v>
      </c>
      <c r="P69" s="16">
        <f t="shared" si="29"/>
        <v>0</v>
      </c>
    </row>
    <row r="70" spans="1:16" x14ac:dyDescent="0.35">
      <c r="A70" s="13">
        <v>67</v>
      </c>
      <c r="B70" s="13">
        <v>3.2730000000000001</v>
      </c>
      <c r="C70" s="13">
        <v>3.0670000000000002</v>
      </c>
      <c r="D70" s="13">
        <v>3</v>
      </c>
      <c r="E70" s="14">
        <f t="shared" si="20"/>
        <v>3.1133333333333333</v>
      </c>
      <c r="F70" s="14">
        <f t="shared" si="21"/>
        <v>0.27300000000000013</v>
      </c>
      <c r="G70" s="15" t="str">
        <f t="shared" si="22"/>
        <v>ok</v>
      </c>
      <c r="H70" s="15" t="str">
        <f t="shared" si="23"/>
        <v>ok</v>
      </c>
      <c r="J70" s="16">
        <f t="shared" si="24"/>
        <v>3.2513899074074071</v>
      </c>
      <c r="K70" s="16">
        <f t="shared" si="25"/>
        <v>3.132574074074074</v>
      </c>
      <c r="L70" s="16">
        <f t="shared" si="26"/>
        <v>3.0137582407407408</v>
      </c>
      <c r="N70" s="16">
        <f t="shared" si="27"/>
        <v>0.29936930555555552</v>
      </c>
      <c r="O70" s="16">
        <f t="shared" si="28"/>
        <v>0.1164861111111111</v>
      </c>
      <c r="P70" s="16">
        <f t="shared" si="29"/>
        <v>0</v>
      </c>
    </row>
    <row r="71" spans="1:16" x14ac:dyDescent="0.35">
      <c r="A71" s="13">
        <v>68</v>
      </c>
      <c r="B71" s="13">
        <v>3.1080000000000001</v>
      </c>
      <c r="C71" s="13">
        <v>3.1320000000000001</v>
      </c>
      <c r="D71" s="13">
        <v>2.9039999999999999</v>
      </c>
      <c r="E71" s="14">
        <f t="shared" si="20"/>
        <v>3.048</v>
      </c>
      <c r="F71" s="14">
        <f t="shared" si="21"/>
        <v>0.2280000000000002</v>
      </c>
      <c r="G71" s="15" t="str">
        <f t="shared" si="22"/>
        <v>ok</v>
      </c>
      <c r="H71" s="15" t="str">
        <f t="shared" si="23"/>
        <v>ok</v>
      </c>
      <c r="J71" s="16">
        <f t="shared" si="24"/>
        <v>3.2513899074074071</v>
      </c>
      <c r="K71" s="16">
        <f t="shared" si="25"/>
        <v>3.132574074074074</v>
      </c>
      <c r="L71" s="16">
        <f t="shared" si="26"/>
        <v>3.0137582407407408</v>
      </c>
      <c r="N71" s="16">
        <f t="shared" si="27"/>
        <v>0.29936930555555552</v>
      </c>
      <c r="O71" s="16">
        <f t="shared" si="28"/>
        <v>0.1164861111111111</v>
      </c>
      <c r="P71" s="16">
        <f t="shared" si="29"/>
        <v>0</v>
      </c>
    </row>
    <row r="72" spans="1:16" x14ac:dyDescent="0.35">
      <c r="A72" s="13">
        <v>69</v>
      </c>
      <c r="B72" s="13">
        <v>3.0009999999999999</v>
      </c>
      <c r="C72" s="13">
        <v>2.9870000000000001</v>
      </c>
      <c r="D72" s="13">
        <v>3.0640000000000001</v>
      </c>
      <c r="E72" s="14">
        <f t="shared" si="20"/>
        <v>3.0173333333333332</v>
      </c>
      <c r="F72" s="14">
        <f t="shared" si="21"/>
        <v>7.6999999999999957E-2</v>
      </c>
      <c r="G72" s="15" t="str">
        <f t="shared" si="22"/>
        <v>ok</v>
      </c>
      <c r="H72" s="15" t="str">
        <f t="shared" si="23"/>
        <v>ok</v>
      </c>
      <c r="J72" s="16">
        <f t="shared" si="24"/>
        <v>3.2513899074074071</v>
      </c>
      <c r="K72" s="16">
        <f t="shared" si="25"/>
        <v>3.132574074074074</v>
      </c>
      <c r="L72" s="16">
        <f t="shared" si="26"/>
        <v>3.0137582407407408</v>
      </c>
      <c r="N72" s="16">
        <f t="shared" si="27"/>
        <v>0.29936930555555552</v>
      </c>
      <c r="O72" s="16">
        <f t="shared" si="28"/>
        <v>0.1164861111111111</v>
      </c>
      <c r="P72" s="16">
        <f t="shared" si="29"/>
        <v>0</v>
      </c>
    </row>
    <row r="73" spans="1:16" x14ac:dyDescent="0.35">
      <c r="A73" s="13">
        <v>70</v>
      </c>
      <c r="B73" s="13">
        <v>2.9780000000000002</v>
      </c>
      <c r="C73" s="13">
        <v>2.89</v>
      </c>
      <c r="D73" s="13">
        <v>2.952</v>
      </c>
      <c r="E73" s="14">
        <f t="shared" si="20"/>
        <v>2.94</v>
      </c>
      <c r="F73" s="14">
        <f t="shared" si="21"/>
        <v>8.8000000000000078E-2</v>
      </c>
      <c r="G73" s="15" t="str">
        <f t="shared" si="22"/>
        <v>OUT</v>
      </c>
      <c r="H73" s="15" t="str">
        <f t="shared" si="23"/>
        <v>ok</v>
      </c>
      <c r="J73" s="16">
        <f t="shared" si="24"/>
        <v>3.2513899074074071</v>
      </c>
      <c r="K73" s="16">
        <f t="shared" si="25"/>
        <v>3.132574074074074</v>
      </c>
      <c r="L73" s="16">
        <f t="shared" si="26"/>
        <v>3.0137582407407408</v>
      </c>
      <c r="N73" s="16">
        <f t="shared" si="27"/>
        <v>0.29936930555555552</v>
      </c>
      <c r="O73" s="16">
        <f t="shared" si="28"/>
        <v>0.1164861111111111</v>
      </c>
      <c r="P73" s="16">
        <f t="shared" si="29"/>
        <v>0</v>
      </c>
    </row>
    <row r="74" spans="1:16" x14ac:dyDescent="0.35">
      <c r="A74" s="13">
        <v>71</v>
      </c>
      <c r="B74" s="13">
        <v>3.1160000000000001</v>
      </c>
      <c r="C74" s="13">
        <v>3.11</v>
      </c>
      <c r="D74" s="13">
        <v>3.1150000000000002</v>
      </c>
      <c r="E74" s="14">
        <f t="shared" si="20"/>
        <v>3.113666666666667</v>
      </c>
      <c r="F74" s="14">
        <f t="shared" si="21"/>
        <v>6.0000000000002274E-3</v>
      </c>
      <c r="G74" s="15" t="str">
        <f t="shared" si="22"/>
        <v>ok</v>
      </c>
      <c r="H74" s="15" t="str">
        <f t="shared" si="23"/>
        <v>ok</v>
      </c>
      <c r="J74" s="16">
        <f t="shared" si="24"/>
        <v>3.2513899074074071</v>
      </c>
      <c r="K74" s="16">
        <f t="shared" si="25"/>
        <v>3.132574074074074</v>
      </c>
      <c r="L74" s="16">
        <f t="shared" si="26"/>
        <v>3.0137582407407408</v>
      </c>
      <c r="N74" s="16">
        <f t="shared" si="27"/>
        <v>0.29936930555555552</v>
      </c>
      <c r="O74" s="16">
        <f t="shared" si="28"/>
        <v>0.1164861111111111</v>
      </c>
      <c r="P74" s="16">
        <f t="shared" si="29"/>
        <v>0</v>
      </c>
    </row>
    <row r="75" spans="1:16" x14ac:dyDescent="0.35">
      <c r="A75" s="13">
        <v>72</v>
      </c>
      <c r="B75" s="13">
        <v>3.0219999999999998</v>
      </c>
      <c r="C75" s="13">
        <v>3.0070000000000001</v>
      </c>
      <c r="D75" s="13">
        <v>2.9969999999999999</v>
      </c>
      <c r="E75" s="14">
        <f t="shared" si="20"/>
        <v>3.0086666666666666</v>
      </c>
      <c r="F75" s="14">
        <f t="shared" si="21"/>
        <v>2.4999999999999911E-2</v>
      </c>
      <c r="G75" s="15" t="str">
        <f t="shared" si="22"/>
        <v>OUT</v>
      </c>
      <c r="H75" s="15" t="str">
        <f t="shared" si="23"/>
        <v>ok</v>
      </c>
      <c r="J75" s="16">
        <f t="shared" si="24"/>
        <v>3.2513899074074071</v>
      </c>
      <c r="K75" s="16">
        <f t="shared" si="25"/>
        <v>3.132574074074074</v>
      </c>
      <c r="L75" s="16">
        <f t="shared" si="26"/>
        <v>3.0137582407407408</v>
      </c>
      <c r="N75" s="16">
        <f t="shared" si="27"/>
        <v>0.29936930555555552</v>
      </c>
      <c r="O75" s="16">
        <f t="shared" si="28"/>
        <v>0.1164861111111111</v>
      </c>
      <c r="P75" s="16">
        <f t="shared" si="29"/>
        <v>0</v>
      </c>
    </row>
    <row r="78" spans="1:16" x14ac:dyDescent="0.35">
      <c r="A78" s="17" t="s">
        <v>14</v>
      </c>
    </row>
    <row r="79" spans="1:16" x14ac:dyDescent="0.35">
      <c r="A79" s="10" t="s">
        <v>15</v>
      </c>
      <c r="B79" s="16">
        <f>AVERAGE(E4:E75)</f>
        <v>3.132574074074074</v>
      </c>
    </row>
    <row r="80" spans="1:16" x14ac:dyDescent="0.35">
      <c r="A80" s="10" t="s">
        <v>16</v>
      </c>
      <c r="B80" s="16">
        <f>AVERAGE(F4:F75)</f>
        <v>0.1164861111111111</v>
      </c>
    </row>
    <row r="82" spans="1:2" x14ac:dyDescent="0.35">
      <c r="A82" s="18" t="s">
        <v>17</v>
      </c>
    </row>
    <row r="84" spans="1:2" x14ac:dyDescent="0.35">
      <c r="A84" s="10" t="s">
        <v>18</v>
      </c>
      <c r="B84" s="16">
        <f>B79+1.02*B80</f>
        <v>3.2513899074074071</v>
      </c>
    </row>
    <row r="85" spans="1:2" x14ac:dyDescent="0.35">
      <c r="A85" s="10" t="s">
        <v>19</v>
      </c>
      <c r="B85" s="16">
        <f>B79-1.02*B80</f>
        <v>3.0137582407407408</v>
      </c>
    </row>
    <row r="86" spans="1:2" x14ac:dyDescent="0.35">
      <c r="A86" s="10" t="s">
        <v>20</v>
      </c>
      <c r="B86" s="16">
        <f>2.57*B80</f>
        <v>0.29936930555555552</v>
      </c>
    </row>
    <row r="87" spans="1:2" x14ac:dyDescent="0.35">
      <c r="A87" s="10" t="s">
        <v>21</v>
      </c>
      <c r="B87" s="16">
        <f>0*B80</f>
        <v>0</v>
      </c>
    </row>
  </sheetData>
  <mergeCells count="1">
    <mergeCell ref="A1:L1"/>
  </mergeCells>
  <pageMargins left="0.75" right="0.75" top="1" bottom="1" header="0.5" footer="0.5"/>
  <ignoredErrors>
    <ignoredError sqref="E56:E72 E50:E55 E73:E75 F50:F75 F4 F5:F49 E4:E33 E34:E49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7"/>
  <sheetViews>
    <sheetView workbookViewId="0">
      <selection sqref="A1:L1"/>
    </sheetView>
  </sheetViews>
  <sheetFormatPr defaultRowHeight="14.5" x14ac:dyDescent="0.35"/>
  <cols>
    <col min="1" max="1" width="10" style="10" customWidth="1"/>
    <col min="2" max="4" width="9" style="10" customWidth="1"/>
    <col min="5" max="6" width="16" style="10" customWidth="1"/>
    <col min="7" max="7" width="14" style="10" customWidth="1"/>
    <col min="8" max="8" width="12" style="10" customWidth="1"/>
    <col min="9" max="9" width="3" style="10" customWidth="1"/>
    <col min="10" max="12" width="11" style="10" customWidth="1"/>
    <col min="13" max="13" width="8.7265625" style="10"/>
    <col min="14" max="16" width="9" style="10" customWidth="1"/>
    <col min="17" max="16384" width="8.7265625" style="10"/>
  </cols>
  <sheetData>
    <row r="1" spans="1:16" ht="17" x14ac:dyDescent="0.4">
      <c r="A1" s="8" t="s">
        <v>43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6" ht="29" x14ac:dyDescent="0.35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/>
      <c r="J3" s="11" t="s">
        <v>8</v>
      </c>
      <c r="K3" s="11" t="s">
        <v>9</v>
      </c>
      <c r="L3" s="11" t="s">
        <v>10</v>
      </c>
      <c r="N3" s="12" t="s">
        <v>11</v>
      </c>
      <c r="O3" s="12" t="s">
        <v>12</v>
      </c>
      <c r="P3" s="12" t="s">
        <v>13</v>
      </c>
    </row>
    <row r="4" spans="1:16" x14ac:dyDescent="0.35">
      <c r="A4" s="13">
        <v>1</v>
      </c>
      <c r="B4" s="13">
        <v>3.0390000000000001</v>
      </c>
      <c r="C4" s="13">
        <v>3.0110000000000001</v>
      </c>
      <c r="D4" s="13">
        <v>3.0950000000000002</v>
      </c>
      <c r="E4" s="14">
        <f t="shared" ref="E4:E35" si="0">AVERAGE(B4:D4)</f>
        <v>3.0483333333333338</v>
      </c>
      <c r="F4" s="14">
        <f t="shared" ref="F4:F35" si="1">MAX(B4:D4)-MIN(B4:D4)</f>
        <v>8.4000000000000075E-2</v>
      </c>
      <c r="G4" s="15" t="str">
        <f t="shared" ref="G4:G35" si="2">IF(OR(E4&gt;$B$84,E4&lt;$B$85),"OUT","ok")</f>
        <v>ok</v>
      </c>
      <c r="H4" s="15" t="str">
        <f t="shared" ref="H4:H35" si="3">IF(OR(F4&gt;$B$86,F4&lt;$B$87),"OUT","ok")</f>
        <v>ok</v>
      </c>
      <c r="J4" s="16">
        <f t="shared" ref="J4:J35" si="4">$B$84</f>
        <v>3.1302836111111101</v>
      </c>
      <c r="K4" s="16">
        <f t="shared" ref="K4:K35" si="5">$B$79</f>
        <v>3.0612777777777769</v>
      </c>
      <c r="L4" s="16">
        <f t="shared" ref="L4:L35" si="6">$B$85</f>
        <v>2.9922719444444437</v>
      </c>
      <c r="N4" s="16">
        <f t="shared" ref="N4:N35" si="7">$B$86</f>
        <v>0.1738676388888889</v>
      </c>
      <c r="O4" s="16">
        <f t="shared" ref="O4:O35" si="8">$B$80</f>
        <v>6.7652777777777784E-2</v>
      </c>
      <c r="P4" s="16">
        <f t="shared" ref="P4:P35" si="9">$B$87</f>
        <v>0</v>
      </c>
    </row>
    <row r="5" spans="1:16" x14ac:dyDescent="0.35">
      <c r="A5" s="13">
        <v>2</v>
      </c>
      <c r="B5" s="13">
        <v>3.0409999999999999</v>
      </c>
      <c r="C5" s="13">
        <v>3.0710000000000002</v>
      </c>
      <c r="D5" s="13">
        <v>3.0489999999999999</v>
      </c>
      <c r="E5" s="14">
        <f t="shared" si="0"/>
        <v>3.0536666666666665</v>
      </c>
      <c r="F5" s="14">
        <f t="shared" si="1"/>
        <v>3.0000000000000249E-2</v>
      </c>
      <c r="G5" s="15" t="str">
        <f t="shared" si="2"/>
        <v>ok</v>
      </c>
      <c r="H5" s="15" t="str">
        <f t="shared" si="3"/>
        <v>ok</v>
      </c>
      <c r="J5" s="16">
        <f t="shared" si="4"/>
        <v>3.1302836111111101</v>
      </c>
      <c r="K5" s="16">
        <f t="shared" si="5"/>
        <v>3.0612777777777769</v>
      </c>
      <c r="L5" s="16">
        <f t="shared" si="6"/>
        <v>2.9922719444444437</v>
      </c>
      <c r="N5" s="16">
        <f t="shared" si="7"/>
        <v>0.1738676388888889</v>
      </c>
      <c r="O5" s="16">
        <f t="shared" si="8"/>
        <v>6.7652777777777784E-2</v>
      </c>
      <c r="P5" s="16">
        <f t="shared" si="9"/>
        <v>0</v>
      </c>
    </row>
    <row r="6" spans="1:16" x14ac:dyDescent="0.35">
      <c r="A6" s="13">
        <v>3</v>
      </c>
      <c r="B6" s="13">
        <v>3.0470000000000002</v>
      </c>
      <c r="C6" s="13">
        <v>3.089</v>
      </c>
      <c r="D6" s="13">
        <v>3.1019999999999999</v>
      </c>
      <c r="E6" s="14">
        <f t="shared" si="0"/>
        <v>3.079333333333333</v>
      </c>
      <c r="F6" s="14">
        <f t="shared" si="1"/>
        <v>5.4999999999999716E-2</v>
      </c>
      <c r="G6" s="15" t="str">
        <f t="shared" si="2"/>
        <v>ok</v>
      </c>
      <c r="H6" s="15" t="str">
        <f t="shared" si="3"/>
        <v>ok</v>
      </c>
      <c r="J6" s="16">
        <f t="shared" si="4"/>
        <v>3.1302836111111101</v>
      </c>
      <c r="K6" s="16">
        <f t="shared" si="5"/>
        <v>3.0612777777777769</v>
      </c>
      <c r="L6" s="16">
        <f t="shared" si="6"/>
        <v>2.9922719444444437</v>
      </c>
      <c r="N6" s="16">
        <f t="shared" si="7"/>
        <v>0.1738676388888889</v>
      </c>
      <c r="O6" s="16">
        <f t="shared" si="8"/>
        <v>6.7652777777777784E-2</v>
      </c>
      <c r="P6" s="16">
        <f t="shared" si="9"/>
        <v>0</v>
      </c>
    </row>
    <row r="7" spans="1:16" x14ac:dyDescent="0.35">
      <c r="A7" s="13">
        <v>4</v>
      </c>
      <c r="B7" s="13">
        <v>3.0739999999999998</v>
      </c>
      <c r="C7" s="13">
        <v>3.0470000000000002</v>
      </c>
      <c r="D7" s="13">
        <v>3.0190000000000001</v>
      </c>
      <c r="E7" s="14">
        <f t="shared" si="0"/>
        <v>3.0466666666666669</v>
      </c>
      <c r="F7" s="14">
        <f t="shared" si="1"/>
        <v>5.4999999999999716E-2</v>
      </c>
      <c r="G7" s="15" t="str">
        <f t="shared" si="2"/>
        <v>ok</v>
      </c>
      <c r="H7" s="15" t="str">
        <f t="shared" si="3"/>
        <v>ok</v>
      </c>
      <c r="J7" s="16">
        <f t="shared" si="4"/>
        <v>3.1302836111111101</v>
      </c>
      <c r="K7" s="16">
        <f t="shared" si="5"/>
        <v>3.0612777777777769</v>
      </c>
      <c r="L7" s="16">
        <f t="shared" si="6"/>
        <v>2.9922719444444437</v>
      </c>
      <c r="N7" s="16">
        <f t="shared" si="7"/>
        <v>0.1738676388888889</v>
      </c>
      <c r="O7" s="16">
        <f t="shared" si="8"/>
        <v>6.7652777777777784E-2</v>
      </c>
      <c r="P7" s="16">
        <f t="shared" si="9"/>
        <v>0</v>
      </c>
    </row>
    <row r="8" spans="1:16" x14ac:dyDescent="0.35">
      <c r="A8" s="13">
        <v>5</v>
      </c>
      <c r="B8" s="13">
        <v>3.081</v>
      </c>
      <c r="C8" s="13">
        <v>3.109</v>
      </c>
      <c r="D8" s="13">
        <v>3.01</v>
      </c>
      <c r="E8" s="14">
        <f t="shared" si="0"/>
        <v>3.0666666666666664</v>
      </c>
      <c r="F8" s="14">
        <f t="shared" si="1"/>
        <v>9.9000000000000199E-2</v>
      </c>
      <c r="G8" s="15" t="str">
        <f t="shared" si="2"/>
        <v>ok</v>
      </c>
      <c r="H8" s="15" t="str">
        <f t="shared" si="3"/>
        <v>ok</v>
      </c>
      <c r="J8" s="16">
        <f t="shared" si="4"/>
        <v>3.1302836111111101</v>
      </c>
      <c r="K8" s="16">
        <f t="shared" si="5"/>
        <v>3.0612777777777769</v>
      </c>
      <c r="L8" s="16">
        <f t="shared" si="6"/>
        <v>2.9922719444444437</v>
      </c>
      <c r="N8" s="16">
        <f t="shared" si="7"/>
        <v>0.1738676388888889</v>
      </c>
      <c r="O8" s="16">
        <f t="shared" si="8"/>
        <v>6.7652777777777784E-2</v>
      </c>
      <c r="P8" s="16">
        <f t="shared" si="9"/>
        <v>0</v>
      </c>
    </row>
    <row r="9" spans="1:16" x14ac:dyDescent="0.35">
      <c r="A9" s="13">
        <v>6</v>
      </c>
      <c r="B9" s="13">
        <v>3.0179999999999998</v>
      </c>
      <c r="C9" s="13">
        <v>3.1480000000000001</v>
      </c>
      <c r="D9" s="13">
        <v>3.03</v>
      </c>
      <c r="E9" s="14">
        <f t="shared" si="0"/>
        <v>3.0653333333333332</v>
      </c>
      <c r="F9" s="14">
        <f t="shared" si="1"/>
        <v>0.13000000000000034</v>
      </c>
      <c r="G9" s="15" t="str">
        <f t="shared" si="2"/>
        <v>ok</v>
      </c>
      <c r="H9" s="15" t="str">
        <f t="shared" si="3"/>
        <v>ok</v>
      </c>
      <c r="J9" s="16">
        <f t="shared" si="4"/>
        <v>3.1302836111111101</v>
      </c>
      <c r="K9" s="16">
        <f t="shared" si="5"/>
        <v>3.0612777777777769</v>
      </c>
      <c r="L9" s="16">
        <f t="shared" si="6"/>
        <v>2.9922719444444437</v>
      </c>
      <c r="N9" s="16">
        <f t="shared" si="7"/>
        <v>0.1738676388888889</v>
      </c>
      <c r="O9" s="16">
        <f t="shared" si="8"/>
        <v>6.7652777777777784E-2</v>
      </c>
      <c r="P9" s="16">
        <f t="shared" si="9"/>
        <v>0</v>
      </c>
    </row>
    <row r="10" spans="1:16" x14ac:dyDescent="0.35">
      <c r="A10" s="13">
        <v>7</v>
      </c>
      <c r="B10" s="13">
        <v>3.0609999999999999</v>
      </c>
      <c r="C10" s="13">
        <v>3.093</v>
      </c>
      <c r="D10" s="13">
        <v>3.0939999999999999</v>
      </c>
      <c r="E10" s="14">
        <f t="shared" si="0"/>
        <v>3.0826666666666664</v>
      </c>
      <c r="F10" s="14">
        <f t="shared" si="1"/>
        <v>3.2999999999999918E-2</v>
      </c>
      <c r="G10" s="15" t="str">
        <f t="shared" si="2"/>
        <v>ok</v>
      </c>
      <c r="H10" s="15" t="str">
        <f t="shared" si="3"/>
        <v>ok</v>
      </c>
      <c r="J10" s="16">
        <f t="shared" si="4"/>
        <v>3.1302836111111101</v>
      </c>
      <c r="K10" s="16">
        <f t="shared" si="5"/>
        <v>3.0612777777777769</v>
      </c>
      <c r="L10" s="16">
        <f t="shared" si="6"/>
        <v>2.9922719444444437</v>
      </c>
      <c r="N10" s="16">
        <f t="shared" si="7"/>
        <v>0.1738676388888889</v>
      </c>
      <c r="O10" s="16">
        <f t="shared" si="8"/>
        <v>6.7652777777777784E-2</v>
      </c>
      <c r="P10" s="16">
        <f t="shared" si="9"/>
        <v>0</v>
      </c>
    </row>
    <row r="11" spans="1:16" x14ac:dyDescent="0.35">
      <c r="A11" s="13">
        <v>8</v>
      </c>
      <c r="B11" s="13">
        <v>3.0750000000000002</v>
      </c>
      <c r="C11" s="13">
        <v>3.08</v>
      </c>
      <c r="D11" s="13">
        <v>3.0739999999999998</v>
      </c>
      <c r="E11" s="14">
        <f t="shared" si="0"/>
        <v>3.0763333333333329</v>
      </c>
      <c r="F11" s="14">
        <f t="shared" si="1"/>
        <v>6.0000000000002274E-3</v>
      </c>
      <c r="G11" s="15" t="str">
        <f t="shared" si="2"/>
        <v>ok</v>
      </c>
      <c r="H11" s="15" t="str">
        <f t="shared" si="3"/>
        <v>ok</v>
      </c>
      <c r="J11" s="16">
        <f t="shared" si="4"/>
        <v>3.1302836111111101</v>
      </c>
      <c r="K11" s="16">
        <f t="shared" si="5"/>
        <v>3.0612777777777769</v>
      </c>
      <c r="L11" s="16">
        <f t="shared" si="6"/>
        <v>2.9922719444444437</v>
      </c>
      <c r="N11" s="16">
        <f t="shared" si="7"/>
        <v>0.1738676388888889</v>
      </c>
      <c r="O11" s="16">
        <f t="shared" si="8"/>
        <v>6.7652777777777784E-2</v>
      </c>
      <c r="P11" s="16">
        <f t="shared" si="9"/>
        <v>0</v>
      </c>
    </row>
    <row r="12" spans="1:16" x14ac:dyDescent="0.35">
      <c r="A12" s="13">
        <v>9</v>
      </c>
      <c r="B12" s="13">
        <v>3.0419999999999998</v>
      </c>
      <c r="C12" s="13">
        <v>3.0670000000000002</v>
      </c>
      <c r="D12" s="13">
        <v>3.0190000000000001</v>
      </c>
      <c r="E12" s="14">
        <f t="shared" si="0"/>
        <v>3.0426666666666669</v>
      </c>
      <c r="F12" s="14">
        <f t="shared" si="1"/>
        <v>4.8000000000000043E-2</v>
      </c>
      <c r="G12" s="15" t="str">
        <f t="shared" si="2"/>
        <v>ok</v>
      </c>
      <c r="H12" s="15" t="str">
        <f t="shared" si="3"/>
        <v>ok</v>
      </c>
      <c r="J12" s="16">
        <f t="shared" si="4"/>
        <v>3.1302836111111101</v>
      </c>
      <c r="K12" s="16">
        <f t="shared" si="5"/>
        <v>3.0612777777777769</v>
      </c>
      <c r="L12" s="16">
        <f t="shared" si="6"/>
        <v>2.9922719444444437</v>
      </c>
      <c r="N12" s="16">
        <f t="shared" si="7"/>
        <v>0.1738676388888889</v>
      </c>
      <c r="O12" s="16">
        <f t="shared" si="8"/>
        <v>6.7652777777777784E-2</v>
      </c>
      <c r="P12" s="16">
        <f t="shared" si="9"/>
        <v>0</v>
      </c>
    </row>
    <row r="13" spans="1:16" x14ac:dyDescent="0.35">
      <c r="A13" s="13">
        <v>10</v>
      </c>
      <c r="B13" s="13">
        <v>3.0830000000000002</v>
      </c>
      <c r="C13" s="13">
        <v>3.133</v>
      </c>
      <c r="D13" s="13">
        <v>3.0569999999999999</v>
      </c>
      <c r="E13" s="14">
        <f t="shared" si="0"/>
        <v>3.0909999999999997</v>
      </c>
      <c r="F13" s="14">
        <f t="shared" si="1"/>
        <v>7.6000000000000068E-2</v>
      </c>
      <c r="G13" s="15" t="str">
        <f t="shared" si="2"/>
        <v>ok</v>
      </c>
      <c r="H13" s="15" t="str">
        <f t="shared" si="3"/>
        <v>ok</v>
      </c>
      <c r="J13" s="16">
        <f t="shared" si="4"/>
        <v>3.1302836111111101</v>
      </c>
      <c r="K13" s="16">
        <f t="shared" si="5"/>
        <v>3.0612777777777769</v>
      </c>
      <c r="L13" s="16">
        <f t="shared" si="6"/>
        <v>2.9922719444444437</v>
      </c>
      <c r="N13" s="16">
        <f t="shared" si="7"/>
        <v>0.1738676388888889</v>
      </c>
      <c r="O13" s="16">
        <f t="shared" si="8"/>
        <v>6.7652777777777784E-2</v>
      </c>
      <c r="P13" s="16">
        <f t="shared" si="9"/>
        <v>0</v>
      </c>
    </row>
    <row r="14" spans="1:16" x14ac:dyDescent="0.35">
      <c r="A14" s="13">
        <v>11</v>
      </c>
      <c r="B14" s="13">
        <v>3.0569999999999999</v>
      </c>
      <c r="C14" s="13">
        <v>3.1190000000000002</v>
      </c>
      <c r="D14" s="13">
        <v>3.105</v>
      </c>
      <c r="E14" s="14">
        <f t="shared" si="0"/>
        <v>3.093666666666667</v>
      </c>
      <c r="F14" s="14">
        <f t="shared" si="1"/>
        <v>6.2000000000000277E-2</v>
      </c>
      <c r="G14" s="15" t="str">
        <f t="shared" si="2"/>
        <v>ok</v>
      </c>
      <c r="H14" s="15" t="str">
        <f t="shared" si="3"/>
        <v>ok</v>
      </c>
      <c r="J14" s="16">
        <f t="shared" si="4"/>
        <v>3.1302836111111101</v>
      </c>
      <c r="K14" s="16">
        <f t="shared" si="5"/>
        <v>3.0612777777777769</v>
      </c>
      <c r="L14" s="16">
        <f t="shared" si="6"/>
        <v>2.9922719444444437</v>
      </c>
      <c r="N14" s="16">
        <f t="shared" si="7"/>
        <v>0.1738676388888889</v>
      </c>
      <c r="O14" s="16">
        <f t="shared" si="8"/>
        <v>6.7652777777777784E-2</v>
      </c>
      <c r="P14" s="16">
        <f t="shared" si="9"/>
        <v>0</v>
      </c>
    </row>
    <row r="15" spans="1:16" x14ac:dyDescent="0.35">
      <c r="A15" s="13">
        <v>12</v>
      </c>
      <c r="B15" s="13">
        <v>3.0859999999999999</v>
      </c>
      <c r="C15" s="13">
        <v>3.04</v>
      </c>
      <c r="D15" s="13">
        <v>3.0209999999999999</v>
      </c>
      <c r="E15" s="14">
        <f t="shared" si="0"/>
        <v>3.0489999999999995</v>
      </c>
      <c r="F15" s="14">
        <f t="shared" si="1"/>
        <v>6.4999999999999947E-2</v>
      </c>
      <c r="G15" s="15" t="str">
        <f t="shared" si="2"/>
        <v>ok</v>
      </c>
      <c r="H15" s="15" t="str">
        <f t="shared" si="3"/>
        <v>ok</v>
      </c>
      <c r="J15" s="16">
        <f t="shared" si="4"/>
        <v>3.1302836111111101</v>
      </c>
      <c r="K15" s="16">
        <f t="shared" si="5"/>
        <v>3.0612777777777769</v>
      </c>
      <c r="L15" s="16">
        <f t="shared" si="6"/>
        <v>2.9922719444444437</v>
      </c>
      <c r="N15" s="16">
        <f t="shared" si="7"/>
        <v>0.1738676388888889</v>
      </c>
      <c r="O15" s="16">
        <f t="shared" si="8"/>
        <v>6.7652777777777784E-2</v>
      </c>
      <c r="P15" s="16">
        <f t="shared" si="9"/>
        <v>0</v>
      </c>
    </row>
    <row r="16" spans="1:16" x14ac:dyDescent="0.35">
      <c r="A16" s="13">
        <v>13</v>
      </c>
      <c r="B16" s="13">
        <v>3.0840000000000001</v>
      </c>
      <c r="C16" s="13">
        <v>3.04</v>
      </c>
      <c r="D16" s="13">
        <v>3.0870000000000002</v>
      </c>
      <c r="E16" s="14">
        <f t="shared" si="0"/>
        <v>3.0703333333333336</v>
      </c>
      <c r="F16" s="14">
        <f t="shared" si="1"/>
        <v>4.7000000000000153E-2</v>
      </c>
      <c r="G16" s="15" t="str">
        <f t="shared" si="2"/>
        <v>ok</v>
      </c>
      <c r="H16" s="15" t="str">
        <f t="shared" si="3"/>
        <v>ok</v>
      </c>
      <c r="J16" s="16">
        <f t="shared" si="4"/>
        <v>3.1302836111111101</v>
      </c>
      <c r="K16" s="16">
        <f t="shared" si="5"/>
        <v>3.0612777777777769</v>
      </c>
      <c r="L16" s="16">
        <f t="shared" si="6"/>
        <v>2.9922719444444437</v>
      </c>
      <c r="N16" s="16">
        <f t="shared" si="7"/>
        <v>0.1738676388888889</v>
      </c>
      <c r="O16" s="16">
        <f t="shared" si="8"/>
        <v>6.7652777777777784E-2</v>
      </c>
      <c r="P16" s="16">
        <f t="shared" si="9"/>
        <v>0</v>
      </c>
    </row>
    <row r="17" spans="1:16" x14ac:dyDescent="0.35">
      <c r="A17" s="13">
        <v>14</v>
      </c>
      <c r="B17" s="13">
        <v>3.1219999999999999</v>
      </c>
      <c r="C17" s="13">
        <v>3.056</v>
      </c>
      <c r="D17" s="13">
        <v>3.0329999999999999</v>
      </c>
      <c r="E17" s="14">
        <f t="shared" si="0"/>
        <v>3.0703333333333336</v>
      </c>
      <c r="F17" s="14">
        <f t="shared" si="1"/>
        <v>8.8999999999999968E-2</v>
      </c>
      <c r="G17" s="15" t="str">
        <f t="shared" si="2"/>
        <v>ok</v>
      </c>
      <c r="H17" s="15" t="str">
        <f t="shared" si="3"/>
        <v>ok</v>
      </c>
      <c r="J17" s="16">
        <f t="shared" si="4"/>
        <v>3.1302836111111101</v>
      </c>
      <c r="K17" s="16">
        <f t="shared" si="5"/>
        <v>3.0612777777777769</v>
      </c>
      <c r="L17" s="16">
        <f t="shared" si="6"/>
        <v>2.9922719444444437</v>
      </c>
      <c r="N17" s="16">
        <f t="shared" si="7"/>
        <v>0.1738676388888889</v>
      </c>
      <c r="O17" s="16">
        <f t="shared" si="8"/>
        <v>6.7652777777777784E-2</v>
      </c>
      <c r="P17" s="16">
        <f t="shared" si="9"/>
        <v>0</v>
      </c>
    </row>
    <row r="18" spans="1:16" x14ac:dyDescent="0.35">
      <c r="A18" s="13">
        <v>15</v>
      </c>
      <c r="B18" s="13">
        <v>3.1320000000000001</v>
      </c>
      <c r="C18" s="13">
        <v>2.9870000000000001</v>
      </c>
      <c r="D18" s="13">
        <v>3.048</v>
      </c>
      <c r="E18" s="14">
        <f t="shared" si="0"/>
        <v>3.0556666666666668</v>
      </c>
      <c r="F18" s="14">
        <f t="shared" si="1"/>
        <v>0.14500000000000002</v>
      </c>
      <c r="G18" s="15" t="str">
        <f t="shared" si="2"/>
        <v>ok</v>
      </c>
      <c r="H18" s="15" t="str">
        <f t="shared" si="3"/>
        <v>ok</v>
      </c>
      <c r="J18" s="16">
        <f t="shared" si="4"/>
        <v>3.1302836111111101</v>
      </c>
      <c r="K18" s="16">
        <f t="shared" si="5"/>
        <v>3.0612777777777769</v>
      </c>
      <c r="L18" s="16">
        <f t="shared" si="6"/>
        <v>2.9922719444444437</v>
      </c>
      <c r="N18" s="16">
        <f t="shared" si="7"/>
        <v>0.1738676388888889</v>
      </c>
      <c r="O18" s="16">
        <f t="shared" si="8"/>
        <v>6.7652777777777784E-2</v>
      </c>
      <c r="P18" s="16">
        <f t="shared" si="9"/>
        <v>0</v>
      </c>
    </row>
    <row r="19" spans="1:16" x14ac:dyDescent="0.35">
      <c r="A19" s="13">
        <v>16</v>
      </c>
      <c r="B19" s="13">
        <v>3.0960000000000001</v>
      </c>
      <c r="C19" s="13">
        <v>3.044</v>
      </c>
      <c r="D19" s="13">
        <v>3.1259999999999999</v>
      </c>
      <c r="E19" s="14">
        <f t="shared" si="0"/>
        <v>3.0886666666666667</v>
      </c>
      <c r="F19" s="14">
        <f t="shared" si="1"/>
        <v>8.1999999999999851E-2</v>
      </c>
      <c r="G19" s="15" t="str">
        <f t="shared" si="2"/>
        <v>ok</v>
      </c>
      <c r="H19" s="15" t="str">
        <f t="shared" si="3"/>
        <v>ok</v>
      </c>
      <c r="J19" s="16">
        <f t="shared" si="4"/>
        <v>3.1302836111111101</v>
      </c>
      <c r="K19" s="16">
        <f t="shared" si="5"/>
        <v>3.0612777777777769</v>
      </c>
      <c r="L19" s="16">
        <f t="shared" si="6"/>
        <v>2.9922719444444437</v>
      </c>
      <c r="N19" s="16">
        <f t="shared" si="7"/>
        <v>0.1738676388888889</v>
      </c>
      <c r="O19" s="16">
        <f t="shared" si="8"/>
        <v>6.7652777777777784E-2</v>
      </c>
      <c r="P19" s="16">
        <f t="shared" si="9"/>
        <v>0</v>
      </c>
    </row>
    <row r="20" spans="1:16" x14ac:dyDescent="0.35">
      <c r="A20" s="13">
        <v>17</v>
      </c>
      <c r="B20" s="13">
        <v>3.048</v>
      </c>
      <c r="C20" s="13">
        <v>3.1030000000000002</v>
      </c>
      <c r="D20" s="13">
        <v>3.0569999999999999</v>
      </c>
      <c r="E20" s="14">
        <f t="shared" si="0"/>
        <v>3.0693333333333332</v>
      </c>
      <c r="F20" s="14">
        <f t="shared" si="1"/>
        <v>5.500000000000016E-2</v>
      </c>
      <c r="G20" s="15" t="str">
        <f t="shared" si="2"/>
        <v>ok</v>
      </c>
      <c r="H20" s="15" t="str">
        <f t="shared" si="3"/>
        <v>ok</v>
      </c>
      <c r="J20" s="16">
        <f t="shared" si="4"/>
        <v>3.1302836111111101</v>
      </c>
      <c r="K20" s="16">
        <f t="shared" si="5"/>
        <v>3.0612777777777769</v>
      </c>
      <c r="L20" s="16">
        <f t="shared" si="6"/>
        <v>2.9922719444444437</v>
      </c>
      <c r="N20" s="16">
        <f t="shared" si="7"/>
        <v>0.1738676388888889</v>
      </c>
      <c r="O20" s="16">
        <f t="shared" si="8"/>
        <v>6.7652777777777784E-2</v>
      </c>
      <c r="P20" s="16">
        <f t="shared" si="9"/>
        <v>0</v>
      </c>
    </row>
    <row r="21" spans="1:16" x14ac:dyDescent="0.35">
      <c r="A21" s="13">
        <v>18</v>
      </c>
      <c r="B21" s="13">
        <v>3.0670000000000002</v>
      </c>
      <c r="C21" s="13">
        <v>3.04</v>
      </c>
      <c r="D21" s="13">
        <v>3.1080000000000001</v>
      </c>
      <c r="E21" s="14">
        <f t="shared" si="0"/>
        <v>3.0716666666666668</v>
      </c>
      <c r="F21" s="14">
        <f t="shared" si="1"/>
        <v>6.800000000000006E-2</v>
      </c>
      <c r="G21" s="15" t="str">
        <f t="shared" si="2"/>
        <v>ok</v>
      </c>
      <c r="H21" s="15" t="str">
        <f t="shared" si="3"/>
        <v>ok</v>
      </c>
      <c r="J21" s="16">
        <f t="shared" si="4"/>
        <v>3.1302836111111101</v>
      </c>
      <c r="K21" s="16">
        <f t="shared" si="5"/>
        <v>3.0612777777777769</v>
      </c>
      <c r="L21" s="16">
        <f t="shared" si="6"/>
        <v>2.9922719444444437</v>
      </c>
      <c r="N21" s="16">
        <f t="shared" si="7"/>
        <v>0.1738676388888889</v>
      </c>
      <c r="O21" s="16">
        <f t="shared" si="8"/>
        <v>6.7652777777777784E-2</v>
      </c>
      <c r="P21" s="16">
        <f t="shared" si="9"/>
        <v>0</v>
      </c>
    </row>
    <row r="22" spans="1:16" x14ac:dyDescent="0.35">
      <c r="A22" s="13">
        <v>19</v>
      </c>
      <c r="B22" s="13">
        <v>3.0139999999999998</v>
      </c>
      <c r="C22" s="13">
        <v>3.004</v>
      </c>
      <c r="D22" s="13">
        <v>3.0619999999999998</v>
      </c>
      <c r="E22" s="14">
        <f t="shared" si="0"/>
        <v>3.0266666666666668</v>
      </c>
      <c r="F22" s="14">
        <f t="shared" si="1"/>
        <v>5.7999999999999829E-2</v>
      </c>
      <c r="G22" s="15" t="str">
        <f t="shared" si="2"/>
        <v>ok</v>
      </c>
      <c r="H22" s="15" t="str">
        <f t="shared" si="3"/>
        <v>ok</v>
      </c>
      <c r="J22" s="16">
        <f t="shared" si="4"/>
        <v>3.1302836111111101</v>
      </c>
      <c r="K22" s="16">
        <f t="shared" si="5"/>
        <v>3.0612777777777769</v>
      </c>
      <c r="L22" s="16">
        <f t="shared" si="6"/>
        <v>2.9922719444444437</v>
      </c>
      <c r="N22" s="16">
        <f t="shared" si="7"/>
        <v>0.1738676388888889</v>
      </c>
      <c r="O22" s="16">
        <f t="shared" si="8"/>
        <v>6.7652777777777784E-2</v>
      </c>
      <c r="P22" s="16">
        <f t="shared" si="9"/>
        <v>0</v>
      </c>
    </row>
    <row r="23" spans="1:16" x14ac:dyDescent="0.35">
      <c r="A23" s="13">
        <v>20</v>
      </c>
      <c r="B23" s="13">
        <v>3.089</v>
      </c>
      <c r="C23" s="13">
        <v>3.0059999999999998</v>
      </c>
      <c r="D23" s="13">
        <v>3.0379999999999998</v>
      </c>
      <c r="E23" s="14">
        <f t="shared" si="0"/>
        <v>3.0443333333333329</v>
      </c>
      <c r="F23" s="14">
        <f t="shared" si="1"/>
        <v>8.3000000000000185E-2</v>
      </c>
      <c r="G23" s="15" t="str">
        <f t="shared" si="2"/>
        <v>ok</v>
      </c>
      <c r="H23" s="15" t="str">
        <f t="shared" si="3"/>
        <v>ok</v>
      </c>
      <c r="J23" s="16">
        <f t="shared" si="4"/>
        <v>3.1302836111111101</v>
      </c>
      <c r="K23" s="16">
        <f t="shared" si="5"/>
        <v>3.0612777777777769</v>
      </c>
      <c r="L23" s="16">
        <f t="shared" si="6"/>
        <v>2.9922719444444437</v>
      </c>
      <c r="N23" s="16">
        <f t="shared" si="7"/>
        <v>0.1738676388888889</v>
      </c>
      <c r="O23" s="16">
        <f t="shared" si="8"/>
        <v>6.7652777777777784E-2</v>
      </c>
      <c r="P23" s="16">
        <f t="shared" si="9"/>
        <v>0</v>
      </c>
    </row>
    <row r="24" spans="1:16" x14ac:dyDescent="0.35">
      <c r="A24" s="13">
        <v>21</v>
      </c>
      <c r="B24" s="13">
        <v>3.0939999999999999</v>
      </c>
      <c r="C24" s="13">
        <v>3.0659999999999998</v>
      </c>
      <c r="D24" s="13">
        <v>3.0049999999999999</v>
      </c>
      <c r="E24" s="14">
        <f t="shared" si="0"/>
        <v>3.0549999999999997</v>
      </c>
      <c r="F24" s="14">
        <f t="shared" si="1"/>
        <v>8.8999999999999968E-2</v>
      </c>
      <c r="G24" s="15" t="str">
        <f t="shared" si="2"/>
        <v>ok</v>
      </c>
      <c r="H24" s="15" t="str">
        <f t="shared" si="3"/>
        <v>ok</v>
      </c>
      <c r="J24" s="16">
        <f t="shared" si="4"/>
        <v>3.1302836111111101</v>
      </c>
      <c r="K24" s="16">
        <f t="shared" si="5"/>
        <v>3.0612777777777769</v>
      </c>
      <c r="L24" s="16">
        <f t="shared" si="6"/>
        <v>2.9922719444444437</v>
      </c>
      <c r="N24" s="16">
        <f t="shared" si="7"/>
        <v>0.1738676388888889</v>
      </c>
      <c r="O24" s="16">
        <f t="shared" si="8"/>
        <v>6.7652777777777784E-2</v>
      </c>
      <c r="P24" s="16">
        <f t="shared" si="9"/>
        <v>0</v>
      </c>
    </row>
    <row r="25" spans="1:16" x14ac:dyDescent="0.35">
      <c r="A25" s="13">
        <v>22</v>
      </c>
      <c r="B25" s="13">
        <v>3.0310000000000001</v>
      </c>
      <c r="C25" s="13">
        <v>3.1389999999999998</v>
      </c>
      <c r="D25" s="13">
        <v>3.1059999999999999</v>
      </c>
      <c r="E25" s="14">
        <f t="shared" si="0"/>
        <v>3.0920000000000001</v>
      </c>
      <c r="F25" s="14">
        <f t="shared" si="1"/>
        <v>0.10799999999999965</v>
      </c>
      <c r="G25" s="15" t="str">
        <f t="shared" si="2"/>
        <v>ok</v>
      </c>
      <c r="H25" s="15" t="str">
        <f t="shared" si="3"/>
        <v>ok</v>
      </c>
      <c r="J25" s="16">
        <f t="shared" si="4"/>
        <v>3.1302836111111101</v>
      </c>
      <c r="K25" s="16">
        <f t="shared" si="5"/>
        <v>3.0612777777777769</v>
      </c>
      <c r="L25" s="16">
        <f t="shared" si="6"/>
        <v>2.9922719444444437</v>
      </c>
      <c r="N25" s="16">
        <f t="shared" si="7"/>
        <v>0.1738676388888889</v>
      </c>
      <c r="O25" s="16">
        <f t="shared" si="8"/>
        <v>6.7652777777777784E-2</v>
      </c>
      <c r="P25" s="16">
        <f t="shared" si="9"/>
        <v>0</v>
      </c>
    </row>
    <row r="26" spans="1:16" x14ac:dyDescent="0.35">
      <c r="A26" s="13">
        <v>23</v>
      </c>
      <c r="B26" s="13">
        <v>3.0510000000000002</v>
      </c>
      <c r="C26" s="13">
        <v>3.0859999999999999</v>
      </c>
      <c r="D26" s="13">
        <v>3.0579999999999998</v>
      </c>
      <c r="E26" s="14">
        <f t="shared" si="0"/>
        <v>3.0649999999999999</v>
      </c>
      <c r="F26" s="14">
        <f t="shared" si="1"/>
        <v>3.4999999999999698E-2</v>
      </c>
      <c r="G26" s="15" t="str">
        <f t="shared" si="2"/>
        <v>ok</v>
      </c>
      <c r="H26" s="15" t="str">
        <f t="shared" si="3"/>
        <v>ok</v>
      </c>
      <c r="J26" s="16">
        <f t="shared" si="4"/>
        <v>3.1302836111111101</v>
      </c>
      <c r="K26" s="16">
        <f t="shared" si="5"/>
        <v>3.0612777777777769</v>
      </c>
      <c r="L26" s="16">
        <f t="shared" si="6"/>
        <v>2.9922719444444437</v>
      </c>
      <c r="N26" s="16">
        <f t="shared" si="7"/>
        <v>0.1738676388888889</v>
      </c>
      <c r="O26" s="16">
        <f t="shared" si="8"/>
        <v>6.7652777777777784E-2</v>
      </c>
      <c r="P26" s="16">
        <f t="shared" si="9"/>
        <v>0</v>
      </c>
    </row>
    <row r="27" spans="1:16" x14ac:dyDescent="0.35">
      <c r="A27" s="13">
        <v>24</v>
      </c>
      <c r="B27" s="13">
        <v>3.0859999999999999</v>
      </c>
      <c r="C27" s="13">
        <v>3.0179999999999998</v>
      </c>
      <c r="D27" s="13">
        <v>3.1040000000000001</v>
      </c>
      <c r="E27" s="14">
        <f t="shared" si="0"/>
        <v>3.0693333333333328</v>
      </c>
      <c r="F27" s="14">
        <f t="shared" si="1"/>
        <v>8.6000000000000298E-2</v>
      </c>
      <c r="G27" s="15" t="str">
        <f t="shared" si="2"/>
        <v>ok</v>
      </c>
      <c r="H27" s="15" t="str">
        <f t="shared" si="3"/>
        <v>ok</v>
      </c>
      <c r="J27" s="16">
        <f t="shared" si="4"/>
        <v>3.1302836111111101</v>
      </c>
      <c r="K27" s="16">
        <f t="shared" si="5"/>
        <v>3.0612777777777769</v>
      </c>
      <c r="L27" s="16">
        <f t="shared" si="6"/>
        <v>2.9922719444444437</v>
      </c>
      <c r="N27" s="16">
        <f t="shared" si="7"/>
        <v>0.1738676388888889</v>
      </c>
      <c r="O27" s="16">
        <f t="shared" si="8"/>
        <v>6.7652777777777784E-2</v>
      </c>
      <c r="P27" s="16">
        <f t="shared" si="9"/>
        <v>0</v>
      </c>
    </row>
    <row r="28" spans="1:16" x14ac:dyDescent="0.35">
      <c r="A28" s="13">
        <v>25</v>
      </c>
      <c r="B28" s="13">
        <v>3.0449999999999999</v>
      </c>
      <c r="C28" s="13">
        <v>3.0259999999999998</v>
      </c>
      <c r="D28" s="13">
        <v>3.036</v>
      </c>
      <c r="E28" s="14">
        <f t="shared" si="0"/>
        <v>3.0356666666666663</v>
      </c>
      <c r="F28" s="14">
        <f t="shared" si="1"/>
        <v>1.9000000000000128E-2</v>
      </c>
      <c r="G28" s="15" t="str">
        <f t="shared" si="2"/>
        <v>ok</v>
      </c>
      <c r="H28" s="15" t="str">
        <f t="shared" si="3"/>
        <v>ok</v>
      </c>
      <c r="J28" s="16">
        <f t="shared" si="4"/>
        <v>3.1302836111111101</v>
      </c>
      <c r="K28" s="16">
        <f t="shared" si="5"/>
        <v>3.0612777777777769</v>
      </c>
      <c r="L28" s="16">
        <f t="shared" si="6"/>
        <v>2.9922719444444437</v>
      </c>
      <c r="N28" s="16">
        <f t="shared" si="7"/>
        <v>0.1738676388888889</v>
      </c>
      <c r="O28" s="16">
        <f t="shared" si="8"/>
        <v>6.7652777777777784E-2</v>
      </c>
      <c r="P28" s="16">
        <f t="shared" si="9"/>
        <v>0</v>
      </c>
    </row>
    <row r="29" spans="1:16" x14ac:dyDescent="0.35">
      <c r="A29" s="13">
        <v>26</v>
      </c>
      <c r="B29" s="13">
        <v>3.0390000000000001</v>
      </c>
      <c r="C29" s="13">
        <v>2.98</v>
      </c>
      <c r="D29" s="13">
        <v>3.0339999999999998</v>
      </c>
      <c r="E29" s="14">
        <f t="shared" si="0"/>
        <v>3.0176666666666669</v>
      </c>
      <c r="F29" s="14">
        <f t="shared" si="1"/>
        <v>5.9000000000000163E-2</v>
      </c>
      <c r="G29" s="15" t="str">
        <f t="shared" si="2"/>
        <v>ok</v>
      </c>
      <c r="H29" s="15" t="str">
        <f t="shared" si="3"/>
        <v>ok</v>
      </c>
      <c r="J29" s="16">
        <f t="shared" si="4"/>
        <v>3.1302836111111101</v>
      </c>
      <c r="K29" s="16">
        <f t="shared" si="5"/>
        <v>3.0612777777777769</v>
      </c>
      <c r="L29" s="16">
        <f t="shared" si="6"/>
        <v>2.9922719444444437</v>
      </c>
      <c r="N29" s="16">
        <f t="shared" si="7"/>
        <v>0.1738676388888889</v>
      </c>
      <c r="O29" s="16">
        <f t="shared" si="8"/>
        <v>6.7652777777777784E-2</v>
      </c>
      <c r="P29" s="16">
        <f t="shared" si="9"/>
        <v>0</v>
      </c>
    </row>
    <row r="30" spans="1:16" x14ac:dyDescent="0.35">
      <c r="A30" s="13">
        <v>27</v>
      </c>
      <c r="B30" s="13">
        <v>3.0470000000000002</v>
      </c>
      <c r="C30" s="13">
        <v>3.03</v>
      </c>
      <c r="D30" s="13">
        <v>3.0990000000000002</v>
      </c>
      <c r="E30" s="14">
        <f t="shared" si="0"/>
        <v>3.0586666666666669</v>
      </c>
      <c r="F30" s="14">
        <f t="shared" si="1"/>
        <v>6.9000000000000394E-2</v>
      </c>
      <c r="G30" s="15" t="str">
        <f t="shared" si="2"/>
        <v>ok</v>
      </c>
      <c r="H30" s="15" t="str">
        <f t="shared" si="3"/>
        <v>ok</v>
      </c>
      <c r="J30" s="16">
        <f t="shared" si="4"/>
        <v>3.1302836111111101</v>
      </c>
      <c r="K30" s="16">
        <f t="shared" si="5"/>
        <v>3.0612777777777769</v>
      </c>
      <c r="L30" s="16">
        <f t="shared" si="6"/>
        <v>2.9922719444444437</v>
      </c>
      <c r="N30" s="16">
        <f t="shared" si="7"/>
        <v>0.1738676388888889</v>
      </c>
      <c r="O30" s="16">
        <f t="shared" si="8"/>
        <v>6.7652777777777784E-2</v>
      </c>
      <c r="P30" s="16">
        <f t="shared" si="9"/>
        <v>0</v>
      </c>
    </row>
    <row r="31" spans="1:16" x14ac:dyDescent="0.35">
      <c r="A31" s="13">
        <v>28</v>
      </c>
      <c r="B31" s="13">
        <v>2.9609999999999999</v>
      </c>
      <c r="C31" s="13">
        <v>3.0760000000000001</v>
      </c>
      <c r="D31" s="13">
        <v>3.0150000000000001</v>
      </c>
      <c r="E31" s="14">
        <f t="shared" si="0"/>
        <v>3.0173333333333332</v>
      </c>
      <c r="F31" s="14">
        <f t="shared" si="1"/>
        <v>0.11500000000000021</v>
      </c>
      <c r="G31" s="15" t="str">
        <f t="shared" si="2"/>
        <v>ok</v>
      </c>
      <c r="H31" s="15" t="str">
        <f t="shared" si="3"/>
        <v>ok</v>
      </c>
      <c r="J31" s="16">
        <f t="shared" si="4"/>
        <v>3.1302836111111101</v>
      </c>
      <c r="K31" s="16">
        <f t="shared" si="5"/>
        <v>3.0612777777777769</v>
      </c>
      <c r="L31" s="16">
        <f t="shared" si="6"/>
        <v>2.9922719444444437</v>
      </c>
      <c r="N31" s="16">
        <f t="shared" si="7"/>
        <v>0.1738676388888889</v>
      </c>
      <c r="O31" s="16">
        <f t="shared" si="8"/>
        <v>6.7652777777777784E-2</v>
      </c>
      <c r="P31" s="16">
        <f t="shared" si="9"/>
        <v>0</v>
      </c>
    </row>
    <row r="32" spans="1:16" x14ac:dyDescent="0.35">
      <c r="A32" s="13">
        <v>29</v>
      </c>
      <c r="B32" s="13">
        <v>3.044</v>
      </c>
      <c r="C32" s="13">
        <v>3.0529999999999999</v>
      </c>
      <c r="D32" s="13">
        <v>3.0270000000000001</v>
      </c>
      <c r="E32" s="14">
        <f t="shared" si="0"/>
        <v>3.0413333333333328</v>
      </c>
      <c r="F32" s="14">
        <f t="shared" si="1"/>
        <v>2.5999999999999801E-2</v>
      </c>
      <c r="G32" s="15" t="str">
        <f t="shared" si="2"/>
        <v>ok</v>
      </c>
      <c r="H32" s="15" t="str">
        <f t="shared" si="3"/>
        <v>ok</v>
      </c>
      <c r="J32" s="16">
        <f t="shared" si="4"/>
        <v>3.1302836111111101</v>
      </c>
      <c r="K32" s="16">
        <f t="shared" si="5"/>
        <v>3.0612777777777769</v>
      </c>
      <c r="L32" s="16">
        <f t="shared" si="6"/>
        <v>2.9922719444444437</v>
      </c>
      <c r="N32" s="16">
        <f t="shared" si="7"/>
        <v>0.1738676388888889</v>
      </c>
      <c r="O32" s="16">
        <f t="shared" si="8"/>
        <v>6.7652777777777784E-2</v>
      </c>
      <c r="P32" s="16">
        <f t="shared" si="9"/>
        <v>0</v>
      </c>
    </row>
    <row r="33" spans="1:16" x14ac:dyDescent="0.35">
      <c r="A33" s="13">
        <v>30</v>
      </c>
      <c r="B33" s="13">
        <v>3.0510000000000002</v>
      </c>
      <c r="C33" s="13">
        <v>2.9820000000000002</v>
      </c>
      <c r="D33" s="13">
        <v>3.137</v>
      </c>
      <c r="E33" s="14">
        <f t="shared" si="0"/>
        <v>3.0566666666666666</v>
      </c>
      <c r="F33" s="14">
        <f t="shared" si="1"/>
        <v>0.1549999999999998</v>
      </c>
      <c r="G33" s="15" t="str">
        <f t="shared" si="2"/>
        <v>ok</v>
      </c>
      <c r="H33" s="15" t="str">
        <f t="shared" si="3"/>
        <v>ok</v>
      </c>
      <c r="J33" s="16">
        <f t="shared" si="4"/>
        <v>3.1302836111111101</v>
      </c>
      <c r="K33" s="16">
        <f t="shared" si="5"/>
        <v>3.0612777777777769</v>
      </c>
      <c r="L33" s="16">
        <f t="shared" si="6"/>
        <v>2.9922719444444437</v>
      </c>
      <c r="N33" s="16">
        <f t="shared" si="7"/>
        <v>0.1738676388888889</v>
      </c>
      <c r="O33" s="16">
        <f t="shared" si="8"/>
        <v>6.7652777777777784E-2</v>
      </c>
      <c r="P33" s="16">
        <f t="shared" si="9"/>
        <v>0</v>
      </c>
    </row>
    <row r="34" spans="1:16" x14ac:dyDescent="0.35">
      <c r="A34" s="13">
        <v>31</v>
      </c>
      <c r="B34" s="13">
        <v>3.0710000000000002</v>
      </c>
      <c r="C34" s="13">
        <v>3.0459999999999998</v>
      </c>
      <c r="D34" s="13">
        <v>3.0739999999999998</v>
      </c>
      <c r="E34" s="14">
        <f t="shared" si="0"/>
        <v>3.0636666666666663</v>
      </c>
      <c r="F34" s="14">
        <f t="shared" si="1"/>
        <v>2.8000000000000025E-2</v>
      </c>
      <c r="G34" s="15" t="str">
        <f t="shared" si="2"/>
        <v>ok</v>
      </c>
      <c r="H34" s="15" t="str">
        <f t="shared" si="3"/>
        <v>ok</v>
      </c>
      <c r="J34" s="16">
        <f t="shared" si="4"/>
        <v>3.1302836111111101</v>
      </c>
      <c r="K34" s="16">
        <f t="shared" si="5"/>
        <v>3.0612777777777769</v>
      </c>
      <c r="L34" s="16">
        <f t="shared" si="6"/>
        <v>2.9922719444444437</v>
      </c>
      <c r="N34" s="16">
        <f t="shared" si="7"/>
        <v>0.1738676388888889</v>
      </c>
      <c r="O34" s="16">
        <f t="shared" si="8"/>
        <v>6.7652777777777784E-2</v>
      </c>
      <c r="P34" s="16">
        <f t="shared" si="9"/>
        <v>0</v>
      </c>
    </row>
    <row r="35" spans="1:16" x14ac:dyDescent="0.35">
      <c r="A35" s="13">
        <v>32</v>
      </c>
      <c r="B35" s="13">
        <v>3.101</v>
      </c>
      <c r="C35" s="13">
        <v>3.093</v>
      </c>
      <c r="D35" s="13">
        <v>3.0070000000000001</v>
      </c>
      <c r="E35" s="14">
        <f t="shared" si="0"/>
        <v>3.0670000000000002</v>
      </c>
      <c r="F35" s="14">
        <f t="shared" si="1"/>
        <v>9.3999999999999861E-2</v>
      </c>
      <c r="G35" s="15" t="str">
        <f t="shared" si="2"/>
        <v>ok</v>
      </c>
      <c r="H35" s="15" t="str">
        <f t="shared" si="3"/>
        <v>ok</v>
      </c>
      <c r="J35" s="16">
        <f t="shared" si="4"/>
        <v>3.1302836111111101</v>
      </c>
      <c r="K35" s="16">
        <f t="shared" si="5"/>
        <v>3.0612777777777769</v>
      </c>
      <c r="L35" s="16">
        <f t="shared" si="6"/>
        <v>2.9922719444444437</v>
      </c>
      <c r="N35" s="16">
        <f t="shared" si="7"/>
        <v>0.1738676388888889</v>
      </c>
      <c r="O35" s="16">
        <f t="shared" si="8"/>
        <v>6.7652777777777784E-2</v>
      </c>
      <c r="P35" s="16">
        <f t="shared" si="9"/>
        <v>0</v>
      </c>
    </row>
    <row r="36" spans="1:16" x14ac:dyDescent="0.35">
      <c r="A36" s="13">
        <v>33</v>
      </c>
      <c r="B36" s="13">
        <v>3.073</v>
      </c>
      <c r="C36" s="13">
        <v>2.9980000000000002</v>
      </c>
      <c r="D36" s="13">
        <v>3.1030000000000002</v>
      </c>
      <c r="E36" s="14">
        <f t="shared" ref="E36:E67" si="10">AVERAGE(B36:D36)</f>
        <v>3.0579999999999998</v>
      </c>
      <c r="F36" s="14">
        <f t="shared" ref="F36:F67" si="11">MAX(B36:D36)-MIN(B36:D36)</f>
        <v>0.10499999999999998</v>
      </c>
      <c r="G36" s="15" t="str">
        <f t="shared" ref="G36:G67" si="12">IF(OR(E36&gt;$B$84,E36&lt;$B$85),"OUT","ok")</f>
        <v>ok</v>
      </c>
      <c r="H36" s="15" t="str">
        <f t="shared" ref="H36:H67" si="13">IF(OR(F36&gt;$B$86,F36&lt;$B$87),"OUT","ok")</f>
        <v>ok</v>
      </c>
      <c r="J36" s="16">
        <f t="shared" ref="J36:J67" si="14">$B$84</f>
        <v>3.1302836111111101</v>
      </c>
      <c r="K36" s="16">
        <f t="shared" ref="K36:K67" si="15">$B$79</f>
        <v>3.0612777777777769</v>
      </c>
      <c r="L36" s="16">
        <f t="shared" ref="L36:L67" si="16">$B$85</f>
        <v>2.9922719444444437</v>
      </c>
      <c r="N36" s="16">
        <f t="shared" ref="N36:N67" si="17">$B$86</f>
        <v>0.1738676388888889</v>
      </c>
      <c r="O36" s="16">
        <f t="shared" ref="O36:O67" si="18">$B$80</f>
        <v>6.7652777777777784E-2</v>
      </c>
      <c r="P36" s="16">
        <f t="shared" ref="P36:P67" si="19">$B$87</f>
        <v>0</v>
      </c>
    </row>
    <row r="37" spans="1:16" x14ac:dyDescent="0.35">
      <c r="A37" s="13">
        <v>34</v>
      </c>
      <c r="B37" s="13">
        <v>3.0960000000000001</v>
      </c>
      <c r="C37" s="13">
        <v>3.0710000000000002</v>
      </c>
      <c r="D37" s="13">
        <v>3.04</v>
      </c>
      <c r="E37" s="14">
        <f t="shared" si="10"/>
        <v>3.0690000000000004</v>
      </c>
      <c r="F37" s="14">
        <f t="shared" si="11"/>
        <v>5.600000000000005E-2</v>
      </c>
      <c r="G37" s="15" t="str">
        <f t="shared" si="12"/>
        <v>ok</v>
      </c>
      <c r="H37" s="15" t="str">
        <f t="shared" si="13"/>
        <v>ok</v>
      </c>
      <c r="J37" s="16">
        <f t="shared" si="14"/>
        <v>3.1302836111111101</v>
      </c>
      <c r="K37" s="16">
        <f t="shared" si="15"/>
        <v>3.0612777777777769</v>
      </c>
      <c r="L37" s="16">
        <f t="shared" si="16"/>
        <v>2.9922719444444437</v>
      </c>
      <c r="N37" s="16">
        <f t="shared" si="17"/>
        <v>0.1738676388888889</v>
      </c>
      <c r="O37" s="16">
        <f t="shared" si="18"/>
        <v>6.7652777777777784E-2</v>
      </c>
      <c r="P37" s="16">
        <f t="shared" si="19"/>
        <v>0</v>
      </c>
    </row>
    <row r="38" spans="1:16" x14ac:dyDescent="0.35">
      <c r="A38" s="13">
        <v>35</v>
      </c>
      <c r="B38" s="13">
        <v>3.0750000000000002</v>
      </c>
      <c r="C38" s="13">
        <v>3.085</v>
      </c>
      <c r="D38" s="13">
        <v>3.0489999999999999</v>
      </c>
      <c r="E38" s="14">
        <f t="shared" si="10"/>
        <v>3.0696666666666665</v>
      </c>
      <c r="F38" s="14">
        <f t="shared" si="11"/>
        <v>3.6000000000000032E-2</v>
      </c>
      <c r="G38" s="15" t="str">
        <f t="shared" si="12"/>
        <v>ok</v>
      </c>
      <c r="H38" s="15" t="str">
        <f t="shared" si="13"/>
        <v>ok</v>
      </c>
      <c r="J38" s="16">
        <f t="shared" si="14"/>
        <v>3.1302836111111101</v>
      </c>
      <c r="K38" s="16">
        <f t="shared" si="15"/>
        <v>3.0612777777777769</v>
      </c>
      <c r="L38" s="16">
        <f t="shared" si="16"/>
        <v>2.9922719444444437</v>
      </c>
      <c r="N38" s="16">
        <f t="shared" si="17"/>
        <v>0.1738676388888889</v>
      </c>
      <c r="O38" s="16">
        <f t="shared" si="18"/>
        <v>6.7652777777777784E-2</v>
      </c>
      <c r="P38" s="16">
        <f t="shared" si="19"/>
        <v>0</v>
      </c>
    </row>
    <row r="39" spans="1:16" x14ac:dyDescent="0.35">
      <c r="A39" s="13">
        <v>36</v>
      </c>
      <c r="B39" s="13">
        <v>3.0459999999999998</v>
      </c>
      <c r="C39" s="13">
        <v>3.0979999999999999</v>
      </c>
      <c r="D39" s="13">
        <v>3.0459999999999998</v>
      </c>
      <c r="E39" s="14">
        <f t="shared" si="10"/>
        <v>3.063333333333333</v>
      </c>
      <c r="F39" s="14">
        <f t="shared" si="11"/>
        <v>5.2000000000000046E-2</v>
      </c>
      <c r="G39" s="15" t="str">
        <f t="shared" si="12"/>
        <v>ok</v>
      </c>
      <c r="H39" s="15" t="str">
        <f t="shared" si="13"/>
        <v>ok</v>
      </c>
      <c r="J39" s="16">
        <f t="shared" si="14"/>
        <v>3.1302836111111101</v>
      </c>
      <c r="K39" s="16">
        <f t="shared" si="15"/>
        <v>3.0612777777777769</v>
      </c>
      <c r="L39" s="16">
        <f t="shared" si="16"/>
        <v>2.9922719444444437</v>
      </c>
      <c r="N39" s="16">
        <f t="shared" si="17"/>
        <v>0.1738676388888889</v>
      </c>
      <c r="O39" s="16">
        <f t="shared" si="18"/>
        <v>6.7652777777777784E-2</v>
      </c>
      <c r="P39" s="16">
        <f t="shared" si="19"/>
        <v>0</v>
      </c>
    </row>
    <row r="40" spans="1:16" x14ac:dyDescent="0.35">
      <c r="A40" s="13">
        <v>37</v>
      </c>
      <c r="B40" s="13">
        <v>3.0790000000000002</v>
      </c>
      <c r="C40" s="13">
        <v>3.03</v>
      </c>
      <c r="D40" s="13">
        <v>3.1349999999999998</v>
      </c>
      <c r="E40" s="14">
        <f t="shared" si="10"/>
        <v>3.0813333333333333</v>
      </c>
      <c r="F40" s="14">
        <f t="shared" si="11"/>
        <v>0.10499999999999998</v>
      </c>
      <c r="G40" s="15" t="str">
        <f t="shared" si="12"/>
        <v>ok</v>
      </c>
      <c r="H40" s="15" t="str">
        <f t="shared" si="13"/>
        <v>ok</v>
      </c>
      <c r="J40" s="16">
        <f t="shared" si="14"/>
        <v>3.1302836111111101</v>
      </c>
      <c r="K40" s="16">
        <f t="shared" si="15"/>
        <v>3.0612777777777769</v>
      </c>
      <c r="L40" s="16">
        <f t="shared" si="16"/>
        <v>2.9922719444444437</v>
      </c>
      <c r="N40" s="16">
        <f t="shared" si="17"/>
        <v>0.1738676388888889</v>
      </c>
      <c r="O40" s="16">
        <f t="shared" si="18"/>
        <v>6.7652777777777784E-2</v>
      </c>
      <c r="P40" s="16">
        <f t="shared" si="19"/>
        <v>0</v>
      </c>
    </row>
    <row r="41" spans="1:16" x14ac:dyDescent="0.35">
      <c r="A41" s="13">
        <v>38</v>
      </c>
      <c r="B41" s="13">
        <v>3.032</v>
      </c>
      <c r="C41" s="13">
        <v>3.105</v>
      </c>
      <c r="D41" s="13">
        <v>3.1110000000000002</v>
      </c>
      <c r="E41" s="14">
        <f t="shared" si="10"/>
        <v>3.0826666666666669</v>
      </c>
      <c r="F41" s="14">
        <f t="shared" si="11"/>
        <v>7.9000000000000181E-2</v>
      </c>
      <c r="G41" s="15" t="str">
        <f t="shared" si="12"/>
        <v>ok</v>
      </c>
      <c r="H41" s="15" t="str">
        <f t="shared" si="13"/>
        <v>ok</v>
      </c>
      <c r="J41" s="16">
        <f t="shared" si="14"/>
        <v>3.1302836111111101</v>
      </c>
      <c r="K41" s="16">
        <f t="shared" si="15"/>
        <v>3.0612777777777769</v>
      </c>
      <c r="L41" s="16">
        <f t="shared" si="16"/>
        <v>2.9922719444444437</v>
      </c>
      <c r="N41" s="16">
        <f t="shared" si="17"/>
        <v>0.1738676388888889</v>
      </c>
      <c r="O41" s="16">
        <f t="shared" si="18"/>
        <v>6.7652777777777784E-2</v>
      </c>
      <c r="P41" s="16">
        <f t="shared" si="19"/>
        <v>0</v>
      </c>
    </row>
    <row r="42" spans="1:16" x14ac:dyDescent="0.35">
      <c r="A42" s="13">
        <v>39</v>
      </c>
      <c r="B42" s="13">
        <v>3.157</v>
      </c>
      <c r="C42" s="13">
        <v>3.0790000000000002</v>
      </c>
      <c r="D42" s="13">
        <v>3.0139999999999998</v>
      </c>
      <c r="E42" s="14">
        <f t="shared" si="10"/>
        <v>3.0833333333333335</v>
      </c>
      <c r="F42" s="14">
        <f t="shared" si="11"/>
        <v>0.14300000000000024</v>
      </c>
      <c r="G42" s="15" t="str">
        <f t="shared" si="12"/>
        <v>ok</v>
      </c>
      <c r="H42" s="15" t="str">
        <f t="shared" si="13"/>
        <v>ok</v>
      </c>
      <c r="J42" s="16">
        <f t="shared" si="14"/>
        <v>3.1302836111111101</v>
      </c>
      <c r="K42" s="16">
        <f t="shared" si="15"/>
        <v>3.0612777777777769</v>
      </c>
      <c r="L42" s="16">
        <f t="shared" si="16"/>
        <v>2.9922719444444437</v>
      </c>
      <c r="N42" s="16">
        <f t="shared" si="17"/>
        <v>0.1738676388888889</v>
      </c>
      <c r="O42" s="16">
        <f t="shared" si="18"/>
        <v>6.7652777777777784E-2</v>
      </c>
      <c r="P42" s="16">
        <f t="shared" si="19"/>
        <v>0</v>
      </c>
    </row>
    <row r="43" spans="1:16" x14ac:dyDescent="0.35">
      <c r="A43" s="13">
        <v>40</v>
      </c>
      <c r="B43" s="13">
        <v>3.073</v>
      </c>
      <c r="C43" s="13">
        <v>3.0489999999999999</v>
      </c>
      <c r="D43" s="13">
        <v>3.056</v>
      </c>
      <c r="E43" s="14">
        <f t="shared" si="10"/>
        <v>3.0593333333333335</v>
      </c>
      <c r="F43" s="14">
        <f t="shared" si="11"/>
        <v>2.4000000000000021E-2</v>
      </c>
      <c r="G43" s="15" t="str">
        <f t="shared" si="12"/>
        <v>ok</v>
      </c>
      <c r="H43" s="15" t="str">
        <f t="shared" si="13"/>
        <v>ok</v>
      </c>
      <c r="J43" s="16">
        <f t="shared" si="14"/>
        <v>3.1302836111111101</v>
      </c>
      <c r="K43" s="16">
        <f t="shared" si="15"/>
        <v>3.0612777777777769</v>
      </c>
      <c r="L43" s="16">
        <f t="shared" si="16"/>
        <v>2.9922719444444437</v>
      </c>
      <c r="N43" s="16">
        <f t="shared" si="17"/>
        <v>0.1738676388888889</v>
      </c>
      <c r="O43" s="16">
        <f t="shared" si="18"/>
        <v>6.7652777777777784E-2</v>
      </c>
      <c r="P43" s="16">
        <f t="shared" si="19"/>
        <v>0</v>
      </c>
    </row>
    <row r="44" spans="1:16" x14ac:dyDescent="0.35">
      <c r="A44" s="13">
        <v>41</v>
      </c>
      <c r="B44" s="13">
        <v>3.0680000000000001</v>
      </c>
      <c r="C44" s="13">
        <v>3.0409999999999999</v>
      </c>
      <c r="D44" s="13">
        <v>3.0419999999999998</v>
      </c>
      <c r="E44" s="14">
        <f t="shared" si="10"/>
        <v>3.0503333333333331</v>
      </c>
      <c r="F44" s="14">
        <f t="shared" si="11"/>
        <v>2.7000000000000135E-2</v>
      </c>
      <c r="G44" s="15" t="str">
        <f t="shared" si="12"/>
        <v>ok</v>
      </c>
      <c r="H44" s="15" t="str">
        <f t="shared" si="13"/>
        <v>ok</v>
      </c>
      <c r="J44" s="16">
        <f t="shared" si="14"/>
        <v>3.1302836111111101</v>
      </c>
      <c r="K44" s="16">
        <f t="shared" si="15"/>
        <v>3.0612777777777769</v>
      </c>
      <c r="L44" s="16">
        <f t="shared" si="16"/>
        <v>2.9922719444444437</v>
      </c>
      <c r="N44" s="16">
        <f t="shared" si="17"/>
        <v>0.1738676388888889</v>
      </c>
      <c r="O44" s="16">
        <f t="shared" si="18"/>
        <v>6.7652777777777784E-2</v>
      </c>
      <c r="P44" s="16">
        <f t="shared" si="19"/>
        <v>0</v>
      </c>
    </row>
    <row r="45" spans="1:16" x14ac:dyDescent="0.35">
      <c r="A45" s="13">
        <v>42</v>
      </c>
      <c r="B45" s="13">
        <v>3.0590000000000002</v>
      </c>
      <c r="C45" s="13">
        <v>3.024</v>
      </c>
      <c r="D45" s="13">
        <v>2.97</v>
      </c>
      <c r="E45" s="14">
        <f t="shared" si="10"/>
        <v>3.0176666666666669</v>
      </c>
      <c r="F45" s="14">
        <f t="shared" si="11"/>
        <v>8.8999999999999968E-2</v>
      </c>
      <c r="G45" s="15" t="str">
        <f t="shared" si="12"/>
        <v>ok</v>
      </c>
      <c r="H45" s="15" t="str">
        <f t="shared" si="13"/>
        <v>ok</v>
      </c>
      <c r="J45" s="16">
        <f t="shared" si="14"/>
        <v>3.1302836111111101</v>
      </c>
      <c r="K45" s="16">
        <f t="shared" si="15"/>
        <v>3.0612777777777769</v>
      </c>
      <c r="L45" s="16">
        <f t="shared" si="16"/>
        <v>2.9922719444444437</v>
      </c>
      <c r="N45" s="16">
        <f t="shared" si="17"/>
        <v>0.1738676388888889</v>
      </c>
      <c r="O45" s="16">
        <f t="shared" si="18"/>
        <v>6.7652777777777784E-2</v>
      </c>
      <c r="P45" s="16">
        <f t="shared" si="19"/>
        <v>0</v>
      </c>
    </row>
    <row r="46" spans="1:16" x14ac:dyDescent="0.35">
      <c r="A46" s="13">
        <v>43</v>
      </c>
      <c r="B46" s="13">
        <v>3.0569999999999999</v>
      </c>
      <c r="C46" s="13">
        <v>3.109</v>
      </c>
      <c r="D46" s="13">
        <v>3.0680000000000001</v>
      </c>
      <c r="E46" s="14">
        <f t="shared" si="10"/>
        <v>3.0779999999999998</v>
      </c>
      <c r="F46" s="14">
        <f t="shared" si="11"/>
        <v>5.2000000000000046E-2</v>
      </c>
      <c r="G46" s="15" t="str">
        <f t="shared" si="12"/>
        <v>ok</v>
      </c>
      <c r="H46" s="15" t="str">
        <f t="shared" si="13"/>
        <v>ok</v>
      </c>
      <c r="J46" s="16">
        <f t="shared" si="14"/>
        <v>3.1302836111111101</v>
      </c>
      <c r="K46" s="16">
        <f t="shared" si="15"/>
        <v>3.0612777777777769</v>
      </c>
      <c r="L46" s="16">
        <f t="shared" si="16"/>
        <v>2.9922719444444437</v>
      </c>
      <c r="N46" s="16">
        <f t="shared" si="17"/>
        <v>0.1738676388888889</v>
      </c>
      <c r="O46" s="16">
        <f t="shared" si="18"/>
        <v>6.7652777777777784E-2</v>
      </c>
      <c r="P46" s="16">
        <f t="shared" si="19"/>
        <v>0</v>
      </c>
    </row>
    <row r="47" spans="1:16" x14ac:dyDescent="0.35">
      <c r="A47" s="13">
        <v>44</v>
      </c>
      <c r="B47" s="13">
        <v>3.0030000000000001</v>
      </c>
      <c r="C47" s="13">
        <v>3.032</v>
      </c>
      <c r="D47" s="13">
        <v>3.0459999999999998</v>
      </c>
      <c r="E47" s="14">
        <f t="shared" si="10"/>
        <v>3.0269999999999997</v>
      </c>
      <c r="F47" s="14">
        <f t="shared" si="11"/>
        <v>4.2999999999999705E-2</v>
      </c>
      <c r="G47" s="15" t="str">
        <f t="shared" si="12"/>
        <v>ok</v>
      </c>
      <c r="H47" s="15" t="str">
        <f t="shared" si="13"/>
        <v>ok</v>
      </c>
      <c r="J47" s="16">
        <f t="shared" si="14"/>
        <v>3.1302836111111101</v>
      </c>
      <c r="K47" s="16">
        <f t="shared" si="15"/>
        <v>3.0612777777777769</v>
      </c>
      <c r="L47" s="16">
        <f t="shared" si="16"/>
        <v>2.9922719444444437</v>
      </c>
      <c r="N47" s="16">
        <f t="shared" si="17"/>
        <v>0.1738676388888889</v>
      </c>
      <c r="O47" s="16">
        <f t="shared" si="18"/>
        <v>6.7652777777777784E-2</v>
      </c>
      <c r="P47" s="16">
        <f t="shared" si="19"/>
        <v>0</v>
      </c>
    </row>
    <row r="48" spans="1:16" x14ac:dyDescent="0.35">
      <c r="A48" s="13">
        <v>45</v>
      </c>
      <c r="B48" s="13">
        <v>3.0249999999999999</v>
      </c>
      <c r="C48" s="13">
        <v>3.0510000000000002</v>
      </c>
      <c r="D48" s="13">
        <v>3.0659999999999998</v>
      </c>
      <c r="E48" s="14">
        <f t="shared" si="10"/>
        <v>3.047333333333333</v>
      </c>
      <c r="F48" s="14">
        <f t="shared" si="11"/>
        <v>4.0999999999999925E-2</v>
      </c>
      <c r="G48" s="15" t="str">
        <f t="shared" si="12"/>
        <v>ok</v>
      </c>
      <c r="H48" s="15" t="str">
        <f t="shared" si="13"/>
        <v>ok</v>
      </c>
      <c r="J48" s="16">
        <f t="shared" si="14"/>
        <v>3.1302836111111101</v>
      </c>
      <c r="K48" s="16">
        <f t="shared" si="15"/>
        <v>3.0612777777777769</v>
      </c>
      <c r="L48" s="16">
        <f t="shared" si="16"/>
        <v>2.9922719444444437</v>
      </c>
      <c r="N48" s="16">
        <f t="shared" si="17"/>
        <v>0.1738676388888889</v>
      </c>
      <c r="O48" s="16">
        <f t="shared" si="18"/>
        <v>6.7652777777777784E-2</v>
      </c>
      <c r="P48" s="16">
        <f t="shared" si="19"/>
        <v>0</v>
      </c>
    </row>
    <row r="49" spans="1:16" x14ac:dyDescent="0.35">
      <c r="A49" s="13">
        <v>46</v>
      </c>
      <c r="B49" s="13">
        <v>3.0459999999999998</v>
      </c>
      <c r="C49" s="13">
        <v>3.105</v>
      </c>
      <c r="D49" s="13">
        <v>3.0739999999999998</v>
      </c>
      <c r="E49" s="14">
        <f t="shared" si="10"/>
        <v>3.0749999999999997</v>
      </c>
      <c r="F49" s="14">
        <f t="shared" si="11"/>
        <v>5.9000000000000163E-2</v>
      </c>
      <c r="G49" s="15" t="str">
        <f t="shared" si="12"/>
        <v>ok</v>
      </c>
      <c r="H49" s="15" t="str">
        <f t="shared" si="13"/>
        <v>ok</v>
      </c>
      <c r="J49" s="16">
        <f t="shared" si="14"/>
        <v>3.1302836111111101</v>
      </c>
      <c r="K49" s="16">
        <f t="shared" si="15"/>
        <v>3.0612777777777769</v>
      </c>
      <c r="L49" s="16">
        <f t="shared" si="16"/>
        <v>2.9922719444444437</v>
      </c>
      <c r="N49" s="16">
        <f t="shared" si="17"/>
        <v>0.1738676388888889</v>
      </c>
      <c r="O49" s="16">
        <f t="shared" si="18"/>
        <v>6.7652777777777784E-2</v>
      </c>
      <c r="P49" s="16">
        <f t="shared" si="19"/>
        <v>0</v>
      </c>
    </row>
    <row r="50" spans="1:16" x14ac:dyDescent="0.35">
      <c r="A50" s="13">
        <v>47</v>
      </c>
      <c r="B50" s="13">
        <v>3.06</v>
      </c>
      <c r="C50" s="13">
        <v>3.133</v>
      </c>
      <c r="D50" s="13">
        <v>3.121</v>
      </c>
      <c r="E50" s="14">
        <f t="shared" si="10"/>
        <v>3.1046666666666667</v>
      </c>
      <c r="F50" s="14">
        <f t="shared" si="11"/>
        <v>7.2999999999999954E-2</v>
      </c>
      <c r="G50" s="15" t="str">
        <f t="shared" si="12"/>
        <v>ok</v>
      </c>
      <c r="H50" s="15" t="str">
        <f t="shared" si="13"/>
        <v>ok</v>
      </c>
      <c r="J50" s="16">
        <f t="shared" si="14"/>
        <v>3.1302836111111101</v>
      </c>
      <c r="K50" s="16">
        <f t="shared" si="15"/>
        <v>3.0612777777777769</v>
      </c>
      <c r="L50" s="16">
        <f t="shared" si="16"/>
        <v>2.9922719444444437</v>
      </c>
      <c r="N50" s="16">
        <f t="shared" si="17"/>
        <v>0.1738676388888889</v>
      </c>
      <c r="O50" s="16">
        <f t="shared" si="18"/>
        <v>6.7652777777777784E-2</v>
      </c>
      <c r="P50" s="16">
        <f t="shared" si="19"/>
        <v>0</v>
      </c>
    </row>
    <row r="51" spans="1:16" x14ac:dyDescent="0.35">
      <c r="A51" s="13">
        <v>48</v>
      </c>
      <c r="B51" s="13">
        <v>3.1080000000000001</v>
      </c>
      <c r="C51" s="13">
        <v>3.0070000000000001</v>
      </c>
      <c r="D51" s="13">
        <v>3.1080000000000001</v>
      </c>
      <c r="E51" s="14">
        <f t="shared" si="10"/>
        <v>3.0743333333333336</v>
      </c>
      <c r="F51" s="14">
        <f t="shared" si="11"/>
        <v>0.10099999999999998</v>
      </c>
      <c r="G51" s="15" t="str">
        <f t="shared" si="12"/>
        <v>ok</v>
      </c>
      <c r="H51" s="15" t="str">
        <f t="shared" si="13"/>
        <v>ok</v>
      </c>
      <c r="J51" s="16">
        <f t="shared" si="14"/>
        <v>3.1302836111111101</v>
      </c>
      <c r="K51" s="16">
        <f t="shared" si="15"/>
        <v>3.0612777777777769</v>
      </c>
      <c r="L51" s="16">
        <f t="shared" si="16"/>
        <v>2.9922719444444437</v>
      </c>
      <c r="N51" s="16">
        <f t="shared" si="17"/>
        <v>0.1738676388888889</v>
      </c>
      <c r="O51" s="16">
        <f t="shared" si="18"/>
        <v>6.7652777777777784E-2</v>
      </c>
      <c r="P51" s="16">
        <f t="shared" si="19"/>
        <v>0</v>
      </c>
    </row>
    <row r="52" spans="1:16" x14ac:dyDescent="0.35">
      <c r="A52" s="13">
        <v>49</v>
      </c>
      <c r="B52" s="13">
        <v>3.0680000000000001</v>
      </c>
      <c r="C52" s="13">
        <v>3.105</v>
      </c>
      <c r="D52" s="13">
        <v>3.0070000000000001</v>
      </c>
      <c r="E52" s="14">
        <f t="shared" si="10"/>
        <v>3.06</v>
      </c>
      <c r="F52" s="14">
        <f t="shared" si="11"/>
        <v>9.7999999999999865E-2</v>
      </c>
      <c r="G52" s="15" t="str">
        <f t="shared" si="12"/>
        <v>ok</v>
      </c>
      <c r="H52" s="15" t="str">
        <f t="shared" si="13"/>
        <v>ok</v>
      </c>
      <c r="J52" s="16">
        <f t="shared" si="14"/>
        <v>3.1302836111111101</v>
      </c>
      <c r="K52" s="16">
        <f t="shared" si="15"/>
        <v>3.0612777777777769</v>
      </c>
      <c r="L52" s="16">
        <f t="shared" si="16"/>
        <v>2.9922719444444437</v>
      </c>
      <c r="N52" s="16">
        <f t="shared" si="17"/>
        <v>0.1738676388888889</v>
      </c>
      <c r="O52" s="16">
        <f t="shared" si="18"/>
        <v>6.7652777777777784E-2</v>
      </c>
      <c r="P52" s="16">
        <f t="shared" si="19"/>
        <v>0</v>
      </c>
    </row>
    <row r="53" spans="1:16" x14ac:dyDescent="0.35">
      <c r="A53" s="13">
        <v>50</v>
      </c>
      <c r="B53" s="13">
        <v>3.0369999999999999</v>
      </c>
      <c r="C53" s="13">
        <v>3.06</v>
      </c>
      <c r="D53" s="13">
        <v>3.0739999999999998</v>
      </c>
      <c r="E53" s="14">
        <f t="shared" si="10"/>
        <v>3.0569999999999999</v>
      </c>
      <c r="F53" s="14">
        <f t="shared" si="11"/>
        <v>3.6999999999999922E-2</v>
      </c>
      <c r="G53" s="15" t="str">
        <f t="shared" si="12"/>
        <v>ok</v>
      </c>
      <c r="H53" s="15" t="str">
        <f t="shared" si="13"/>
        <v>ok</v>
      </c>
      <c r="J53" s="16">
        <f t="shared" si="14"/>
        <v>3.1302836111111101</v>
      </c>
      <c r="K53" s="16">
        <f t="shared" si="15"/>
        <v>3.0612777777777769</v>
      </c>
      <c r="L53" s="16">
        <f t="shared" si="16"/>
        <v>2.9922719444444437</v>
      </c>
      <c r="N53" s="16">
        <f t="shared" si="17"/>
        <v>0.1738676388888889</v>
      </c>
      <c r="O53" s="16">
        <f t="shared" si="18"/>
        <v>6.7652777777777784E-2</v>
      </c>
      <c r="P53" s="16">
        <f t="shared" si="19"/>
        <v>0</v>
      </c>
    </row>
    <row r="54" spans="1:16" x14ac:dyDescent="0.35">
      <c r="A54" s="13">
        <v>51</v>
      </c>
      <c r="B54" s="13">
        <v>3.0470000000000002</v>
      </c>
      <c r="C54" s="13">
        <v>3.056</v>
      </c>
      <c r="D54" s="13">
        <v>3.0670000000000002</v>
      </c>
      <c r="E54" s="14">
        <f t="shared" si="10"/>
        <v>3.0566666666666666</v>
      </c>
      <c r="F54" s="14">
        <f t="shared" si="11"/>
        <v>2.0000000000000018E-2</v>
      </c>
      <c r="G54" s="15" t="str">
        <f t="shared" si="12"/>
        <v>ok</v>
      </c>
      <c r="H54" s="15" t="str">
        <f t="shared" si="13"/>
        <v>ok</v>
      </c>
      <c r="J54" s="16">
        <f t="shared" si="14"/>
        <v>3.1302836111111101</v>
      </c>
      <c r="K54" s="16">
        <f t="shared" si="15"/>
        <v>3.0612777777777769</v>
      </c>
      <c r="L54" s="16">
        <f t="shared" si="16"/>
        <v>2.9922719444444437</v>
      </c>
      <c r="N54" s="16">
        <f t="shared" si="17"/>
        <v>0.1738676388888889</v>
      </c>
      <c r="O54" s="16">
        <f t="shared" si="18"/>
        <v>6.7652777777777784E-2</v>
      </c>
      <c r="P54" s="16">
        <f t="shared" si="19"/>
        <v>0</v>
      </c>
    </row>
    <row r="55" spans="1:16" x14ac:dyDescent="0.35">
      <c r="A55" s="13">
        <v>52</v>
      </c>
      <c r="B55" s="13">
        <v>3.008</v>
      </c>
      <c r="C55" s="13">
        <v>3.052</v>
      </c>
      <c r="D55" s="13">
        <v>3.004</v>
      </c>
      <c r="E55" s="14">
        <f t="shared" si="10"/>
        <v>3.0213333333333332</v>
      </c>
      <c r="F55" s="14">
        <f t="shared" si="11"/>
        <v>4.8000000000000043E-2</v>
      </c>
      <c r="G55" s="15" t="str">
        <f t="shared" si="12"/>
        <v>ok</v>
      </c>
      <c r="H55" s="15" t="str">
        <f t="shared" si="13"/>
        <v>ok</v>
      </c>
      <c r="J55" s="16">
        <f t="shared" si="14"/>
        <v>3.1302836111111101</v>
      </c>
      <c r="K55" s="16">
        <f t="shared" si="15"/>
        <v>3.0612777777777769</v>
      </c>
      <c r="L55" s="16">
        <f t="shared" si="16"/>
        <v>2.9922719444444437</v>
      </c>
      <c r="N55" s="16">
        <f t="shared" si="17"/>
        <v>0.1738676388888889</v>
      </c>
      <c r="O55" s="16">
        <f t="shared" si="18"/>
        <v>6.7652777777777784E-2</v>
      </c>
      <c r="P55" s="16">
        <f t="shared" si="19"/>
        <v>0</v>
      </c>
    </row>
    <row r="56" spans="1:16" x14ac:dyDescent="0.35">
      <c r="A56" s="13">
        <v>53</v>
      </c>
      <c r="B56" s="13">
        <v>3.0579999999999998</v>
      </c>
      <c r="C56" s="13">
        <v>3.0590000000000002</v>
      </c>
      <c r="D56" s="13">
        <v>3.0950000000000002</v>
      </c>
      <c r="E56" s="14">
        <f t="shared" si="10"/>
        <v>3.0706666666666664</v>
      </c>
      <c r="F56" s="14">
        <f t="shared" si="11"/>
        <v>3.7000000000000366E-2</v>
      </c>
      <c r="G56" s="15" t="str">
        <f t="shared" si="12"/>
        <v>ok</v>
      </c>
      <c r="H56" s="15" t="str">
        <f t="shared" si="13"/>
        <v>ok</v>
      </c>
      <c r="J56" s="16">
        <f t="shared" si="14"/>
        <v>3.1302836111111101</v>
      </c>
      <c r="K56" s="16">
        <f t="shared" si="15"/>
        <v>3.0612777777777769</v>
      </c>
      <c r="L56" s="16">
        <f t="shared" si="16"/>
        <v>2.9922719444444437</v>
      </c>
      <c r="N56" s="16">
        <f t="shared" si="17"/>
        <v>0.1738676388888889</v>
      </c>
      <c r="O56" s="16">
        <f t="shared" si="18"/>
        <v>6.7652777777777784E-2</v>
      </c>
      <c r="P56" s="16">
        <f t="shared" si="19"/>
        <v>0</v>
      </c>
    </row>
    <row r="57" spans="1:16" x14ac:dyDescent="0.35">
      <c r="A57" s="13">
        <v>54</v>
      </c>
      <c r="B57" s="13">
        <v>3.0750000000000002</v>
      </c>
      <c r="C57" s="13">
        <v>3.0169999999999999</v>
      </c>
      <c r="D57" s="13">
        <v>3.0430000000000001</v>
      </c>
      <c r="E57" s="14">
        <f t="shared" si="10"/>
        <v>3.0450000000000004</v>
      </c>
      <c r="F57" s="14">
        <f t="shared" si="11"/>
        <v>5.8000000000000274E-2</v>
      </c>
      <c r="G57" s="15" t="str">
        <f t="shared" si="12"/>
        <v>ok</v>
      </c>
      <c r="H57" s="15" t="str">
        <f t="shared" si="13"/>
        <v>ok</v>
      </c>
      <c r="J57" s="16">
        <f t="shared" si="14"/>
        <v>3.1302836111111101</v>
      </c>
      <c r="K57" s="16">
        <f t="shared" si="15"/>
        <v>3.0612777777777769</v>
      </c>
      <c r="L57" s="16">
        <f t="shared" si="16"/>
        <v>2.9922719444444437</v>
      </c>
      <c r="N57" s="16">
        <f t="shared" si="17"/>
        <v>0.1738676388888889</v>
      </c>
      <c r="O57" s="16">
        <f t="shared" si="18"/>
        <v>6.7652777777777784E-2</v>
      </c>
      <c r="P57" s="16">
        <f t="shared" si="19"/>
        <v>0</v>
      </c>
    </row>
    <row r="58" spans="1:16" x14ac:dyDescent="0.35">
      <c r="A58" s="13">
        <v>55</v>
      </c>
      <c r="B58" s="13">
        <v>3.0419999999999998</v>
      </c>
      <c r="C58" s="13">
        <v>3.133</v>
      </c>
      <c r="D58" s="13">
        <v>3.1110000000000002</v>
      </c>
      <c r="E58" s="14">
        <f t="shared" si="10"/>
        <v>3.095333333333333</v>
      </c>
      <c r="F58" s="14">
        <f t="shared" si="11"/>
        <v>9.1000000000000192E-2</v>
      </c>
      <c r="G58" s="15" t="str">
        <f t="shared" si="12"/>
        <v>ok</v>
      </c>
      <c r="H58" s="15" t="str">
        <f t="shared" si="13"/>
        <v>ok</v>
      </c>
      <c r="J58" s="16">
        <f t="shared" si="14"/>
        <v>3.1302836111111101</v>
      </c>
      <c r="K58" s="16">
        <f t="shared" si="15"/>
        <v>3.0612777777777769</v>
      </c>
      <c r="L58" s="16">
        <f t="shared" si="16"/>
        <v>2.9922719444444437</v>
      </c>
      <c r="N58" s="16">
        <f t="shared" si="17"/>
        <v>0.1738676388888889</v>
      </c>
      <c r="O58" s="16">
        <f t="shared" si="18"/>
        <v>6.7652777777777784E-2</v>
      </c>
      <c r="P58" s="16">
        <f t="shared" si="19"/>
        <v>0</v>
      </c>
    </row>
    <row r="59" spans="1:16" x14ac:dyDescent="0.35">
      <c r="A59" s="13">
        <v>56</v>
      </c>
      <c r="B59" s="13">
        <v>3.0419999999999998</v>
      </c>
      <c r="C59" s="13">
        <v>3.048</v>
      </c>
      <c r="D59" s="13">
        <v>3.0409999999999999</v>
      </c>
      <c r="E59" s="14">
        <f t="shared" si="10"/>
        <v>3.0436666666666667</v>
      </c>
      <c r="F59" s="14">
        <f t="shared" si="11"/>
        <v>7.0000000000001172E-3</v>
      </c>
      <c r="G59" s="15" t="str">
        <f t="shared" si="12"/>
        <v>ok</v>
      </c>
      <c r="H59" s="15" t="str">
        <f t="shared" si="13"/>
        <v>ok</v>
      </c>
      <c r="J59" s="16">
        <f t="shared" si="14"/>
        <v>3.1302836111111101</v>
      </c>
      <c r="K59" s="16">
        <f t="shared" si="15"/>
        <v>3.0612777777777769</v>
      </c>
      <c r="L59" s="16">
        <f t="shared" si="16"/>
        <v>2.9922719444444437</v>
      </c>
      <c r="N59" s="16">
        <f t="shared" si="17"/>
        <v>0.1738676388888889</v>
      </c>
      <c r="O59" s="16">
        <f t="shared" si="18"/>
        <v>6.7652777777777784E-2</v>
      </c>
      <c r="P59" s="16">
        <f t="shared" si="19"/>
        <v>0</v>
      </c>
    </row>
    <row r="60" spans="1:16" x14ac:dyDescent="0.35">
      <c r="A60" s="13">
        <v>57</v>
      </c>
      <c r="B60" s="13">
        <v>3.0720000000000001</v>
      </c>
      <c r="C60" s="13">
        <v>3.02</v>
      </c>
      <c r="D60" s="13">
        <v>3.0339999999999998</v>
      </c>
      <c r="E60" s="14">
        <f t="shared" si="10"/>
        <v>3.0420000000000003</v>
      </c>
      <c r="F60" s="14">
        <f t="shared" si="11"/>
        <v>5.2000000000000046E-2</v>
      </c>
      <c r="G60" s="15" t="str">
        <f t="shared" si="12"/>
        <v>ok</v>
      </c>
      <c r="H60" s="15" t="str">
        <f t="shared" si="13"/>
        <v>ok</v>
      </c>
      <c r="J60" s="16">
        <f t="shared" si="14"/>
        <v>3.1302836111111101</v>
      </c>
      <c r="K60" s="16">
        <f t="shared" si="15"/>
        <v>3.0612777777777769</v>
      </c>
      <c r="L60" s="16">
        <f t="shared" si="16"/>
        <v>2.9922719444444437</v>
      </c>
      <c r="N60" s="16">
        <f t="shared" si="17"/>
        <v>0.1738676388888889</v>
      </c>
      <c r="O60" s="16">
        <f t="shared" si="18"/>
        <v>6.7652777777777784E-2</v>
      </c>
      <c r="P60" s="16">
        <f t="shared" si="19"/>
        <v>0</v>
      </c>
    </row>
    <row r="61" spans="1:16" x14ac:dyDescent="0.35">
      <c r="A61" s="13">
        <v>58</v>
      </c>
      <c r="B61" s="13">
        <v>3.0310000000000001</v>
      </c>
      <c r="C61" s="13">
        <v>2.9809999999999999</v>
      </c>
      <c r="D61" s="13">
        <v>3.0529999999999999</v>
      </c>
      <c r="E61" s="14">
        <f t="shared" si="10"/>
        <v>3.0216666666666669</v>
      </c>
      <c r="F61" s="14">
        <f t="shared" si="11"/>
        <v>7.2000000000000064E-2</v>
      </c>
      <c r="G61" s="15" t="str">
        <f t="shared" si="12"/>
        <v>ok</v>
      </c>
      <c r="H61" s="15" t="str">
        <f t="shared" si="13"/>
        <v>ok</v>
      </c>
      <c r="J61" s="16">
        <f t="shared" si="14"/>
        <v>3.1302836111111101</v>
      </c>
      <c r="K61" s="16">
        <f t="shared" si="15"/>
        <v>3.0612777777777769</v>
      </c>
      <c r="L61" s="16">
        <f t="shared" si="16"/>
        <v>2.9922719444444437</v>
      </c>
      <c r="N61" s="16">
        <f t="shared" si="17"/>
        <v>0.1738676388888889</v>
      </c>
      <c r="O61" s="16">
        <f t="shared" si="18"/>
        <v>6.7652777777777784E-2</v>
      </c>
      <c r="P61" s="16">
        <f t="shared" si="19"/>
        <v>0</v>
      </c>
    </row>
    <row r="62" spans="1:16" x14ac:dyDescent="0.35">
      <c r="A62" s="13">
        <v>59</v>
      </c>
      <c r="B62" s="13">
        <v>3.0230000000000001</v>
      </c>
      <c r="C62" s="13">
        <v>3.105</v>
      </c>
      <c r="D62" s="13">
        <v>3.0750000000000002</v>
      </c>
      <c r="E62" s="14">
        <f t="shared" si="10"/>
        <v>3.0676666666666663</v>
      </c>
      <c r="F62" s="14">
        <f t="shared" si="11"/>
        <v>8.1999999999999851E-2</v>
      </c>
      <c r="G62" s="15" t="str">
        <f t="shared" si="12"/>
        <v>ok</v>
      </c>
      <c r="H62" s="15" t="str">
        <f t="shared" si="13"/>
        <v>ok</v>
      </c>
      <c r="J62" s="16">
        <f t="shared" si="14"/>
        <v>3.1302836111111101</v>
      </c>
      <c r="K62" s="16">
        <f t="shared" si="15"/>
        <v>3.0612777777777769</v>
      </c>
      <c r="L62" s="16">
        <f t="shared" si="16"/>
        <v>2.9922719444444437</v>
      </c>
      <c r="N62" s="16">
        <f t="shared" si="17"/>
        <v>0.1738676388888889</v>
      </c>
      <c r="O62" s="16">
        <f t="shared" si="18"/>
        <v>6.7652777777777784E-2</v>
      </c>
      <c r="P62" s="16">
        <f t="shared" si="19"/>
        <v>0</v>
      </c>
    </row>
    <row r="63" spans="1:16" x14ac:dyDescent="0.35">
      <c r="A63" s="13">
        <v>60</v>
      </c>
      <c r="B63" s="13">
        <v>3.0430000000000001</v>
      </c>
      <c r="C63" s="13">
        <v>3.077</v>
      </c>
      <c r="D63" s="13">
        <v>3.085</v>
      </c>
      <c r="E63" s="14">
        <f t="shared" si="10"/>
        <v>3.0683333333333334</v>
      </c>
      <c r="F63" s="14">
        <f t="shared" si="11"/>
        <v>4.1999999999999815E-2</v>
      </c>
      <c r="G63" s="15" t="str">
        <f t="shared" si="12"/>
        <v>ok</v>
      </c>
      <c r="H63" s="15" t="str">
        <f t="shared" si="13"/>
        <v>ok</v>
      </c>
      <c r="J63" s="16">
        <f t="shared" si="14"/>
        <v>3.1302836111111101</v>
      </c>
      <c r="K63" s="16">
        <f t="shared" si="15"/>
        <v>3.0612777777777769</v>
      </c>
      <c r="L63" s="16">
        <f t="shared" si="16"/>
        <v>2.9922719444444437</v>
      </c>
      <c r="N63" s="16">
        <f t="shared" si="17"/>
        <v>0.1738676388888889</v>
      </c>
      <c r="O63" s="16">
        <f t="shared" si="18"/>
        <v>6.7652777777777784E-2</v>
      </c>
      <c r="P63" s="16">
        <f t="shared" si="19"/>
        <v>0</v>
      </c>
    </row>
    <row r="64" spans="1:16" x14ac:dyDescent="0.35">
      <c r="A64" s="13">
        <v>61</v>
      </c>
      <c r="B64" s="13">
        <v>3.032</v>
      </c>
      <c r="C64" s="13">
        <v>3.073</v>
      </c>
      <c r="D64" s="13">
        <v>3.06</v>
      </c>
      <c r="E64" s="14">
        <f t="shared" si="10"/>
        <v>3.0550000000000002</v>
      </c>
      <c r="F64" s="14">
        <f t="shared" si="11"/>
        <v>4.0999999999999925E-2</v>
      </c>
      <c r="G64" s="15" t="str">
        <f t="shared" si="12"/>
        <v>ok</v>
      </c>
      <c r="H64" s="15" t="str">
        <f t="shared" si="13"/>
        <v>ok</v>
      </c>
      <c r="J64" s="16">
        <f t="shared" si="14"/>
        <v>3.1302836111111101</v>
      </c>
      <c r="K64" s="16">
        <f t="shared" si="15"/>
        <v>3.0612777777777769</v>
      </c>
      <c r="L64" s="16">
        <f t="shared" si="16"/>
        <v>2.9922719444444437</v>
      </c>
      <c r="N64" s="16">
        <f t="shared" si="17"/>
        <v>0.1738676388888889</v>
      </c>
      <c r="O64" s="16">
        <f t="shared" si="18"/>
        <v>6.7652777777777784E-2</v>
      </c>
      <c r="P64" s="16">
        <f t="shared" si="19"/>
        <v>0</v>
      </c>
    </row>
    <row r="65" spans="1:16" x14ac:dyDescent="0.35">
      <c r="A65" s="13">
        <v>62</v>
      </c>
      <c r="B65" s="13">
        <v>3.0939999999999999</v>
      </c>
      <c r="C65" s="13">
        <v>2.9910000000000001</v>
      </c>
      <c r="D65" s="13">
        <v>3.08</v>
      </c>
      <c r="E65" s="14">
        <f t="shared" si="10"/>
        <v>3.0549999999999997</v>
      </c>
      <c r="F65" s="14">
        <f t="shared" si="11"/>
        <v>0.10299999999999976</v>
      </c>
      <c r="G65" s="15" t="str">
        <f t="shared" si="12"/>
        <v>ok</v>
      </c>
      <c r="H65" s="15" t="str">
        <f t="shared" si="13"/>
        <v>ok</v>
      </c>
      <c r="J65" s="16">
        <f t="shared" si="14"/>
        <v>3.1302836111111101</v>
      </c>
      <c r="K65" s="16">
        <f t="shared" si="15"/>
        <v>3.0612777777777769</v>
      </c>
      <c r="L65" s="16">
        <f t="shared" si="16"/>
        <v>2.9922719444444437</v>
      </c>
      <c r="N65" s="16">
        <f t="shared" si="17"/>
        <v>0.1738676388888889</v>
      </c>
      <c r="O65" s="16">
        <f t="shared" si="18"/>
        <v>6.7652777777777784E-2</v>
      </c>
      <c r="P65" s="16">
        <f t="shared" si="19"/>
        <v>0</v>
      </c>
    </row>
    <row r="66" spans="1:16" x14ac:dyDescent="0.35">
      <c r="A66" s="13">
        <v>63</v>
      </c>
      <c r="B66" s="13">
        <v>3.0169999999999999</v>
      </c>
      <c r="C66" s="13">
        <v>3.0459999999999998</v>
      </c>
      <c r="D66" s="13">
        <v>3.044</v>
      </c>
      <c r="E66" s="14">
        <f t="shared" si="10"/>
        <v>3.0356666666666663</v>
      </c>
      <c r="F66" s="14">
        <f t="shared" si="11"/>
        <v>2.8999999999999915E-2</v>
      </c>
      <c r="G66" s="15" t="str">
        <f t="shared" si="12"/>
        <v>ok</v>
      </c>
      <c r="H66" s="15" t="str">
        <f t="shared" si="13"/>
        <v>ok</v>
      </c>
      <c r="J66" s="16">
        <f t="shared" si="14"/>
        <v>3.1302836111111101</v>
      </c>
      <c r="K66" s="16">
        <f t="shared" si="15"/>
        <v>3.0612777777777769</v>
      </c>
      <c r="L66" s="16">
        <f t="shared" si="16"/>
        <v>2.9922719444444437</v>
      </c>
      <c r="N66" s="16">
        <f t="shared" si="17"/>
        <v>0.1738676388888889</v>
      </c>
      <c r="O66" s="16">
        <f t="shared" si="18"/>
        <v>6.7652777777777784E-2</v>
      </c>
      <c r="P66" s="16">
        <f t="shared" si="19"/>
        <v>0</v>
      </c>
    </row>
    <row r="67" spans="1:16" x14ac:dyDescent="0.35">
      <c r="A67" s="13">
        <v>64</v>
      </c>
      <c r="B67" s="13">
        <v>3.07</v>
      </c>
      <c r="C67" s="13">
        <v>3.0990000000000002</v>
      </c>
      <c r="D67" s="13">
        <v>2.97</v>
      </c>
      <c r="E67" s="14">
        <f t="shared" si="10"/>
        <v>3.0463333333333336</v>
      </c>
      <c r="F67" s="14">
        <f t="shared" si="11"/>
        <v>0.129</v>
      </c>
      <c r="G67" s="15" t="str">
        <f t="shared" si="12"/>
        <v>ok</v>
      </c>
      <c r="H67" s="15" t="str">
        <f t="shared" si="13"/>
        <v>ok</v>
      </c>
      <c r="J67" s="16">
        <f t="shared" si="14"/>
        <v>3.1302836111111101</v>
      </c>
      <c r="K67" s="16">
        <f t="shared" si="15"/>
        <v>3.0612777777777769</v>
      </c>
      <c r="L67" s="16">
        <f t="shared" si="16"/>
        <v>2.9922719444444437</v>
      </c>
      <c r="N67" s="16">
        <f t="shared" si="17"/>
        <v>0.1738676388888889</v>
      </c>
      <c r="O67" s="16">
        <f t="shared" si="18"/>
        <v>6.7652777777777784E-2</v>
      </c>
      <c r="P67" s="16">
        <f t="shared" si="19"/>
        <v>0</v>
      </c>
    </row>
    <row r="68" spans="1:16" x14ac:dyDescent="0.35">
      <c r="A68" s="13">
        <v>65</v>
      </c>
      <c r="B68" s="13">
        <v>3.0630000000000002</v>
      </c>
      <c r="C68" s="13">
        <v>2.97</v>
      </c>
      <c r="D68" s="13">
        <v>3.0569999999999999</v>
      </c>
      <c r="E68" s="14">
        <f t="shared" ref="E68:E99" si="20">AVERAGE(B68:D68)</f>
        <v>3.03</v>
      </c>
      <c r="F68" s="14">
        <f t="shared" ref="F68:F75" si="21">MAX(B68:D68)-MIN(B68:D68)</f>
        <v>9.2999999999999972E-2</v>
      </c>
      <c r="G68" s="15" t="str">
        <f t="shared" ref="G68:G75" si="22">IF(OR(E68&gt;$B$84,E68&lt;$B$85),"OUT","ok")</f>
        <v>ok</v>
      </c>
      <c r="H68" s="15" t="str">
        <f t="shared" ref="H68:H75" si="23">IF(OR(F68&gt;$B$86,F68&lt;$B$87),"OUT","ok")</f>
        <v>ok</v>
      </c>
      <c r="J68" s="16">
        <f t="shared" ref="J68:J75" si="24">$B$84</f>
        <v>3.1302836111111101</v>
      </c>
      <c r="K68" s="16">
        <f t="shared" ref="K68:K75" si="25">$B$79</f>
        <v>3.0612777777777769</v>
      </c>
      <c r="L68" s="16">
        <f t="shared" ref="L68:L75" si="26">$B$85</f>
        <v>2.9922719444444437</v>
      </c>
      <c r="N68" s="16">
        <f t="shared" ref="N68:N75" si="27">$B$86</f>
        <v>0.1738676388888889</v>
      </c>
      <c r="O68" s="16">
        <f t="shared" ref="O68:O75" si="28">$B$80</f>
        <v>6.7652777777777784E-2</v>
      </c>
      <c r="P68" s="16">
        <f t="shared" ref="P68:P75" si="29">$B$87</f>
        <v>0</v>
      </c>
    </row>
    <row r="69" spans="1:16" x14ac:dyDescent="0.35">
      <c r="A69" s="13">
        <v>66</v>
      </c>
      <c r="B69" s="13">
        <v>3.073</v>
      </c>
      <c r="C69" s="13">
        <v>3.12</v>
      </c>
      <c r="D69" s="13">
        <v>3.0859999999999999</v>
      </c>
      <c r="E69" s="14">
        <f t="shared" si="20"/>
        <v>3.093</v>
      </c>
      <c r="F69" s="14">
        <f t="shared" si="21"/>
        <v>4.7000000000000153E-2</v>
      </c>
      <c r="G69" s="15" t="str">
        <f t="shared" si="22"/>
        <v>ok</v>
      </c>
      <c r="H69" s="15" t="str">
        <f t="shared" si="23"/>
        <v>ok</v>
      </c>
      <c r="J69" s="16">
        <f t="shared" si="24"/>
        <v>3.1302836111111101</v>
      </c>
      <c r="K69" s="16">
        <f t="shared" si="25"/>
        <v>3.0612777777777769</v>
      </c>
      <c r="L69" s="16">
        <f t="shared" si="26"/>
        <v>2.9922719444444437</v>
      </c>
      <c r="N69" s="16">
        <f t="shared" si="27"/>
        <v>0.1738676388888889</v>
      </c>
      <c r="O69" s="16">
        <f t="shared" si="28"/>
        <v>6.7652777777777784E-2</v>
      </c>
      <c r="P69" s="16">
        <f t="shared" si="29"/>
        <v>0</v>
      </c>
    </row>
    <row r="70" spans="1:16" x14ac:dyDescent="0.35">
      <c r="A70" s="13">
        <v>67</v>
      </c>
      <c r="B70" s="13">
        <v>3.0779999999999998</v>
      </c>
      <c r="C70" s="13">
        <v>3.0750000000000002</v>
      </c>
      <c r="D70" s="13">
        <v>3.109</v>
      </c>
      <c r="E70" s="14">
        <f t="shared" si="20"/>
        <v>3.0873333333333335</v>
      </c>
      <c r="F70" s="14">
        <f t="shared" si="21"/>
        <v>3.3999999999999808E-2</v>
      </c>
      <c r="G70" s="15" t="str">
        <f t="shared" si="22"/>
        <v>ok</v>
      </c>
      <c r="H70" s="15" t="str">
        <f t="shared" si="23"/>
        <v>ok</v>
      </c>
      <c r="J70" s="16">
        <f t="shared" si="24"/>
        <v>3.1302836111111101</v>
      </c>
      <c r="K70" s="16">
        <f t="shared" si="25"/>
        <v>3.0612777777777769</v>
      </c>
      <c r="L70" s="16">
        <f t="shared" si="26"/>
        <v>2.9922719444444437</v>
      </c>
      <c r="N70" s="16">
        <f t="shared" si="27"/>
        <v>0.1738676388888889</v>
      </c>
      <c r="O70" s="16">
        <f t="shared" si="28"/>
        <v>6.7652777777777784E-2</v>
      </c>
      <c r="P70" s="16">
        <f t="shared" si="29"/>
        <v>0</v>
      </c>
    </row>
    <row r="71" spans="1:16" x14ac:dyDescent="0.35">
      <c r="A71" s="13">
        <v>68</v>
      </c>
      <c r="B71" s="13">
        <v>3.0619999999999998</v>
      </c>
      <c r="C71" s="13">
        <v>3.129</v>
      </c>
      <c r="D71" s="13">
        <v>3.0019999999999998</v>
      </c>
      <c r="E71" s="14">
        <f t="shared" si="20"/>
        <v>3.0643333333333334</v>
      </c>
      <c r="F71" s="14">
        <f t="shared" si="21"/>
        <v>0.12700000000000022</v>
      </c>
      <c r="G71" s="15" t="str">
        <f t="shared" si="22"/>
        <v>ok</v>
      </c>
      <c r="H71" s="15" t="str">
        <f t="shared" si="23"/>
        <v>ok</v>
      </c>
      <c r="J71" s="16">
        <f t="shared" si="24"/>
        <v>3.1302836111111101</v>
      </c>
      <c r="K71" s="16">
        <f t="shared" si="25"/>
        <v>3.0612777777777769</v>
      </c>
      <c r="L71" s="16">
        <f t="shared" si="26"/>
        <v>2.9922719444444437</v>
      </c>
      <c r="N71" s="16">
        <f t="shared" si="27"/>
        <v>0.1738676388888889</v>
      </c>
      <c r="O71" s="16">
        <f t="shared" si="28"/>
        <v>6.7652777777777784E-2</v>
      </c>
      <c r="P71" s="16">
        <f t="shared" si="29"/>
        <v>0</v>
      </c>
    </row>
    <row r="72" spans="1:16" x14ac:dyDescent="0.35">
      <c r="A72" s="13">
        <v>69</v>
      </c>
      <c r="B72" s="13">
        <v>3.0779999999999998</v>
      </c>
      <c r="C72" s="13">
        <v>3.113</v>
      </c>
      <c r="D72" s="13">
        <v>3.0510000000000002</v>
      </c>
      <c r="E72" s="14">
        <f t="shared" si="20"/>
        <v>3.0806666666666671</v>
      </c>
      <c r="F72" s="14">
        <f t="shared" si="21"/>
        <v>6.1999999999999833E-2</v>
      </c>
      <c r="G72" s="15" t="str">
        <f t="shared" si="22"/>
        <v>ok</v>
      </c>
      <c r="H72" s="15" t="str">
        <f t="shared" si="23"/>
        <v>ok</v>
      </c>
      <c r="J72" s="16">
        <f t="shared" si="24"/>
        <v>3.1302836111111101</v>
      </c>
      <c r="K72" s="16">
        <f t="shared" si="25"/>
        <v>3.0612777777777769</v>
      </c>
      <c r="L72" s="16">
        <f t="shared" si="26"/>
        <v>2.9922719444444437</v>
      </c>
      <c r="N72" s="16">
        <f t="shared" si="27"/>
        <v>0.1738676388888889</v>
      </c>
      <c r="O72" s="16">
        <f t="shared" si="28"/>
        <v>6.7652777777777784E-2</v>
      </c>
      <c r="P72" s="16">
        <f t="shared" si="29"/>
        <v>0</v>
      </c>
    </row>
    <row r="73" spans="1:16" x14ac:dyDescent="0.35">
      <c r="A73" s="13">
        <v>70</v>
      </c>
      <c r="B73" s="13">
        <v>3.0459999999999998</v>
      </c>
      <c r="C73" s="13">
        <v>3.069</v>
      </c>
      <c r="D73" s="13">
        <v>3.0790000000000002</v>
      </c>
      <c r="E73" s="14">
        <f t="shared" si="20"/>
        <v>3.0646666666666671</v>
      </c>
      <c r="F73" s="14">
        <f t="shared" si="21"/>
        <v>3.3000000000000362E-2</v>
      </c>
      <c r="G73" s="15" t="str">
        <f t="shared" si="22"/>
        <v>ok</v>
      </c>
      <c r="H73" s="15" t="str">
        <f t="shared" si="23"/>
        <v>ok</v>
      </c>
      <c r="J73" s="16">
        <f t="shared" si="24"/>
        <v>3.1302836111111101</v>
      </c>
      <c r="K73" s="16">
        <f t="shared" si="25"/>
        <v>3.0612777777777769</v>
      </c>
      <c r="L73" s="16">
        <f t="shared" si="26"/>
        <v>2.9922719444444437</v>
      </c>
      <c r="N73" s="16">
        <f t="shared" si="27"/>
        <v>0.1738676388888889</v>
      </c>
      <c r="O73" s="16">
        <f t="shared" si="28"/>
        <v>6.7652777777777784E-2</v>
      </c>
      <c r="P73" s="16">
        <f t="shared" si="29"/>
        <v>0</v>
      </c>
    </row>
    <row r="74" spans="1:16" x14ac:dyDescent="0.35">
      <c r="A74" s="13">
        <v>71</v>
      </c>
      <c r="B74" s="13">
        <v>3.1520000000000001</v>
      </c>
      <c r="C74" s="13">
        <v>3.073</v>
      </c>
      <c r="D74" s="13">
        <v>3.0529999999999999</v>
      </c>
      <c r="E74" s="14">
        <f t="shared" si="20"/>
        <v>3.0926666666666662</v>
      </c>
      <c r="F74" s="14">
        <f t="shared" si="21"/>
        <v>9.9000000000000199E-2</v>
      </c>
      <c r="G74" s="15" t="str">
        <f t="shared" si="22"/>
        <v>ok</v>
      </c>
      <c r="H74" s="15" t="str">
        <f t="shared" si="23"/>
        <v>ok</v>
      </c>
      <c r="J74" s="16">
        <f t="shared" si="24"/>
        <v>3.1302836111111101</v>
      </c>
      <c r="K74" s="16">
        <f t="shared" si="25"/>
        <v>3.0612777777777769</v>
      </c>
      <c r="L74" s="16">
        <f t="shared" si="26"/>
        <v>2.9922719444444437</v>
      </c>
      <c r="N74" s="16">
        <f t="shared" si="27"/>
        <v>0.1738676388888889</v>
      </c>
      <c r="O74" s="16">
        <f t="shared" si="28"/>
        <v>6.7652777777777784E-2</v>
      </c>
      <c r="P74" s="16">
        <f t="shared" si="29"/>
        <v>0</v>
      </c>
    </row>
    <row r="75" spans="1:16" x14ac:dyDescent="0.35">
      <c r="A75" s="13">
        <v>72</v>
      </c>
      <c r="B75" s="13">
        <v>3.0350000000000001</v>
      </c>
      <c r="C75" s="13">
        <v>3.0939999999999999</v>
      </c>
      <c r="D75" s="13">
        <v>3.1269999999999998</v>
      </c>
      <c r="E75" s="14">
        <f t="shared" si="20"/>
        <v>3.0853333333333333</v>
      </c>
      <c r="F75" s="14">
        <f t="shared" si="21"/>
        <v>9.1999999999999638E-2</v>
      </c>
      <c r="G75" s="15" t="str">
        <f t="shared" si="22"/>
        <v>ok</v>
      </c>
      <c r="H75" s="15" t="str">
        <f t="shared" si="23"/>
        <v>ok</v>
      </c>
      <c r="J75" s="16">
        <f t="shared" si="24"/>
        <v>3.1302836111111101</v>
      </c>
      <c r="K75" s="16">
        <f t="shared" si="25"/>
        <v>3.0612777777777769</v>
      </c>
      <c r="L75" s="16">
        <f t="shared" si="26"/>
        <v>2.9922719444444437</v>
      </c>
      <c r="N75" s="16">
        <f t="shared" si="27"/>
        <v>0.1738676388888889</v>
      </c>
      <c r="O75" s="16">
        <f t="shared" si="28"/>
        <v>6.7652777777777784E-2</v>
      </c>
      <c r="P75" s="16">
        <f t="shared" si="29"/>
        <v>0</v>
      </c>
    </row>
    <row r="78" spans="1:16" x14ac:dyDescent="0.35">
      <c r="A78" s="17" t="s">
        <v>14</v>
      </c>
    </row>
    <row r="79" spans="1:16" x14ac:dyDescent="0.35">
      <c r="A79" s="10" t="s">
        <v>15</v>
      </c>
      <c r="B79" s="16">
        <f>AVERAGE(E4:E75)</f>
        <v>3.0612777777777769</v>
      </c>
    </row>
    <row r="80" spans="1:16" x14ac:dyDescent="0.35">
      <c r="A80" s="10" t="s">
        <v>16</v>
      </c>
      <c r="B80" s="16">
        <f>AVERAGE(F4:F75)</f>
        <v>6.7652777777777784E-2</v>
      </c>
    </row>
    <row r="82" spans="1:2" x14ac:dyDescent="0.35">
      <c r="A82" s="18" t="s">
        <v>17</v>
      </c>
    </row>
    <row r="84" spans="1:2" x14ac:dyDescent="0.35">
      <c r="A84" s="10" t="s">
        <v>18</v>
      </c>
      <c r="B84" s="16">
        <f>B79+1.02*B80</f>
        <v>3.1302836111111101</v>
      </c>
    </row>
    <row r="85" spans="1:2" x14ac:dyDescent="0.35">
      <c r="A85" s="10" t="s">
        <v>19</v>
      </c>
      <c r="B85" s="16">
        <f>B79-1.02*B80</f>
        <v>2.9922719444444437</v>
      </c>
    </row>
    <row r="86" spans="1:2" x14ac:dyDescent="0.35">
      <c r="A86" s="10" t="s">
        <v>20</v>
      </c>
      <c r="B86" s="16">
        <f>2.57*B80</f>
        <v>0.1738676388888889</v>
      </c>
    </row>
    <row r="87" spans="1:2" x14ac:dyDescent="0.35">
      <c r="A87" s="10" t="s">
        <v>21</v>
      </c>
      <c r="B87" s="16">
        <f>0*B80</f>
        <v>0</v>
      </c>
    </row>
  </sheetData>
  <mergeCells count="1">
    <mergeCell ref="A1:L1"/>
  </mergeCells>
  <pageMargins left="0.75" right="0.75" top="1" bottom="1" header="0.5" footer="0.5"/>
  <ignoredErrors>
    <ignoredError sqref="E4:F75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tabSelected="1" workbookViewId="0">
      <selection activeCell="A23" sqref="A23"/>
    </sheetView>
  </sheetViews>
  <sheetFormatPr defaultRowHeight="14.5" x14ac:dyDescent="0.35"/>
  <cols>
    <col min="1" max="1" width="48" customWidth="1"/>
    <col min="2" max="2" width="18" customWidth="1"/>
    <col min="3" max="3" width="48" customWidth="1"/>
  </cols>
  <sheetData>
    <row r="1" spans="1:3" ht="17" x14ac:dyDescent="0.4">
      <c r="A1" s="6" t="s">
        <v>44</v>
      </c>
      <c r="B1" s="7"/>
      <c r="C1" s="7"/>
    </row>
    <row r="3" spans="1:3" x14ac:dyDescent="0.35">
      <c r="A3" s="2" t="s">
        <v>22</v>
      </c>
    </row>
    <row r="4" spans="1:3" x14ac:dyDescent="0.35">
      <c r="A4" t="s">
        <v>23</v>
      </c>
      <c r="B4" s="3">
        <v>3.1</v>
      </c>
      <c r="C4" t="s">
        <v>41</v>
      </c>
    </row>
    <row r="5" spans="1:3" x14ac:dyDescent="0.35">
      <c r="A5" t="s">
        <v>24</v>
      </c>
      <c r="B5" s="3">
        <v>2.9</v>
      </c>
      <c r="C5" t="s">
        <v>41</v>
      </c>
    </row>
    <row r="6" spans="1:3" x14ac:dyDescent="0.35">
      <c r="A6" t="s">
        <v>25</v>
      </c>
      <c r="B6" s="3">
        <v>3</v>
      </c>
      <c r="C6" t="s">
        <v>41</v>
      </c>
    </row>
    <row r="8" spans="1:3" x14ac:dyDescent="0.35">
      <c r="A8" s="2" t="s">
        <v>26</v>
      </c>
    </row>
    <row r="9" spans="1:3" x14ac:dyDescent="0.35">
      <c r="A9" t="s">
        <v>27</v>
      </c>
      <c r="B9" s="1">
        <f>'Post-Improvement'!B80</f>
        <v>6.7652777777777784E-2</v>
      </c>
    </row>
    <row r="10" spans="1:3" x14ac:dyDescent="0.35">
      <c r="A10" t="s">
        <v>28</v>
      </c>
      <c r="B10" s="1">
        <f>'Post-Improvement'!B79</f>
        <v>3.0612777777777769</v>
      </c>
    </row>
    <row r="11" spans="1:3" x14ac:dyDescent="0.35">
      <c r="A11" t="s">
        <v>29</v>
      </c>
      <c r="B11" s="3">
        <v>1.6930000000000001</v>
      </c>
      <c r="C11" t="s">
        <v>30</v>
      </c>
    </row>
    <row r="13" spans="1:3" x14ac:dyDescent="0.35">
      <c r="A13" s="2" t="s">
        <v>31</v>
      </c>
      <c r="C13" t="s">
        <v>32</v>
      </c>
    </row>
    <row r="14" spans="1:3" x14ac:dyDescent="0.35">
      <c r="A14" t="s">
        <v>33</v>
      </c>
      <c r="B14" s="4">
        <f>B9/B11</f>
        <v>3.996029402113277E-2</v>
      </c>
    </row>
    <row r="16" spans="1:3" x14ac:dyDescent="0.35">
      <c r="A16" s="2" t="s">
        <v>34</v>
      </c>
      <c r="C16" t="s">
        <v>35</v>
      </c>
    </row>
    <row r="17" spans="1:2" x14ac:dyDescent="0.35">
      <c r="A17" t="s">
        <v>36</v>
      </c>
      <c r="B17" s="3">
        <f>(B4-B5)/(6*B14)</f>
        <v>0.83416136316978107</v>
      </c>
    </row>
    <row r="19" spans="1:2" x14ac:dyDescent="0.35">
      <c r="A19" s="2" t="s">
        <v>37</v>
      </c>
    </row>
    <row r="20" spans="1:2" x14ac:dyDescent="0.35">
      <c r="A20" t="s">
        <v>38</v>
      </c>
      <c r="B20" s="3">
        <f>(B4-B10)/(3*B14)</f>
        <v>0.32300581673852874</v>
      </c>
    </row>
    <row r="21" spans="1:2" x14ac:dyDescent="0.35">
      <c r="A21" t="s">
        <v>39</v>
      </c>
      <c r="B21" s="3">
        <f>(B10-B5)/(3*B14)</f>
        <v>1.3453169096010333</v>
      </c>
    </row>
    <row r="22" spans="1:2" x14ac:dyDescent="0.35">
      <c r="A22" s="2" t="s">
        <v>40</v>
      </c>
      <c r="B22" s="5">
        <f>MIN(B20,B21)</f>
        <v>0.32300581673852874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Pre-Improvement</vt:lpstr>
      <vt:lpstr>Post-Improvement</vt:lpstr>
      <vt:lpstr>Process Capability (Part E3)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2026-09-16T16:55:42Z</dcterms:created>
  <dcterms:modified xsi:type="dcterms:W3CDTF">2026-09-17T08:30:15Z</dcterms:modified>
</cp:coreProperties>
</file>