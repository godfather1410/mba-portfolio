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eNeT\OneDrive\Desktop\"/>
    </mc:Choice>
  </mc:AlternateContent>
  <xr:revisionPtr revIDLastSave="0" documentId="13_ncr:1_{C7AB2369-B8CA-4720-A70E-EA4BE1E993EC}" xr6:coauthVersionLast="47" xr6:coauthVersionMax="47" xr10:uidLastSave="{00000000-0000-0000-0000-000000000000}"/>
  <bookViews>
    <workbookView xWindow="12710" yWindow="0" windowWidth="12980" windowHeight="15370" firstSheet="1" activeTab="3" xr2:uid="{00000000-000D-0000-FFFF-FFFF00000000}"/>
  </bookViews>
  <sheets>
    <sheet name="2-22" sheetId="5" r:id="rId1"/>
    <sheet name="Existing Cost Structure" sheetId="4" r:id="rId2"/>
    <sheet name="trousers" sheetId="7" r:id="rId3"/>
    <sheet name="cargo" sheetId="8" r:id="rId4"/>
    <sheet name="Sheet1" sheetId="9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5" i="7" l="1"/>
  <c r="K30" i="4"/>
  <c r="O9" i="8" l="1"/>
  <c r="P9" i="8" s="1"/>
  <c r="Y9" i="8" s="1"/>
  <c r="Y12" i="8" s="1"/>
  <c r="Y22" i="8"/>
  <c r="P24" i="8"/>
  <c r="P23" i="8"/>
  <c r="P18" i="8"/>
  <c r="P17" i="8"/>
  <c r="Y20" i="8"/>
  <c r="Y17" i="8"/>
  <c r="Y15" i="8"/>
  <c r="Y14" i="8"/>
  <c r="Y11" i="8"/>
  <c r="Y10" i="8"/>
  <c r="Y6" i="8"/>
  <c r="Y5" i="8"/>
  <c r="Y3" i="8"/>
  <c r="P12" i="8"/>
  <c r="P11" i="8"/>
  <c r="P10" i="8"/>
  <c r="P4" i="8"/>
  <c r="P6" i="8"/>
  <c r="P5" i="8"/>
  <c r="H15" i="8"/>
  <c r="P21" i="7"/>
  <c r="O2" i="7"/>
  <c r="O12" i="7" s="1"/>
  <c r="X17" i="8"/>
  <c r="X14" i="8"/>
  <c r="X15" i="8" s="1"/>
  <c r="G9" i="8"/>
  <c r="H9" i="8" s="1"/>
  <c r="F7" i="8"/>
  <c r="H7" i="8" s="1"/>
  <c r="X11" i="8"/>
  <c r="X10" i="8"/>
  <c r="X9" i="8"/>
  <c r="X12" i="8" s="1"/>
  <c r="X28" i="8" s="1"/>
  <c r="X5" i="8"/>
  <c r="X3" i="8"/>
  <c r="X6" i="8" s="1"/>
  <c r="W11" i="8"/>
  <c r="V11" i="8"/>
  <c r="U11" i="8"/>
  <c r="W10" i="8"/>
  <c r="V10" i="8"/>
  <c r="U10" i="8"/>
  <c r="V5" i="8"/>
  <c r="U5" i="8"/>
  <c r="W3" i="8"/>
  <c r="V3" i="8"/>
  <c r="V6" i="8" s="1"/>
  <c r="U3" i="8"/>
  <c r="M23" i="8"/>
  <c r="O23" i="8"/>
  <c r="M17" i="8"/>
  <c r="N17" i="8"/>
  <c r="O17" i="8"/>
  <c r="L17" i="8"/>
  <c r="M12" i="8"/>
  <c r="N12" i="8"/>
  <c r="O12" i="8"/>
  <c r="Q21" i="8" s="1"/>
  <c r="L12" i="8"/>
  <c r="C13" i="8"/>
  <c r="N11" i="8"/>
  <c r="N23" i="8" s="1"/>
  <c r="M11" i="8"/>
  <c r="L11" i="8"/>
  <c r="L23" i="8" s="1"/>
  <c r="H10" i="8"/>
  <c r="N9" i="8"/>
  <c r="W9" i="8" s="1"/>
  <c r="M9" i="8"/>
  <c r="V9" i="8" s="1"/>
  <c r="L9" i="8"/>
  <c r="U9" i="8" s="1"/>
  <c r="N8" i="8"/>
  <c r="W8" i="8" s="1"/>
  <c r="W12" i="8" s="1"/>
  <c r="G8" i="8"/>
  <c r="H8" i="8" s="1"/>
  <c r="N7" i="8"/>
  <c r="W4" i="8" s="1"/>
  <c r="G7" i="8"/>
  <c r="G6" i="8"/>
  <c r="H6" i="8" s="1"/>
  <c r="F6" i="8"/>
  <c r="N5" i="8"/>
  <c r="H4" i="8"/>
  <c r="C4" i="8"/>
  <c r="F3" i="8"/>
  <c r="H3" i="8" s="1"/>
  <c r="W23" i="7"/>
  <c r="W14" i="7"/>
  <c r="W12" i="7"/>
  <c r="W11" i="7"/>
  <c r="W10" i="7"/>
  <c r="W9" i="7"/>
  <c r="O9" i="7"/>
  <c r="W6" i="7"/>
  <c r="W5" i="7"/>
  <c r="W3" i="7"/>
  <c r="V11" i="7"/>
  <c r="U11" i="7"/>
  <c r="T11" i="7"/>
  <c r="V10" i="7"/>
  <c r="V12" i="7" s="1"/>
  <c r="U10" i="7"/>
  <c r="U12" i="7" s="1"/>
  <c r="T10" i="7"/>
  <c r="T12" i="7" s="1"/>
  <c r="V9" i="7"/>
  <c r="U9" i="7"/>
  <c r="T9" i="7"/>
  <c r="V8" i="7"/>
  <c r="U5" i="7"/>
  <c r="T5" i="7"/>
  <c r="T6" i="7" s="1"/>
  <c r="V4" i="7"/>
  <c r="V3" i="7"/>
  <c r="V6" i="7" s="1"/>
  <c r="U3" i="7"/>
  <c r="U6" i="7" s="1"/>
  <c r="T3" i="7"/>
  <c r="L27" i="4"/>
  <c r="O23" i="7"/>
  <c r="O17" i="7"/>
  <c r="N23" i="7"/>
  <c r="M23" i="7"/>
  <c r="L23" i="7"/>
  <c r="N17" i="7"/>
  <c r="M17" i="7"/>
  <c r="L17" i="7"/>
  <c r="N12" i="7"/>
  <c r="M12" i="7"/>
  <c r="L12" i="7"/>
  <c r="N11" i="7"/>
  <c r="M11" i="7"/>
  <c r="L11" i="7"/>
  <c r="H10" i="7"/>
  <c r="N9" i="7"/>
  <c r="M9" i="7"/>
  <c r="L9" i="7"/>
  <c r="H9" i="7"/>
  <c r="N8" i="7"/>
  <c r="G8" i="7"/>
  <c r="H8" i="7" s="1"/>
  <c r="N7" i="7"/>
  <c r="G7" i="7"/>
  <c r="F7" i="7"/>
  <c r="G6" i="7"/>
  <c r="F6" i="7"/>
  <c r="F11" i="7" s="1"/>
  <c r="N5" i="7"/>
  <c r="H4" i="7"/>
  <c r="C4" i="7"/>
  <c r="C13" i="7" s="1"/>
  <c r="F3" i="7"/>
  <c r="H3" i="7" s="1"/>
  <c r="T22" i="4"/>
  <c r="V10" i="4"/>
  <c r="U10" i="4"/>
  <c r="T10" i="4"/>
  <c r="U5" i="4"/>
  <c r="T5" i="4"/>
  <c r="U3" i="4"/>
  <c r="T3" i="4"/>
  <c r="N23" i="4"/>
  <c r="M23" i="4"/>
  <c r="L23" i="4"/>
  <c r="N17" i="4"/>
  <c r="M17" i="4"/>
  <c r="L17" i="4"/>
  <c r="N12" i="4"/>
  <c r="L12" i="4"/>
  <c r="D9" i="5"/>
  <c r="E9" i="5"/>
  <c r="C9" i="5"/>
  <c r="D5" i="5"/>
  <c r="E5" i="5"/>
  <c r="C5" i="5"/>
  <c r="E17" i="5"/>
  <c r="D15" i="5"/>
  <c r="E15" i="5"/>
  <c r="C15" i="5"/>
  <c r="C17" i="5" s="1"/>
  <c r="E12" i="5"/>
  <c r="E11" i="5"/>
  <c r="D17" i="5"/>
  <c r="F8" i="5"/>
  <c r="D24" i="5" s="1"/>
  <c r="E24" i="5" s="1"/>
  <c r="F7" i="5"/>
  <c r="D23" i="5" s="1"/>
  <c r="F4" i="5"/>
  <c r="F3" i="5"/>
  <c r="X34" i="8" l="1"/>
  <c r="Y19" i="8"/>
  <c r="Y21" i="8" s="1"/>
  <c r="Y23" i="8" s="1"/>
  <c r="X19" i="8"/>
  <c r="V12" i="8"/>
  <c r="Q15" i="8"/>
  <c r="W6" i="8"/>
  <c r="W19" i="8" s="1"/>
  <c r="U6" i="8"/>
  <c r="U12" i="8"/>
  <c r="P2" i="7"/>
  <c r="H11" i="8"/>
  <c r="H12" i="8"/>
  <c r="H13" i="8" s="1"/>
  <c r="V19" i="8"/>
  <c r="U19" i="8"/>
  <c r="G11" i="8"/>
  <c r="Q22" i="8" s="1"/>
  <c r="F11" i="8"/>
  <c r="U14" i="7"/>
  <c r="V14" i="7"/>
  <c r="T14" i="7"/>
  <c r="P16" i="7"/>
  <c r="G11" i="7"/>
  <c r="H7" i="7"/>
  <c r="H6" i="7"/>
  <c r="H11" i="7" s="1"/>
  <c r="H12" i="7" s="1"/>
  <c r="H13" i="7" s="1"/>
  <c r="H15" i="7" s="1"/>
  <c r="F17" i="5"/>
  <c r="E25" i="5" s="1"/>
  <c r="E23" i="5"/>
  <c r="D25" i="5"/>
  <c r="D26" i="5" s="1"/>
  <c r="X35" i="8" l="1"/>
  <c r="Y25" i="8"/>
  <c r="X36" i="8" s="1"/>
  <c r="Q16" i="8"/>
  <c r="L18" i="8" s="1"/>
  <c r="P22" i="7"/>
  <c r="L24" i="8"/>
  <c r="U22" i="8" s="1"/>
  <c r="O24" i="8"/>
  <c r="X22" i="8" s="1"/>
  <c r="M24" i="8"/>
  <c r="V22" i="8" s="1"/>
  <c r="N24" i="8"/>
  <c r="W22" i="8" s="1"/>
  <c r="U20" i="8"/>
  <c r="U21" i="8" s="1"/>
  <c r="O18" i="8"/>
  <c r="X20" i="8" s="1"/>
  <c r="N18" i="8"/>
  <c r="W20" i="8" s="1"/>
  <c r="W21" i="8" s="1"/>
  <c r="W23" i="8" s="1"/>
  <c r="W25" i="8" s="1"/>
  <c r="M18" i="8"/>
  <c r="V20" i="8" s="1"/>
  <c r="V21" i="8" s="1"/>
  <c r="N24" i="7"/>
  <c r="V17" i="7" s="1"/>
  <c r="O24" i="7"/>
  <c r="W17" i="7" s="1"/>
  <c r="M18" i="7"/>
  <c r="U15" i="7" s="1"/>
  <c r="U16" i="7" s="1"/>
  <c r="O18" i="7"/>
  <c r="W15" i="7" s="1"/>
  <c r="W16" i="7" s="1"/>
  <c r="L18" i="7"/>
  <c r="T15" i="7" s="1"/>
  <c r="T16" i="7" s="1"/>
  <c r="N18" i="7"/>
  <c r="V15" i="7" s="1"/>
  <c r="V16" i="7" s="1"/>
  <c r="E26" i="5"/>
  <c r="E27" i="5" s="1"/>
  <c r="E28" i="5" s="1"/>
  <c r="D27" i="5"/>
  <c r="D28" i="5" s="1"/>
  <c r="X21" i="8" l="1"/>
  <c r="X23" i="8" s="1"/>
  <c r="V18" i="7"/>
  <c r="V20" i="7" s="1"/>
  <c r="W18" i="7"/>
  <c r="W24" i="7" s="1"/>
  <c r="L24" i="7"/>
  <c r="T17" i="7" s="1"/>
  <c r="T18" i="7" s="1"/>
  <c r="T20" i="7" s="1"/>
  <c r="M24" i="7"/>
  <c r="U17" i="7" s="1"/>
  <c r="U18" i="7" s="1"/>
  <c r="U20" i="7" s="1"/>
  <c r="V23" i="8"/>
  <c r="V25" i="8" s="1"/>
  <c r="U23" i="8"/>
  <c r="U25" i="8" s="1"/>
  <c r="G6" i="4"/>
  <c r="G7" i="4"/>
  <c r="G8" i="4"/>
  <c r="H8" i="4" s="1"/>
  <c r="O15" i="4"/>
  <c r="F6" i="4"/>
  <c r="F7" i="4"/>
  <c r="H7" i="4" s="1"/>
  <c r="F11" i="4"/>
  <c r="O16" i="4" s="1"/>
  <c r="M18" i="4" s="1"/>
  <c r="U15" i="4" s="1"/>
  <c r="O21" i="4"/>
  <c r="N5" i="4"/>
  <c r="V3" i="4" s="1"/>
  <c r="N7" i="4"/>
  <c r="V4" i="4" s="1"/>
  <c r="N8" i="4"/>
  <c r="V8" i="4" s="1"/>
  <c r="V12" i="4" s="1"/>
  <c r="N9" i="4"/>
  <c r="V9" i="4" s="1"/>
  <c r="N11" i="4"/>
  <c r="V11" i="4" s="1"/>
  <c r="U6" i="4"/>
  <c r="M9" i="4"/>
  <c r="U9" i="4" s="1"/>
  <c r="M11" i="4"/>
  <c r="T6" i="4"/>
  <c r="T14" i="4" s="1"/>
  <c r="L9" i="4"/>
  <c r="T9" i="4" s="1"/>
  <c r="L11" i="4"/>
  <c r="T11" i="4" s="1"/>
  <c r="T12" i="4"/>
  <c r="F3" i="4"/>
  <c r="H3" i="4" s="1"/>
  <c r="H4" i="4"/>
  <c r="H9" i="4"/>
  <c r="H10" i="4"/>
  <c r="C4" i="4"/>
  <c r="C13" i="4" s="1"/>
  <c r="O2" i="4"/>
  <c r="X29" i="8" l="1"/>
  <c r="X25" i="8"/>
  <c r="X30" i="8" s="1"/>
  <c r="W20" i="7"/>
  <c r="W25" i="7" s="1"/>
  <c r="V6" i="4"/>
  <c r="V14" i="4" s="1"/>
  <c r="V16" i="4" s="1"/>
  <c r="U11" i="4"/>
  <c r="U12" i="4" s="1"/>
  <c r="U14" i="4" s="1"/>
  <c r="U16" i="4" s="1"/>
  <c r="M12" i="4"/>
  <c r="L18" i="4"/>
  <c r="T15" i="4" s="1"/>
  <c r="N18" i="4"/>
  <c r="V15" i="4" s="1"/>
  <c r="G11" i="4"/>
  <c r="O22" i="4" s="1"/>
  <c r="H6" i="4"/>
  <c r="H11" i="4" s="1"/>
  <c r="H12" i="4" s="1"/>
  <c r="H13" i="4" s="1"/>
  <c r="H15" i="4" s="1"/>
  <c r="T16" i="4"/>
  <c r="N24" i="4" l="1"/>
  <c r="V17" i="4" s="1"/>
  <c r="V18" i="4" s="1"/>
  <c r="V24" i="4" s="1"/>
  <c r="M24" i="4"/>
  <c r="U17" i="4" s="1"/>
  <c r="U18" i="4" s="1"/>
  <c r="U24" i="4" s="1"/>
  <c r="L24" i="4"/>
  <c r="T17" i="4" s="1"/>
  <c r="T18" i="4"/>
  <c r="T24" i="4" s="1"/>
</calcChain>
</file>

<file path=xl/sharedStrings.xml><?xml version="1.0" encoding="utf-8"?>
<sst xmlns="http://schemas.openxmlformats.org/spreadsheetml/2006/main" count="256" uniqueCount="98">
  <si>
    <t>Sales</t>
  </si>
  <si>
    <t>COGS</t>
  </si>
  <si>
    <t>Gross Profit</t>
  </si>
  <si>
    <t>Rent</t>
  </si>
  <si>
    <t>Utilities</t>
  </si>
  <si>
    <t>Phone</t>
  </si>
  <si>
    <t>Salary</t>
  </si>
  <si>
    <t>Misc</t>
  </si>
  <si>
    <t>Net Profit</t>
  </si>
  <si>
    <t>Factory</t>
  </si>
  <si>
    <t>Admin</t>
  </si>
  <si>
    <t>Uitilites</t>
  </si>
  <si>
    <t>Total</t>
  </si>
  <si>
    <t>Maint</t>
  </si>
  <si>
    <t>Mat &amp; Lab</t>
  </si>
  <si>
    <t>T-Shirts</t>
  </si>
  <si>
    <t>Boxers</t>
  </si>
  <si>
    <t>Coveralls</t>
  </si>
  <si>
    <t>Direct Cost</t>
  </si>
  <si>
    <t>OH</t>
  </si>
  <si>
    <t>Full Cost</t>
  </si>
  <si>
    <t>Fabric per unit (metres)</t>
  </si>
  <si>
    <t>Cost per metre</t>
  </si>
  <si>
    <t>Velcro / Elastic (per unit)</t>
  </si>
  <si>
    <t>Knit (8hrs - 4000 m)</t>
  </si>
  <si>
    <t>Dye ($1.15 per metre)</t>
  </si>
  <si>
    <t>Cut (8hrs - 4500 m)</t>
  </si>
  <si>
    <t>Sew (units per 8hrs)</t>
  </si>
  <si>
    <t>Package (units per 8hrs)</t>
  </si>
  <si>
    <t>Estimate of cost per unit</t>
  </si>
  <si>
    <t>Material : Fabric</t>
  </si>
  <si>
    <t>Material : Dye</t>
  </si>
  <si>
    <t>Material : Velcro / Elastic</t>
  </si>
  <si>
    <t>Material Cost</t>
  </si>
  <si>
    <t>Labour: Knit @$20 phr</t>
  </si>
  <si>
    <t>Labour: Cut @$15 phr</t>
  </si>
  <si>
    <t>Labour: Sew @$15 phr</t>
  </si>
  <si>
    <t>Labour: Package @$15 phr</t>
  </si>
  <si>
    <t>Labour Cost</t>
  </si>
  <si>
    <t>Computation of OH Absorption rate</t>
  </si>
  <si>
    <t>Units pm (Current)</t>
  </si>
  <si>
    <t>Sew hr per units</t>
  </si>
  <si>
    <t>Annual Sew hours</t>
  </si>
  <si>
    <t>Factory OH Absorption rate</t>
  </si>
  <si>
    <t>Factory OH per unit</t>
  </si>
  <si>
    <t>Admin OH Absorption rate</t>
  </si>
  <si>
    <t>Admin OH per unit</t>
  </si>
  <si>
    <t>Production Cost</t>
  </si>
  <si>
    <t>Profit Margin</t>
  </si>
  <si>
    <t>Table 1</t>
  </si>
  <si>
    <t>Fabricating</t>
  </si>
  <si>
    <t>Machining</t>
  </si>
  <si>
    <t>Assembly</t>
  </si>
  <si>
    <t>OVERALL</t>
  </si>
  <si>
    <t>CEO's remarks - "We just lost the bid for Koopers job by $2000. It seems that we're either too high to get the job</t>
  </si>
  <si>
    <t>Mfg OH $</t>
  </si>
  <si>
    <t>or too low to make any money on half the jobs we bid."</t>
  </si>
  <si>
    <t>Direct Lab $</t>
  </si>
  <si>
    <t>The company uses a plantwide predetermined OH rate based on Direct Labor Cost.</t>
  </si>
  <si>
    <t>Table 2</t>
  </si>
  <si>
    <t>For Koopers job</t>
  </si>
  <si>
    <t>Data at the three Dept level for Manufacturing OH and the Direct Lab Cost</t>
  </si>
  <si>
    <t>Direct Mat $</t>
  </si>
  <si>
    <t>Info pertaining to a select job - Koopers job</t>
  </si>
  <si>
    <t>Questions for Analysis</t>
  </si>
  <si>
    <t>Step by Step ANALYSIS</t>
  </si>
  <si>
    <t>Arrive at the plantwide predetermined OH rate based on existing approach and the unit cost for Koopers job</t>
  </si>
  <si>
    <t>Plantwide OH Absorption rate</t>
  </si>
  <si>
    <t>Perform the same analysis using Department wise OH rate</t>
  </si>
  <si>
    <t>In case of Koopers job, can you explain why costs vary so much based on these two computations</t>
  </si>
  <si>
    <t>Given a 50% markup on total cost, arrive at the bid price under both approaches and draw implications</t>
  </si>
  <si>
    <t>Departmental OH Absorption rate</t>
  </si>
  <si>
    <t>Concept check - Think of different cost driver candidates for plantwide OH rate</t>
  </si>
  <si>
    <t>DL share</t>
  </si>
  <si>
    <t>Bidding rate under various appraoches</t>
  </si>
  <si>
    <t>Plant OH</t>
  </si>
  <si>
    <t>Dept OH</t>
  </si>
  <si>
    <t>D Mat</t>
  </si>
  <si>
    <t>D Lab</t>
  </si>
  <si>
    <t>Total Cost</t>
  </si>
  <si>
    <t>Markup</t>
  </si>
  <si>
    <t>Bid Price</t>
  </si>
  <si>
    <t>rent/electricity/supplies like nuts nd oils</t>
  </si>
  <si>
    <t>COGS has manufacturing OH</t>
  </si>
  <si>
    <t>Selling Price</t>
  </si>
  <si>
    <t>Trouser</t>
  </si>
  <si>
    <t>sewing hours pm</t>
  </si>
  <si>
    <t>trousers</t>
  </si>
  <si>
    <t>Selling price</t>
  </si>
  <si>
    <t>Minimum Price for biding</t>
  </si>
  <si>
    <t>Floor price</t>
  </si>
  <si>
    <t>Maximum price for biding</t>
  </si>
  <si>
    <t>Polyester/rayon-based cargo pant</t>
  </si>
  <si>
    <t>polyester/ cotton based cargo short</t>
  </si>
  <si>
    <t>direct utilities</t>
  </si>
  <si>
    <t>direct utilities pu</t>
  </si>
  <si>
    <t>direct salary</t>
  </si>
  <si>
    <t>direct salary pu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</si>
</sst>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0.0000"/>
    <numFmt numFmtId="166" formatCode="_(* #,##0_);_(* \(#,##0\);_(* &quot;-&quot;??_);_(@_)"/>
    <numFmt numFmtId="167" formatCode="_(* #,##0_);_(* \(#,##0\);_(* &quot;-&quot;?_);_(@_)"/>
    <numFmt numFmtId="168" formatCode="0.00000"/>
    <numFmt numFmtId="169" formatCode="0.000000000"/>
    <numFmt numFmtId="170" formatCode="0.000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40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165" fontId="0" fillId="0" borderId="0" xfId="0" applyNumberFormat="1"/>
    <xf numFmtId="0" fontId="1" fillId="0" borderId="0" xfId="0" applyFont="1" applyAlignment="1">
      <alignment horizontal="right"/>
    </xf>
    <xf numFmtId="10" fontId="1" fillId="0" borderId="0" xfId="0" applyNumberFormat="1" applyFont="1"/>
    <xf numFmtId="0" fontId="2" fillId="0" borderId="0" xfId="0" applyFont="1"/>
    <xf numFmtId="2" fontId="2" fillId="0" borderId="0" xfId="0" applyNumberFormat="1" applyFont="1"/>
    <xf numFmtId="166" fontId="0" fillId="0" borderId="0" xfId="1" applyNumberFormat="1" applyFont="1"/>
    <xf numFmtId="166" fontId="1" fillId="0" borderId="0" xfId="0" applyNumberFormat="1" applyFont="1"/>
    <xf numFmtId="166" fontId="0" fillId="0" borderId="0" xfId="0" applyNumberFormat="1"/>
    <xf numFmtId="166" fontId="0" fillId="2" borderId="0" xfId="0" applyNumberFormat="1" applyFill="1"/>
    <xf numFmtId="166" fontId="0" fillId="0" borderId="1" xfId="0" applyNumberFormat="1" applyBorder="1"/>
    <xf numFmtId="167" fontId="0" fillId="0" borderId="1" xfId="0" applyNumberFormat="1" applyBorder="1"/>
    <xf numFmtId="9" fontId="0" fillId="3" borderId="0" xfId="2" applyFont="1" applyFill="1"/>
    <xf numFmtId="166" fontId="1" fillId="3" borderId="0" xfId="0" applyNumberFormat="1" applyFont="1" applyFill="1"/>
    <xf numFmtId="9" fontId="0" fillId="0" borderId="0" xfId="2" applyFont="1"/>
    <xf numFmtId="10" fontId="0" fillId="0" borderId="0" xfId="2" applyNumberFormat="1" applyFont="1"/>
    <xf numFmtId="168" fontId="0" fillId="0" borderId="0" xfId="0" applyNumberFormat="1"/>
    <xf numFmtId="0" fontId="0" fillId="4" borderId="0" xfId="0" applyFill="1"/>
    <xf numFmtId="2" fontId="0" fillId="4" borderId="0" xfId="0" applyNumberFormat="1" applyFill="1"/>
    <xf numFmtId="169" fontId="0" fillId="0" borderId="0" xfId="0" applyNumberFormat="1"/>
    <xf numFmtId="0" fontId="0" fillId="5" borderId="2" xfId="0" applyFill="1" applyBorder="1"/>
    <xf numFmtId="2" fontId="0" fillId="5" borderId="2" xfId="0" applyNumberFormat="1" applyFill="1" applyBorder="1"/>
    <xf numFmtId="165" fontId="0" fillId="5" borderId="2" xfId="0" applyNumberFormat="1" applyFill="1" applyBorder="1"/>
    <xf numFmtId="0" fontId="0" fillId="6" borderId="0" xfId="0" applyFill="1"/>
    <xf numFmtId="0" fontId="0" fillId="6" borderId="2" xfId="0" applyFill="1" applyBorder="1"/>
    <xf numFmtId="0" fontId="0" fillId="5" borderId="3" xfId="0" applyFill="1" applyBorder="1"/>
    <xf numFmtId="2" fontId="0" fillId="5" borderId="3" xfId="0" applyNumberFormat="1" applyFill="1" applyBorder="1"/>
    <xf numFmtId="165" fontId="0" fillId="5" borderId="3" xfId="0" applyNumberFormat="1" applyFill="1" applyBorder="1"/>
    <xf numFmtId="0" fontId="0" fillId="0" borderId="2" xfId="0" applyBorder="1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170" fontId="0" fillId="0" borderId="0" xfId="0" applyNumberFormat="1"/>
    <xf numFmtId="2" fontId="0" fillId="5" borderId="0" xfId="0" applyNumberFormat="1" applyFill="1"/>
    <xf numFmtId="0" fontId="0" fillId="5" borderId="0" xfId="0" applyFill="1"/>
    <xf numFmtId="0" fontId="0" fillId="7" borderId="0" xfId="0" applyFill="1"/>
    <xf numFmtId="0" fontId="0" fillId="7" borderId="2" xfId="0" applyFill="1" applyBorder="1"/>
    <xf numFmtId="0" fontId="0" fillId="7" borderId="3" xfId="0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28"/>
  <sheetViews>
    <sheetView topLeftCell="A2" zoomScale="83" zoomScaleNormal="120" workbookViewId="0">
      <selection activeCell="G22" sqref="G22"/>
    </sheetView>
  </sheetViews>
  <sheetFormatPr defaultRowHeight="14.5" x14ac:dyDescent="0.35"/>
  <cols>
    <col min="2" max="2" width="12.6328125" customWidth="1"/>
    <col min="3" max="3" width="11.54296875" bestFit="1" customWidth="1"/>
    <col min="4" max="4" width="9.54296875" bestFit="1" customWidth="1"/>
    <col min="5" max="5" width="9.81640625" bestFit="1" customWidth="1"/>
    <col min="6" max="6" width="35.1796875" bestFit="1" customWidth="1"/>
  </cols>
  <sheetData>
    <row r="2" spans="1:10" x14ac:dyDescent="0.35">
      <c r="A2" t="s">
        <v>49</v>
      </c>
      <c r="C2" t="s">
        <v>50</v>
      </c>
      <c r="D2" t="s">
        <v>51</v>
      </c>
      <c r="E2" t="s">
        <v>52</v>
      </c>
      <c r="F2" t="s">
        <v>53</v>
      </c>
      <c r="I2" s="1" t="s">
        <v>54</v>
      </c>
    </row>
    <row r="3" spans="1:10" x14ac:dyDescent="0.35">
      <c r="B3" t="s">
        <v>55</v>
      </c>
      <c r="C3" s="9">
        <v>350000</v>
      </c>
      <c r="D3" s="9">
        <v>400000</v>
      </c>
      <c r="E3" s="9">
        <v>90000</v>
      </c>
      <c r="F3" s="9">
        <f>SUM(C3:E3)</f>
        <v>840000</v>
      </c>
      <c r="I3" s="1" t="s">
        <v>56</v>
      </c>
    </row>
    <row r="4" spans="1:10" x14ac:dyDescent="0.35">
      <c r="B4" t="s">
        <v>57</v>
      </c>
      <c r="C4" s="9">
        <v>200000</v>
      </c>
      <c r="D4" s="9">
        <v>100000</v>
      </c>
      <c r="E4" s="9">
        <v>300000</v>
      </c>
      <c r="F4" s="9">
        <f>SUM(C4:E4)</f>
        <v>600000</v>
      </c>
    </row>
    <row r="5" spans="1:10" x14ac:dyDescent="0.35">
      <c r="C5" s="17">
        <f>C4/$F$4</f>
        <v>0.33333333333333331</v>
      </c>
      <c r="D5" s="17">
        <f t="shared" ref="D5:E5" si="0">D4/$F$4</f>
        <v>0.16666666666666666</v>
      </c>
      <c r="E5" s="17">
        <f t="shared" si="0"/>
        <v>0.5</v>
      </c>
      <c r="I5" t="s">
        <v>58</v>
      </c>
    </row>
    <row r="6" spans="1:10" x14ac:dyDescent="0.35">
      <c r="A6" t="s">
        <v>59</v>
      </c>
      <c r="B6" t="s">
        <v>60</v>
      </c>
      <c r="I6" t="s">
        <v>49</v>
      </c>
      <c r="J6" t="s">
        <v>61</v>
      </c>
    </row>
    <row r="7" spans="1:10" x14ac:dyDescent="0.35">
      <c r="B7" t="s">
        <v>62</v>
      </c>
      <c r="C7" s="9">
        <v>3000</v>
      </c>
      <c r="D7" s="9">
        <v>200</v>
      </c>
      <c r="E7" s="9">
        <v>1400</v>
      </c>
      <c r="F7" s="9">
        <f>SUM(C7:E7)</f>
        <v>4600</v>
      </c>
      <c r="I7" t="s">
        <v>59</v>
      </c>
      <c r="J7" t="s">
        <v>63</v>
      </c>
    </row>
    <row r="8" spans="1:10" x14ac:dyDescent="0.35">
      <c r="B8" t="s">
        <v>57</v>
      </c>
      <c r="C8" s="9">
        <v>2800</v>
      </c>
      <c r="D8" s="9">
        <v>500</v>
      </c>
      <c r="E8" s="9">
        <v>6200</v>
      </c>
      <c r="F8" s="9">
        <f>SUM(C8:E8)</f>
        <v>9500</v>
      </c>
    </row>
    <row r="9" spans="1:10" x14ac:dyDescent="0.35">
      <c r="C9" s="17">
        <f>C8/$F$8</f>
        <v>0.29473684210526313</v>
      </c>
      <c r="D9" s="17">
        <f t="shared" ref="D9:E9" si="1">D8/$F$8</f>
        <v>5.2631578947368418E-2</v>
      </c>
      <c r="E9" s="17">
        <f t="shared" si="1"/>
        <v>0.65263157894736845</v>
      </c>
      <c r="I9" t="s">
        <v>64</v>
      </c>
    </row>
    <row r="10" spans="1:10" x14ac:dyDescent="0.35">
      <c r="A10" s="1" t="s">
        <v>65</v>
      </c>
      <c r="I10">
        <v>1</v>
      </c>
      <c r="J10" t="s">
        <v>66</v>
      </c>
    </row>
    <row r="11" spans="1:10" x14ac:dyDescent="0.35">
      <c r="A11">
        <v>1</v>
      </c>
      <c r="B11" t="s">
        <v>67</v>
      </c>
      <c r="E11" s="15">
        <f>F3/F4</f>
        <v>1.4</v>
      </c>
      <c r="F11" t="s">
        <v>82</v>
      </c>
      <c r="I11">
        <v>2</v>
      </c>
      <c r="J11" t="s">
        <v>68</v>
      </c>
    </row>
    <row r="12" spans="1:10" x14ac:dyDescent="0.35">
      <c r="B12" t="s">
        <v>60</v>
      </c>
      <c r="E12" s="16">
        <f>E11*F8</f>
        <v>13300</v>
      </c>
      <c r="I12">
        <v>3</v>
      </c>
      <c r="J12" t="s">
        <v>69</v>
      </c>
    </row>
    <row r="13" spans="1:10" x14ac:dyDescent="0.35">
      <c r="I13">
        <v>4</v>
      </c>
      <c r="J13" t="s">
        <v>70</v>
      </c>
    </row>
    <row r="14" spans="1:10" x14ac:dyDescent="0.35">
      <c r="A14">
        <v>2</v>
      </c>
      <c r="B14" t="s">
        <v>71</v>
      </c>
    </row>
    <row r="15" spans="1:10" x14ac:dyDescent="0.35">
      <c r="C15" s="15">
        <f>C3/C4</f>
        <v>1.75</v>
      </c>
      <c r="D15" s="15">
        <f t="shared" ref="D15:E15" si="2">D3/D4</f>
        <v>4</v>
      </c>
      <c r="E15" s="15">
        <f t="shared" si="2"/>
        <v>0.3</v>
      </c>
      <c r="I15" t="s">
        <v>72</v>
      </c>
    </row>
    <row r="16" spans="1:10" x14ac:dyDescent="0.35">
      <c r="B16" t="s">
        <v>60</v>
      </c>
    </row>
    <row r="17" spans="1:6" x14ac:dyDescent="0.35">
      <c r="C17" s="11">
        <f>C8*C15</f>
        <v>4900</v>
      </c>
      <c r="D17" s="11">
        <f>D8*D15</f>
        <v>2000</v>
      </c>
      <c r="E17" s="12">
        <f>E8*E15</f>
        <v>1860</v>
      </c>
      <c r="F17" s="10">
        <f>SUM(C17:E17)</f>
        <v>8760</v>
      </c>
    </row>
    <row r="19" spans="1:6" x14ac:dyDescent="0.35">
      <c r="A19">
        <v>3</v>
      </c>
      <c r="B19" t="s">
        <v>73</v>
      </c>
      <c r="C19" s="15"/>
      <c r="D19" s="15"/>
      <c r="E19" s="15"/>
    </row>
    <row r="21" spans="1:6" x14ac:dyDescent="0.35">
      <c r="A21">
        <v>4</v>
      </c>
      <c r="B21" t="s">
        <v>74</v>
      </c>
    </row>
    <row r="22" spans="1:6" x14ac:dyDescent="0.35">
      <c r="D22" t="s">
        <v>75</v>
      </c>
      <c r="E22" t="s">
        <v>76</v>
      </c>
    </row>
    <row r="23" spans="1:6" x14ac:dyDescent="0.35">
      <c r="C23" t="s">
        <v>77</v>
      </c>
      <c r="D23" s="11">
        <f>F7</f>
        <v>4600</v>
      </c>
      <c r="E23" s="11">
        <f>D23</f>
        <v>4600</v>
      </c>
    </row>
    <row r="24" spans="1:6" x14ac:dyDescent="0.35">
      <c r="C24" t="s">
        <v>78</v>
      </c>
      <c r="D24" s="11">
        <f>F8</f>
        <v>9500</v>
      </c>
      <c r="E24" s="11">
        <f>D24</f>
        <v>9500</v>
      </c>
    </row>
    <row r="25" spans="1:6" x14ac:dyDescent="0.35">
      <c r="C25" t="s">
        <v>19</v>
      </c>
      <c r="D25" s="13">
        <f>E12</f>
        <v>13300</v>
      </c>
      <c r="E25" s="13">
        <f>F17</f>
        <v>8760</v>
      </c>
    </row>
    <row r="26" spans="1:6" x14ac:dyDescent="0.35">
      <c r="C26" t="s">
        <v>79</v>
      </c>
      <c r="D26" s="11">
        <f>SUM(D23:D25)</f>
        <v>27400</v>
      </c>
      <c r="E26" s="11">
        <f>SUM(E23:E25)</f>
        <v>22860</v>
      </c>
    </row>
    <row r="27" spans="1:6" x14ac:dyDescent="0.35">
      <c r="C27" t="s">
        <v>80</v>
      </c>
      <c r="D27" s="14">
        <f>D26*0.5</f>
        <v>13700</v>
      </c>
      <c r="E27" s="14">
        <f>E26*0.5</f>
        <v>11430</v>
      </c>
    </row>
    <row r="28" spans="1:6" x14ac:dyDescent="0.35">
      <c r="C28" s="1" t="s">
        <v>81</v>
      </c>
      <c r="D28" s="10">
        <f>D26+D27</f>
        <v>41100</v>
      </c>
      <c r="E28" s="10">
        <f>E26+E27</f>
        <v>34290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55"/>
  <sheetViews>
    <sheetView topLeftCell="G1" zoomScale="86" workbookViewId="0">
      <selection activeCell="P15" sqref="P15"/>
    </sheetView>
  </sheetViews>
  <sheetFormatPr defaultRowHeight="14.5" x14ac:dyDescent="0.35"/>
  <cols>
    <col min="1" max="1" width="26" bestFit="1" customWidth="1"/>
    <col min="2" max="2" width="11.36328125" bestFit="1" customWidth="1"/>
    <col min="5" max="5" width="12.453125" bestFit="1" customWidth="1"/>
    <col min="11" max="11" width="27.36328125" customWidth="1"/>
    <col min="19" max="19" width="28" customWidth="1"/>
    <col min="20" max="20" width="13.36328125" bestFit="1" customWidth="1"/>
  </cols>
  <sheetData>
    <row r="1" spans="1:22" x14ac:dyDescent="0.35">
      <c r="F1" s="1" t="s">
        <v>9</v>
      </c>
      <c r="G1" s="1" t="s">
        <v>10</v>
      </c>
      <c r="H1" s="1" t="s">
        <v>12</v>
      </c>
      <c r="L1" t="s">
        <v>17</v>
      </c>
      <c r="M1" t="s">
        <v>16</v>
      </c>
      <c r="N1" t="s">
        <v>15</v>
      </c>
      <c r="O1" t="s">
        <v>12</v>
      </c>
      <c r="S1" s="1" t="s">
        <v>29</v>
      </c>
      <c r="T1" t="s">
        <v>17</v>
      </c>
      <c r="U1" t="s">
        <v>16</v>
      </c>
      <c r="V1" t="s">
        <v>15</v>
      </c>
    </row>
    <row r="2" spans="1:22" x14ac:dyDescent="0.35">
      <c r="B2" t="s">
        <v>0</v>
      </c>
      <c r="C2">
        <v>1350000</v>
      </c>
      <c r="K2" t="s">
        <v>40</v>
      </c>
      <c r="L2">
        <v>2000</v>
      </c>
      <c r="M2">
        <v>5000</v>
      </c>
      <c r="N2">
        <v>3000</v>
      </c>
      <c r="O2">
        <f>SUM(L2:N2)</f>
        <v>10000</v>
      </c>
    </row>
    <row r="3" spans="1:22" x14ac:dyDescent="0.35">
      <c r="A3" t="s">
        <v>83</v>
      </c>
      <c r="B3" t="s">
        <v>1</v>
      </c>
      <c r="C3">
        <v>945000</v>
      </c>
      <c r="E3" s="2" t="s">
        <v>14</v>
      </c>
      <c r="F3" s="3">
        <f>945000-59600</f>
        <v>885400</v>
      </c>
      <c r="G3" s="3"/>
      <c r="H3" s="3">
        <f t="shared" ref="H3:H4" si="0">SUM(F3:G3)</f>
        <v>885400</v>
      </c>
      <c r="S3" t="s">
        <v>30</v>
      </c>
      <c r="T3">
        <f>L4*L5</f>
        <v>8.1000000000000014</v>
      </c>
      <c r="U3">
        <f>M4*M5</f>
        <v>1.0640000000000001</v>
      </c>
      <c r="V3">
        <f>N4*N5</f>
        <v>1.0714285714285714</v>
      </c>
    </row>
    <row r="4" spans="1:22" x14ac:dyDescent="0.35">
      <c r="B4" t="s">
        <v>2</v>
      </c>
      <c r="C4">
        <f>C2-C3</f>
        <v>405000</v>
      </c>
      <c r="E4" t="s">
        <v>13</v>
      </c>
      <c r="F4">
        <v>2000</v>
      </c>
      <c r="H4">
        <f t="shared" si="0"/>
        <v>2000</v>
      </c>
      <c r="K4" t="s">
        <v>21</v>
      </c>
      <c r="L4" s="21">
        <v>3</v>
      </c>
      <c r="M4" s="21">
        <v>1.1200000000000001</v>
      </c>
      <c r="N4" s="21">
        <v>1.1000000000000001</v>
      </c>
      <c r="S4" t="s">
        <v>31</v>
      </c>
      <c r="V4">
        <f>N7</f>
        <v>1.2649999999999999</v>
      </c>
    </row>
    <row r="5" spans="1:22" x14ac:dyDescent="0.35">
      <c r="K5" t="s">
        <v>22</v>
      </c>
      <c r="L5" s="21">
        <v>2.7</v>
      </c>
      <c r="M5" s="21">
        <v>0.95</v>
      </c>
      <c r="N5" s="4">
        <f>3.75/3.85</f>
        <v>0.97402597402597402</v>
      </c>
      <c r="S5" t="s">
        <v>32</v>
      </c>
      <c r="T5">
        <f>L6</f>
        <v>0.25</v>
      </c>
      <c r="U5">
        <f>M6</f>
        <v>0.09</v>
      </c>
    </row>
    <row r="6" spans="1:22" x14ac:dyDescent="0.35">
      <c r="B6" t="s">
        <v>3</v>
      </c>
      <c r="C6">
        <v>11280</v>
      </c>
      <c r="E6" t="s">
        <v>3</v>
      </c>
      <c r="F6">
        <f>4700*0.8*12</f>
        <v>45120</v>
      </c>
      <c r="G6">
        <f>4700*0.2*12</f>
        <v>11280</v>
      </c>
      <c r="H6">
        <f>SUM(F6:G6)</f>
        <v>56400</v>
      </c>
      <c r="K6" t="s">
        <v>23</v>
      </c>
      <c r="L6" s="20">
        <v>0.25</v>
      </c>
      <c r="M6" s="20">
        <v>0.09</v>
      </c>
      <c r="S6" s="5" t="s">
        <v>33</v>
      </c>
      <c r="T6" s="1">
        <f>SUM(T3:T5)</f>
        <v>8.3500000000000014</v>
      </c>
      <c r="U6" s="1">
        <f>SUM(U3:U5)</f>
        <v>1.1540000000000001</v>
      </c>
      <c r="V6" s="1">
        <f>SUM(V3:V5)</f>
        <v>2.3364285714285713</v>
      </c>
    </row>
    <row r="7" spans="1:22" x14ac:dyDescent="0.35">
      <c r="B7" t="s">
        <v>4</v>
      </c>
      <c r="C7">
        <v>3120</v>
      </c>
      <c r="E7" t="s">
        <v>11</v>
      </c>
      <c r="F7">
        <f>1300*0.8*12</f>
        <v>12480</v>
      </c>
      <c r="G7">
        <f>1300*0.2*12</f>
        <v>3120</v>
      </c>
      <c r="H7">
        <f>SUM(F7:G7)</f>
        <v>15600</v>
      </c>
      <c r="K7" t="s">
        <v>25</v>
      </c>
      <c r="N7">
        <f>1.15*N4</f>
        <v>1.2649999999999999</v>
      </c>
    </row>
    <row r="8" spans="1:22" x14ac:dyDescent="0.35">
      <c r="B8" t="s">
        <v>5</v>
      </c>
      <c r="C8">
        <v>1800</v>
      </c>
      <c r="E8" t="s">
        <v>5</v>
      </c>
      <c r="G8">
        <f>150*12</f>
        <v>1800</v>
      </c>
      <c r="H8">
        <f>SUM(F8:G8)</f>
        <v>1800</v>
      </c>
      <c r="K8" t="s">
        <v>24</v>
      </c>
      <c r="N8">
        <f>4000/N4</f>
        <v>3636.363636363636</v>
      </c>
      <c r="O8" s="7"/>
      <c r="S8" t="s">
        <v>34</v>
      </c>
      <c r="V8">
        <f>(8/N8)*20</f>
        <v>4.4000000000000004E-2</v>
      </c>
    </row>
    <row r="9" spans="1:22" x14ac:dyDescent="0.35">
      <c r="B9" t="s">
        <v>6</v>
      </c>
      <c r="C9">
        <v>60000</v>
      </c>
      <c r="E9" t="s">
        <v>6</v>
      </c>
      <c r="G9">
        <v>60000</v>
      </c>
      <c r="H9">
        <f>SUM(F9:G9)</f>
        <v>60000</v>
      </c>
      <c r="K9" t="s">
        <v>26</v>
      </c>
      <c r="L9">
        <f>4500/L4</f>
        <v>1500</v>
      </c>
      <c r="M9">
        <f t="shared" ref="M9:N9" si="1">4500/M4</f>
        <v>4017.8571428571427</v>
      </c>
      <c r="N9">
        <f t="shared" si="1"/>
        <v>4090.9090909090905</v>
      </c>
      <c r="O9" s="8"/>
      <c r="S9" t="s">
        <v>35</v>
      </c>
      <c r="T9">
        <f t="shared" ref="T9:V11" si="2">(8/L9)*15</f>
        <v>0.08</v>
      </c>
      <c r="U9">
        <f t="shared" si="2"/>
        <v>2.9866666666666666E-2</v>
      </c>
      <c r="V9">
        <f t="shared" si="2"/>
        <v>2.9333333333333336E-2</v>
      </c>
    </row>
    <row r="10" spans="1:22" x14ac:dyDescent="0.35">
      <c r="B10" t="s">
        <v>7</v>
      </c>
      <c r="C10">
        <v>18600</v>
      </c>
      <c r="E10" t="s">
        <v>7</v>
      </c>
      <c r="G10">
        <v>18600</v>
      </c>
      <c r="H10">
        <f>SUM(F10:G10)</f>
        <v>18600</v>
      </c>
      <c r="K10" t="s">
        <v>27</v>
      </c>
      <c r="L10" s="20">
        <v>21</v>
      </c>
      <c r="M10" s="20">
        <v>96</v>
      </c>
      <c r="N10" s="20">
        <v>140</v>
      </c>
      <c r="O10" s="7"/>
      <c r="S10" t="s">
        <v>36</v>
      </c>
      <c r="T10">
        <f t="shared" si="2"/>
        <v>5.7142857142857135</v>
      </c>
      <c r="U10">
        <f t="shared" si="2"/>
        <v>1.25</v>
      </c>
      <c r="V10">
        <f t="shared" si="2"/>
        <v>0.8571428571428571</v>
      </c>
    </row>
    <row r="11" spans="1:22" x14ac:dyDescent="0.35">
      <c r="E11" s="1" t="s">
        <v>19</v>
      </c>
      <c r="F11" s="1">
        <f>SUM(F4:F10)</f>
        <v>59600</v>
      </c>
      <c r="G11" s="1">
        <f>SUM(G4:G10)</f>
        <v>94800</v>
      </c>
      <c r="H11" s="1">
        <f>SUM(H4:H10)</f>
        <v>154400</v>
      </c>
      <c r="K11" t="s">
        <v>28</v>
      </c>
      <c r="L11" s="20">
        <f>L10</f>
        <v>21</v>
      </c>
      <c r="M11" s="20">
        <f t="shared" ref="M11:N11" si="3">M10</f>
        <v>96</v>
      </c>
      <c r="N11" s="20">
        <f t="shared" si="3"/>
        <v>140</v>
      </c>
      <c r="O11" s="7"/>
      <c r="S11" t="s">
        <v>37</v>
      </c>
      <c r="T11">
        <f t="shared" si="2"/>
        <v>5.7142857142857135</v>
      </c>
      <c r="U11">
        <f t="shared" si="2"/>
        <v>1.25</v>
      </c>
      <c r="V11">
        <f t="shared" si="2"/>
        <v>0.8571428571428571</v>
      </c>
    </row>
    <row r="12" spans="1:22" x14ac:dyDescent="0.35">
      <c r="E12" s="1" t="s">
        <v>20</v>
      </c>
      <c r="H12" s="1">
        <f>H3+H11</f>
        <v>1039800</v>
      </c>
      <c r="K12" t="s">
        <v>86</v>
      </c>
      <c r="L12">
        <f>2000*8/21</f>
        <v>761.90476190476193</v>
      </c>
      <c r="M12">
        <f>5000*8/M11</f>
        <v>416.66666666666669</v>
      </c>
      <c r="N12">
        <f>3000*8/140</f>
        <v>171.42857142857142</v>
      </c>
      <c r="S12" s="5" t="s">
        <v>38</v>
      </c>
      <c r="T12" s="1">
        <f t="shared" ref="T12:U12" si="4">SUM(T8:T11)</f>
        <v>11.508571428571427</v>
      </c>
      <c r="U12" s="1">
        <f t="shared" si="4"/>
        <v>2.5298666666666669</v>
      </c>
      <c r="V12" s="1">
        <f>SUM(V8:V11)</f>
        <v>1.7876190476190477</v>
      </c>
    </row>
    <row r="13" spans="1:22" x14ac:dyDescent="0.35">
      <c r="B13" s="1" t="s">
        <v>8</v>
      </c>
      <c r="C13" s="1">
        <f>C4-SUM(C6:C10)</f>
        <v>310200</v>
      </c>
      <c r="E13" s="1" t="s">
        <v>8</v>
      </c>
      <c r="H13" s="1">
        <f>C2-H12</f>
        <v>310200</v>
      </c>
      <c r="K13" s="1" t="s">
        <v>39</v>
      </c>
    </row>
    <row r="14" spans="1:22" x14ac:dyDescent="0.35">
      <c r="S14" s="1" t="s">
        <v>18</v>
      </c>
      <c r="T14">
        <f>T6+T12</f>
        <v>19.85857142857143</v>
      </c>
      <c r="U14">
        <f t="shared" ref="U14:V14" si="5">U6+U12</f>
        <v>3.6838666666666668</v>
      </c>
      <c r="V14">
        <f t="shared" si="5"/>
        <v>4.1240476190476194</v>
      </c>
    </row>
    <row r="15" spans="1:22" x14ac:dyDescent="0.35">
      <c r="E15" s="1" t="s">
        <v>48</v>
      </c>
      <c r="H15" s="6">
        <f>H13/C2</f>
        <v>0.22977777777777778</v>
      </c>
      <c r="K15" t="s">
        <v>42</v>
      </c>
      <c r="O15">
        <f>1320*12</f>
        <v>15840</v>
      </c>
      <c r="S15" t="s">
        <v>44</v>
      </c>
      <c r="T15" s="3">
        <f>L18</f>
        <v>1.4333814333814332</v>
      </c>
      <c r="U15" s="3">
        <f>M18</f>
        <v>0.31355218855218853</v>
      </c>
      <c r="V15" s="3">
        <f>N18</f>
        <v>0.21500721500721501</v>
      </c>
    </row>
    <row r="16" spans="1:22" x14ac:dyDescent="0.35">
      <c r="K16" t="s">
        <v>43</v>
      </c>
      <c r="O16">
        <f>F11/O15</f>
        <v>3.7626262626262625</v>
      </c>
      <c r="S16" s="1" t="s">
        <v>47</v>
      </c>
      <c r="T16" s="1">
        <f>SUM(T14:T15)</f>
        <v>21.291952861952865</v>
      </c>
      <c r="U16" s="1">
        <f t="shared" ref="U16:V16" si="6">SUM(U14:U15)</f>
        <v>3.9974188552188554</v>
      </c>
      <c r="V16" s="1">
        <f t="shared" si="6"/>
        <v>4.3390548340548341</v>
      </c>
    </row>
    <row r="17" spans="10:22" x14ac:dyDescent="0.35">
      <c r="K17" t="s">
        <v>41</v>
      </c>
      <c r="L17">
        <f>8/21</f>
        <v>0.38095238095238093</v>
      </c>
      <c r="M17">
        <f>8/96</f>
        <v>8.3333333333333329E-2</v>
      </c>
      <c r="N17">
        <f>8/140</f>
        <v>5.7142857142857141E-2</v>
      </c>
      <c r="S17" t="s">
        <v>46</v>
      </c>
      <c r="T17" s="3">
        <f>L24</f>
        <v>2.2799422799422797</v>
      </c>
      <c r="U17" s="3">
        <f>M24</f>
        <v>0.4987373737373737</v>
      </c>
      <c r="V17" s="3">
        <f>N24</f>
        <v>0.34199134199134196</v>
      </c>
    </row>
    <row r="18" spans="10:22" x14ac:dyDescent="0.35">
      <c r="K18" s="1" t="s">
        <v>44</v>
      </c>
      <c r="L18" s="1">
        <f>$O$16*L17</f>
        <v>1.4333814333814332</v>
      </c>
      <c r="M18" s="1">
        <f t="shared" ref="M18:N18" si="7">$O$16*M17</f>
        <v>0.31355218855218853</v>
      </c>
      <c r="N18" s="1">
        <f t="shared" si="7"/>
        <v>0.21500721500721501</v>
      </c>
      <c r="S18" s="1" t="s">
        <v>20</v>
      </c>
      <c r="T18" s="1">
        <f>T16+T17</f>
        <v>23.571895141895144</v>
      </c>
      <c r="U18" s="1">
        <f t="shared" ref="U18:V18" si="8">U16+U17</f>
        <v>4.4961562289562291</v>
      </c>
      <c r="V18" s="1">
        <f t="shared" si="8"/>
        <v>4.6810461760461761</v>
      </c>
    </row>
    <row r="20" spans="10:22" x14ac:dyDescent="0.35">
      <c r="S20" s="1"/>
      <c r="T20">
        <v>310200</v>
      </c>
    </row>
    <row r="21" spans="10:22" x14ac:dyDescent="0.35">
      <c r="K21" t="s">
        <v>42</v>
      </c>
      <c r="O21">
        <f>1320*12</f>
        <v>15840</v>
      </c>
      <c r="T21">
        <v>1350000</v>
      </c>
    </row>
    <row r="22" spans="10:22" x14ac:dyDescent="0.35">
      <c r="K22" t="s">
        <v>45</v>
      </c>
      <c r="O22">
        <f>G11/O21</f>
        <v>5.9848484848484844</v>
      </c>
      <c r="T22" s="18">
        <f>T20/T21</f>
        <v>0.22977777777777778</v>
      </c>
    </row>
    <row r="23" spans="10:22" x14ac:dyDescent="0.35">
      <c r="K23" t="s">
        <v>41</v>
      </c>
      <c r="L23">
        <f>8/21</f>
        <v>0.38095238095238093</v>
      </c>
      <c r="M23">
        <f>8/96</f>
        <v>8.3333333333333329E-2</v>
      </c>
      <c r="N23">
        <f>8/140</f>
        <v>5.7142857142857141E-2</v>
      </c>
    </row>
    <row r="24" spans="10:22" x14ac:dyDescent="0.35">
      <c r="K24" s="1" t="s">
        <v>46</v>
      </c>
      <c r="L24" s="1">
        <f>$O$22*L23</f>
        <v>2.2799422799422797</v>
      </c>
      <c r="M24" s="1">
        <f>$O$22*M23</f>
        <v>0.4987373737373737</v>
      </c>
      <c r="N24" s="1">
        <f>$O$22*N23</f>
        <v>0.34199134199134196</v>
      </c>
      <c r="S24" s="1" t="s">
        <v>84</v>
      </c>
      <c r="T24" s="19">
        <f>T18/(1-$T$22)</f>
        <v>30.604018505057169</v>
      </c>
      <c r="U24" s="19">
        <f t="shared" ref="U24:V24" si="9">U18/(1-$T$22)</f>
        <v>5.8374792355173195</v>
      </c>
      <c r="V24" s="19">
        <f t="shared" si="9"/>
        <v>6.0775267721315034</v>
      </c>
    </row>
    <row r="27" spans="10:22" x14ac:dyDescent="0.35">
      <c r="L27">
        <f>L23*2000</f>
        <v>761.90476190476181</v>
      </c>
    </row>
    <row r="30" spans="10:22" x14ac:dyDescent="0.35">
      <c r="K30">
        <f>L12+M12+N12</f>
        <v>1350</v>
      </c>
    </row>
    <row r="31" spans="10:22" x14ac:dyDescent="0.35">
      <c r="J31">
        <v>1320</v>
      </c>
    </row>
    <row r="35" spans="10:14" x14ac:dyDescent="0.35">
      <c r="K35" s="1"/>
      <c r="L35" s="1"/>
      <c r="M35" s="1"/>
      <c r="N35" s="1"/>
    </row>
    <row r="37" spans="10:14" x14ac:dyDescent="0.35">
      <c r="J37" s="1"/>
    </row>
    <row r="39" spans="10:14" x14ac:dyDescent="0.35">
      <c r="K39" s="1"/>
      <c r="M39" s="1"/>
    </row>
    <row r="42" spans="10:14" x14ac:dyDescent="0.35">
      <c r="K42" s="1"/>
      <c r="N42" s="1"/>
    </row>
    <row r="45" spans="10:14" x14ac:dyDescent="0.35">
      <c r="K45" s="1"/>
      <c r="N45" s="1"/>
    </row>
    <row r="47" spans="10:14" x14ac:dyDescent="0.35">
      <c r="J47" s="1"/>
    </row>
    <row r="49" spans="11:14" x14ac:dyDescent="0.35">
      <c r="K49" s="1"/>
      <c r="M49" s="1"/>
    </row>
    <row r="52" spans="11:14" x14ac:dyDescent="0.35">
      <c r="K52" s="1"/>
      <c r="N52" s="1"/>
    </row>
    <row r="55" spans="11:14" x14ac:dyDescent="0.35">
      <c r="K55" s="1"/>
      <c r="N55" s="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F5B9D-B97C-4724-A7D3-1A590038C368}">
  <dimension ref="A1:W25"/>
  <sheetViews>
    <sheetView topLeftCell="N1" zoomScale="92" workbookViewId="0">
      <selection activeCell="L2" sqref="L2"/>
    </sheetView>
  </sheetViews>
  <sheetFormatPr defaultRowHeight="14.5" x14ac:dyDescent="0.35"/>
  <cols>
    <col min="11" max="11" width="31.453125" bestFit="1" customWidth="1"/>
    <col min="14" max="14" width="12" bestFit="1" customWidth="1"/>
    <col min="15" max="15" width="12" customWidth="1"/>
    <col min="19" max="19" width="23" bestFit="1" customWidth="1"/>
    <col min="20" max="20" width="12" bestFit="1" customWidth="1"/>
  </cols>
  <sheetData>
    <row r="1" spans="1:23" x14ac:dyDescent="0.35">
      <c r="F1" s="1" t="s">
        <v>9</v>
      </c>
      <c r="G1" s="1" t="s">
        <v>10</v>
      </c>
      <c r="H1" s="1" t="s">
        <v>12</v>
      </c>
      <c r="L1" t="s">
        <v>17</v>
      </c>
      <c r="M1" t="s">
        <v>16</v>
      </c>
      <c r="N1" t="s">
        <v>15</v>
      </c>
      <c r="O1" t="s">
        <v>85</v>
      </c>
      <c r="P1" t="s">
        <v>12</v>
      </c>
      <c r="S1" s="1" t="s">
        <v>29</v>
      </c>
      <c r="T1" t="s">
        <v>17</v>
      </c>
      <c r="U1" t="s">
        <v>16</v>
      </c>
      <c r="V1" t="s">
        <v>15</v>
      </c>
      <c r="W1" t="s">
        <v>87</v>
      </c>
    </row>
    <row r="2" spans="1:23" x14ac:dyDescent="0.35">
      <c r="B2" t="s">
        <v>0</v>
      </c>
      <c r="C2">
        <v>1350000</v>
      </c>
      <c r="K2" t="s">
        <v>40</v>
      </c>
      <c r="L2">
        <v>2000</v>
      </c>
      <c r="M2">
        <v>5000</v>
      </c>
      <c r="N2">
        <v>3000</v>
      </c>
      <c r="O2">
        <f>28450/12</f>
        <v>2370.8333333333335</v>
      </c>
      <c r="P2">
        <f>SUM(L2:O2)</f>
        <v>12370.833333333334</v>
      </c>
    </row>
    <row r="3" spans="1:23" x14ac:dyDescent="0.35">
      <c r="A3" t="s">
        <v>83</v>
      </c>
      <c r="B3" t="s">
        <v>1</v>
      </c>
      <c r="C3">
        <v>945000</v>
      </c>
      <c r="E3" s="2" t="s">
        <v>14</v>
      </c>
      <c r="F3" s="3">
        <f>945000-59600</f>
        <v>885400</v>
      </c>
      <c r="G3" s="3"/>
      <c r="H3" s="3">
        <f t="shared" ref="H3:H4" si="0">SUM(F3:G3)</f>
        <v>885400</v>
      </c>
      <c r="L3" s="23"/>
      <c r="M3" s="23"/>
      <c r="N3" s="23"/>
      <c r="O3" s="23"/>
      <c r="S3" t="s">
        <v>30</v>
      </c>
      <c r="T3">
        <f>L4*L5</f>
        <v>8.1000000000000014</v>
      </c>
      <c r="U3">
        <f>M4*M5</f>
        <v>1.0640000000000001</v>
      </c>
      <c r="V3">
        <f>N4*N5</f>
        <v>1.0714285714285714</v>
      </c>
      <c r="W3">
        <f>O4*O5</f>
        <v>4.6500000000000004</v>
      </c>
    </row>
    <row r="4" spans="1:23" x14ac:dyDescent="0.35">
      <c r="B4" t="s">
        <v>2</v>
      </c>
      <c r="C4">
        <f>C2-C3</f>
        <v>405000</v>
      </c>
      <c r="E4" t="s">
        <v>13</v>
      </c>
      <c r="F4">
        <v>2000</v>
      </c>
      <c r="H4">
        <f t="shared" si="0"/>
        <v>2000</v>
      </c>
      <c r="K4" t="s">
        <v>21</v>
      </c>
      <c r="L4" s="24">
        <v>3</v>
      </c>
      <c r="M4" s="24">
        <v>1.1200000000000001</v>
      </c>
      <c r="N4" s="24">
        <v>1.1000000000000001</v>
      </c>
      <c r="O4" s="24">
        <v>1.5</v>
      </c>
      <c r="S4" t="s">
        <v>31</v>
      </c>
      <c r="V4">
        <f>N7</f>
        <v>1.2649999999999999</v>
      </c>
    </row>
    <row r="5" spans="1:23" x14ac:dyDescent="0.35">
      <c r="K5" t="s">
        <v>22</v>
      </c>
      <c r="L5" s="24">
        <v>2.7</v>
      </c>
      <c r="M5" s="24">
        <v>0.95</v>
      </c>
      <c r="N5" s="25">
        <f>3.75/3.85</f>
        <v>0.97402597402597402</v>
      </c>
      <c r="O5" s="24">
        <v>3.1</v>
      </c>
      <c r="S5" t="s">
        <v>32</v>
      </c>
      <c r="T5">
        <f>L6</f>
        <v>0.25</v>
      </c>
      <c r="U5">
        <f>M6</f>
        <v>0.09</v>
      </c>
      <c r="W5">
        <f>O6</f>
        <v>0.45</v>
      </c>
    </row>
    <row r="6" spans="1:23" x14ac:dyDescent="0.35">
      <c r="B6" t="s">
        <v>3</v>
      </c>
      <c r="C6">
        <v>11280</v>
      </c>
      <c r="E6" t="s">
        <v>3</v>
      </c>
      <c r="F6">
        <f>4700*0.8*12</f>
        <v>45120</v>
      </c>
      <c r="G6">
        <f>4700*0.2*12</f>
        <v>11280</v>
      </c>
      <c r="H6">
        <f>SUM(F6:G6)</f>
        <v>56400</v>
      </c>
      <c r="K6" t="s">
        <v>23</v>
      </c>
      <c r="L6" s="23">
        <v>0.25</v>
      </c>
      <c r="M6" s="23">
        <v>0.09</v>
      </c>
      <c r="N6" s="23"/>
      <c r="O6" s="23">
        <v>0.45</v>
      </c>
      <c r="S6" s="5" t="s">
        <v>33</v>
      </c>
      <c r="T6" s="1">
        <f>SUM(T3:T5)</f>
        <v>8.3500000000000014</v>
      </c>
      <c r="U6" s="1">
        <f>SUM(U3:U5)</f>
        <v>1.1540000000000001</v>
      </c>
      <c r="V6" s="1">
        <f>SUM(V3:V5)</f>
        <v>2.3364285714285713</v>
      </c>
      <c r="W6" s="1">
        <f>SUM(W3:W5)</f>
        <v>5.1000000000000005</v>
      </c>
    </row>
    <row r="7" spans="1:23" x14ac:dyDescent="0.35">
      <c r="B7" t="s">
        <v>4</v>
      </c>
      <c r="C7">
        <v>3120</v>
      </c>
      <c r="E7" t="s">
        <v>11</v>
      </c>
      <c r="F7">
        <f>1300*0.8*12</f>
        <v>12480</v>
      </c>
      <c r="G7">
        <f>1300*0.2*12</f>
        <v>3120</v>
      </c>
      <c r="H7">
        <f>SUM(F7:G7)</f>
        <v>15600</v>
      </c>
      <c r="K7" t="s">
        <v>25</v>
      </c>
      <c r="L7" s="23"/>
      <c r="M7" s="23"/>
      <c r="N7" s="23">
        <f>1.15*N4</f>
        <v>1.2649999999999999</v>
      </c>
      <c r="O7" s="23"/>
    </row>
    <row r="8" spans="1:23" x14ac:dyDescent="0.35">
      <c r="B8" t="s">
        <v>5</v>
      </c>
      <c r="C8">
        <v>1800</v>
      </c>
      <c r="E8" t="s">
        <v>5</v>
      </c>
      <c r="G8">
        <f>150*12</f>
        <v>1800</v>
      </c>
      <c r="H8">
        <f>SUM(F8:G8)</f>
        <v>1800</v>
      </c>
      <c r="K8" t="s">
        <v>24</v>
      </c>
      <c r="L8" s="23"/>
      <c r="M8" s="23"/>
      <c r="N8" s="23">
        <f>4000/N4</f>
        <v>3636.363636363636</v>
      </c>
      <c r="O8" s="23"/>
      <c r="P8" s="7"/>
      <c r="S8" t="s">
        <v>34</v>
      </c>
      <c r="V8">
        <f>(8/N8)*20</f>
        <v>4.4000000000000004E-2</v>
      </c>
    </row>
    <row r="9" spans="1:23" x14ac:dyDescent="0.35">
      <c r="B9" t="s">
        <v>6</v>
      </c>
      <c r="C9">
        <v>60000</v>
      </c>
      <c r="E9" t="s">
        <v>6</v>
      </c>
      <c r="G9">
        <v>60000</v>
      </c>
      <c r="H9">
        <f>SUM(F9:G9)</f>
        <v>60000</v>
      </c>
      <c r="K9" t="s">
        <v>26</v>
      </c>
      <c r="L9" s="23">
        <f>4500/L4</f>
        <v>1500</v>
      </c>
      <c r="M9" s="23">
        <f t="shared" ref="M9:O9" si="1">4500/M4</f>
        <v>4017.8571428571427</v>
      </c>
      <c r="N9" s="23">
        <f t="shared" si="1"/>
        <v>4090.9090909090905</v>
      </c>
      <c r="O9" s="23">
        <f t="shared" si="1"/>
        <v>3000</v>
      </c>
      <c r="P9" s="8"/>
      <c r="S9" t="s">
        <v>35</v>
      </c>
      <c r="T9">
        <f t="shared" ref="T9:W11" si="2">(8/L9)*15</f>
        <v>0.08</v>
      </c>
      <c r="U9">
        <f t="shared" si="2"/>
        <v>2.9866666666666666E-2</v>
      </c>
      <c r="V9">
        <f t="shared" si="2"/>
        <v>2.9333333333333336E-2</v>
      </c>
      <c r="W9">
        <f t="shared" si="2"/>
        <v>0.04</v>
      </c>
    </row>
    <row r="10" spans="1:23" x14ac:dyDescent="0.35">
      <c r="B10" t="s">
        <v>7</v>
      </c>
      <c r="C10">
        <v>18600</v>
      </c>
      <c r="E10" t="s">
        <v>7</v>
      </c>
      <c r="G10">
        <v>18600</v>
      </c>
      <c r="H10">
        <f>SUM(F10:G10)</f>
        <v>18600</v>
      </c>
      <c r="K10" t="s">
        <v>27</v>
      </c>
      <c r="L10" s="23">
        <v>21</v>
      </c>
      <c r="M10" s="23">
        <v>96</v>
      </c>
      <c r="N10" s="23">
        <v>140</v>
      </c>
      <c r="O10" s="23">
        <v>35</v>
      </c>
      <c r="P10" s="7"/>
      <c r="S10" t="s">
        <v>36</v>
      </c>
      <c r="T10">
        <f t="shared" si="2"/>
        <v>5.7142857142857135</v>
      </c>
      <c r="U10">
        <f t="shared" si="2"/>
        <v>1.25</v>
      </c>
      <c r="V10">
        <f t="shared" si="2"/>
        <v>0.8571428571428571</v>
      </c>
      <c r="W10">
        <f t="shared" si="2"/>
        <v>3.4285714285714284</v>
      </c>
    </row>
    <row r="11" spans="1:23" x14ac:dyDescent="0.35">
      <c r="E11" s="1" t="s">
        <v>19</v>
      </c>
      <c r="F11" s="1">
        <f>SUM(F4:F10)</f>
        <v>59600</v>
      </c>
      <c r="G11" s="1">
        <f>SUM(G4:G10)</f>
        <v>94800</v>
      </c>
      <c r="H11" s="1">
        <f>SUM(H4:H10)</f>
        <v>154400</v>
      </c>
      <c r="K11" t="s">
        <v>28</v>
      </c>
      <c r="L11" s="23">
        <f>L10</f>
        <v>21</v>
      </c>
      <c r="M11" s="23">
        <f t="shared" ref="M11:N11" si="3">M10</f>
        <v>96</v>
      </c>
      <c r="N11" s="23">
        <f t="shared" si="3"/>
        <v>140</v>
      </c>
      <c r="O11" s="23">
        <v>35</v>
      </c>
      <c r="P11" s="7"/>
      <c r="S11" t="s">
        <v>37</v>
      </c>
      <c r="T11">
        <f t="shared" si="2"/>
        <v>5.7142857142857135</v>
      </c>
      <c r="U11">
        <f t="shared" si="2"/>
        <v>1.25</v>
      </c>
      <c r="V11">
        <f t="shared" si="2"/>
        <v>0.8571428571428571</v>
      </c>
      <c r="W11">
        <f t="shared" si="2"/>
        <v>3.4285714285714284</v>
      </c>
    </row>
    <row r="12" spans="1:23" x14ac:dyDescent="0.35">
      <c r="E12" s="1" t="s">
        <v>20</v>
      </c>
      <c r="H12" s="1">
        <f>H3+H11</f>
        <v>1039800</v>
      </c>
      <c r="L12" s="23">
        <f>2000*8/21</f>
        <v>761.90476190476193</v>
      </c>
      <c r="M12" s="23">
        <f>5000*8/M11</f>
        <v>416.66666666666669</v>
      </c>
      <c r="N12" s="23">
        <f>3000*8/140</f>
        <v>171.42857142857142</v>
      </c>
      <c r="O12" s="23">
        <f>O2*8/35</f>
        <v>541.90476190476193</v>
      </c>
      <c r="S12" s="5" t="s">
        <v>38</v>
      </c>
      <c r="T12" s="1">
        <f t="shared" ref="T12:U12" si="4">SUM(T8:T11)</f>
        <v>11.508571428571427</v>
      </c>
      <c r="U12" s="1">
        <f t="shared" si="4"/>
        <v>2.5298666666666669</v>
      </c>
      <c r="V12" s="1">
        <f>SUM(V8:V11)</f>
        <v>1.7876190476190477</v>
      </c>
      <c r="W12" s="1">
        <f>SUM(W8:W11)</f>
        <v>6.8971428571428568</v>
      </c>
    </row>
    <row r="13" spans="1:23" x14ac:dyDescent="0.35">
      <c r="B13" s="1" t="s">
        <v>8</v>
      </c>
      <c r="C13" s="1">
        <f>C4-SUM(C6:C10)</f>
        <v>310200</v>
      </c>
      <c r="E13" s="1" t="s">
        <v>8</v>
      </c>
      <c r="H13" s="1">
        <f>C2-H12</f>
        <v>310200</v>
      </c>
      <c r="K13" s="1" t="s">
        <v>39</v>
      </c>
    </row>
    <row r="14" spans="1:23" x14ac:dyDescent="0.35">
      <c r="S14" s="1" t="s">
        <v>18</v>
      </c>
      <c r="T14">
        <f>T6+T12</f>
        <v>19.85857142857143</v>
      </c>
      <c r="U14">
        <f t="shared" ref="U14:W14" si="5">U6+U12</f>
        <v>3.6838666666666668</v>
      </c>
      <c r="V14">
        <f t="shared" si="5"/>
        <v>4.1240476190476194</v>
      </c>
      <c r="W14">
        <f t="shared" si="5"/>
        <v>11.997142857142858</v>
      </c>
    </row>
    <row r="15" spans="1:23" x14ac:dyDescent="0.35">
      <c r="E15" s="1" t="s">
        <v>48</v>
      </c>
      <c r="H15" s="6">
        <f>H13/C2</f>
        <v>0.22977777777777778</v>
      </c>
      <c r="K15" t="s">
        <v>42</v>
      </c>
      <c r="P15">
        <f>(1320+O12)*12</f>
        <v>22342.857142857145</v>
      </c>
      <c r="S15" t="s">
        <v>44</v>
      </c>
      <c r="T15" s="3">
        <f>L18</f>
        <v>1.0161977834612104</v>
      </c>
      <c r="U15" s="3">
        <f>M18</f>
        <v>0.22229326513213979</v>
      </c>
      <c r="V15" s="3">
        <f>N18</f>
        <v>0.15242966751918158</v>
      </c>
      <c r="W15" s="3">
        <f>O18</f>
        <v>0.60971867007672631</v>
      </c>
    </row>
    <row r="16" spans="1:23" x14ac:dyDescent="0.35">
      <c r="K16" t="s">
        <v>43</v>
      </c>
      <c r="P16">
        <f>F11/P15</f>
        <v>2.6675191815856776</v>
      </c>
      <c r="S16" s="1" t="s">
        <v>47</v>
      </c>
      <c r="T16" s="1">
        <f>SUM(T14:T15)</f>
        <v>20.874769212032639</v>
      </c>
      <c r="U16" s="1">
        <f t="shared" ref="U16:W16" si="6">SUM(U14:U15)</f>
        <v>3.9061599317988067</v>
      </c>
      <c r="V16" s="1">
        <f t="shared" si="6"/>
        <v>4.2764772865668013</v>
      </c>
      <c r="W16" s="1">
        <f t="shared" si="6"/>
        <v>12.606861527219584</v>
      </c>
    </row>
    <row r="17" spans="11:23" x14ac:dyDescent="0.35">
      <c r="K17" t="s">
        <v>41</v>
      </c>
      <c r="L17">
        <f>8/21</f>
        <v>0.38095238095238093</v>
      </c>
      <c r="M17">
        <f>8/96</f>
        <v>8.3333333333333329E-2</v>
      </c>
      <c r="N17">
        <f>8/140</f>
        <v>5.7142857142857141E-2</v>
      </c>
      <c r="O17" s="22">
        <f>8/O10</f>
        <v>0.22857142857142856</v>
      </c>
      <c r="S17" t="s">
        <v>46</v>
      </c>
      <c r="T17" s="3">
        <f>L24</f>
        <v>1.6163682864450124</v>
      </c>
      <c r="U17" s="3">
        <f>M24</f>
        <v>0.3535805626598465</v>
      </c>
      <c r="V17" s="3">
        <f>N24</f>
        <v>0.24245524296675189</v>
      </c>
      <c r="W17" s="3">
        <f>O24</f>
        <v>0.96982097186700755</v>
      </c>
    </row>
    <row r="18" spans="11:23" x14ac:dyDescent="0.35">
      <c r="K18" s="1" t="s">
        <v>44</v>
      </c>
      <c r="L18" s="1">
        <f>$P$16*L17</f>
        <v>1.0161977834612104</v>
      </c>
      <c r="M18" s="1">
        <f t="shared" ref="M18:O18" si="7">$P$16*M17</f>
        <v>0.22229326513213979</v>
      </c>
      <c r="N18" s="1">
        <f t="shared" si="7"/>
        <v>0.15242966751918158</v>
      </c>
      <c r="O18" s="1">
        <f t="shared" si="7"/>
        <v>0.60971867007672631</v>
      </c>
      <c r="S18" s="1" t="s">
        <v>20</v>
      </c>
      <c r="T18" s="1">
        <f>T16+T17</f>
        <v>22.491137498477652</v>
      </c>
      <c r="U18" s="1">
        <f t="shared" ref="U18:W18" si="8">U16+U17</f>
        <v>4.2597404944586534</v>
      </c>
      <c r="V18" s="1">
        <f t="shared" si="8"/>
        <v>4.5189325295335534</v>
      </c>
      <c r="W18" s="1">
        <f t="shared" si="8"/>
        <v>13.576682499086591</v>
      </c>
    </row>
    <row r="20" spans="11:23" x14ac:dyDescent="0.35">
      <c r="S20" s="1" t="s">
        <v>88</v>
      </c>
      <c r="T20">
        <f>T18/(1-$H$15)</f>
        <v>29.200842107082927</v>
      </c>
      <c r="U20">
        <f t="shared" ref="U20:W20" si="9">U18/(1-$H$15)</f>
        <v>5.530534398460456</v>
      </c>
      <c r="V20">
        <f t="shared" si="9"/>
        <v>5.867050312435369</v>
      </c>
      <c r="W20">
        <f t="shared" si="9"/>
        <v>17.626968045553852</v>
      </c>
    </row>
    <row r="21" spans="11:23" x14ac:dyDescent="0.35">
      <c r="K21" t="s">
        <v>42</v>
      </c>
      <c r="P21">
        <f>(1320+O12)*12</f>
        <v>22342.857142857145</v>
      </c>
    </row>
    <row r="22" spans="11:23" x14ac:dyDescent="0.35">
      <c r="K22" t="s">
        <v>45</v>
      </c>
      <c r="P22">
        <f>G11/P21</f>
        <v>4.242966751918158</v>
      </c>
    </row>
    <row r="23" spans="11:23" x14ac:dyDescent="0.35">
      <c r="K23" t="s">
        <v>41</v>
      </c>
      <c r="L23">
        <f>8/21</f>
        <v>0.38095238095238093</v>
      </c>
      <c r="M23">
        <f>8/96</f>
        <v>8.3333333333333329E-2</v>
      </c>
      <c r="N23">
        <f>8/140</f>
        <v>5.7142857142857141E-2</v>
      </c>
      <c r="O23">
        <f>8/O11</f>
        <v>0.22857142857142856</v>
      </c>
      <c r="S23" s="27" t="s">
        <v>90</v>
      </c>
      <c r="T23" s="26"/>
      <c r="U23" s="26"/>
      <c r="V23" s="26"/>
      <c r="W23" s="27">
        <f>W6+W12</f>
        <v>11.997142857142858</v>
      </c>
    </row>
    <row r="24" spans="11:23" x14ac:dyDescent="0.35">
      <c r="K24" s="1" t="s">
        <v>46</v>
      </c>
      <c r="L24" s="1">
        <f>$P$22*L23</f>
        <v>1.6163682864450124</v>
      </c>
      <c r="M24" s="1">
        <f>$P$22*M23</f>
        <v>0.3535805626598465</v>
      </c>
      <c r="N24" s="1">
        <f>$P$22*N23</f>
        <v>0.24245524296675189</v>
      </c>
      <c r="O24" s="1">
        <f>$P$22*O23</f>
        <v>0.96982097186700755</v>
      </c>
      <c r="S24" s="27" t="s">
        <v>89</v>
      </c>
      <c r="T24" s="26"/>
      <c r="U24" s="26"/>
      <c r="V24" s="26"/>
      <c r="W24" s="27">
        <f>W18</f>
        <v>13.576682499086591</v>
      </c>
    </row>
    <row r="25" spans="11:23" x14ac:dyDescent="0.35">
      <c r="S25" s="27" t="s">
        <v>91</v>
      </c>
      <c r="T25" s="26"/>
      <c r="U25" s="26"/>
      <c r="V25" s="26"/>
      <c r="W25" s="27">
        <f>W20</f>
        <v>17.626968045553852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5D1CD-55B9-43A5-A58F-20AC9FB50A07}">
  <dimension ref="A1:Y36"/>
  <sheetViews>
    <sheetView tabSelected="1" topLeftCell="S1" zoomScale="95" workbookViewId="0">
      <selection activeCell="K15" sqref="K15"/>
    </sheetView>
  </sheetViews>
  <sheetFormatPr defaultRowHeight="14.5" x14ac:dyDescent="0.35"/>
  <cols>
    <col min="11" max="11" width="31.453125" bestFit="1" customWidth="1"/>
    <col min="12" max="12" width="12" bestFit="1" customWidth="1"/>
    <col min="14" max="14" width="12" bestFit="1" customWidth="1"/>
    <col min="20" max="20" width="25.1796875" bestFit="1" customWidth="1"/>
  </cols>
  <sheetData>
    <row r="1" spans="1:25" ht="72.5" x14ac:dyDescent="0.35">
      <c r="F1" s="1" t="s">
        <v>9</v>
      </c>
      <c r="G1" s="1" t="s">
        <v>10</v>
      </c>
      <c r="H1" s="1" t="s">
        <v>12</v>
      </c>
      <c r="L1" s="32" t="s">
        <v>17</v>
      </c>
      <c r="M1" s="32" t="s">
        <v>16</v>
      </c>
      <c r="N1" s="32" t="s">
        <v>15</v>
      </c>
      <c r="O1" s="33" t="s">
        <v>92</v>
      </c>
      <c r="P1" s="33" t="s">
        <v>93</v>
      </c>
      <c r="T1" s="1" t="s">
        <v>29</v>
      </c>
      <c r="U1" s="32" t="s">
        <v>17</v>
      </c>
      <c r="V1" s="32" t="s">
        <v>16</v>
      </c>
      <c r="W1" s="32" t="s">
        <v>15</v>
      </c>
      <c r="X1" s="33" t="s">
        <v>92</v>
      </c>
      <c r="Y1" s="33" t="s">
        <v>93</v>
      </c>
    </row>
    <row r="2" spans="1:25" x14ac:dyDescent="0.35">
      <c r="B2" t="s">
        <v>0</v>
      </c>
      <c r="C2">
        <v>1350000</v>
      </c>
      <c r="K2" t="s">
        <v>40</v>
      </c>
      <c r="L2">
        <v>2000</v>
      </c>
      <c r="M2">
        <v>5000</v>
      </c>
      <c r="N2">
        <v>3000</v>
      </c>
      <c r="O2" s="31">
        <v>2500</v>
      </c>
      <c r="P2">
        <v>2500</v>
      </c>
    </row>
    <row r="3" spans="1:25" x14ac:dyDescent="0.35">
      <c r="A3" t="s">
        <v>83</v>
      </c>
      <c r="B3" t="s">
        <v>1</v>
      </c>
      <c r="C3">
        <v>945000</v>
      </c>
      <c r="E3" s="2" t="s">
        <v>14</v>
      </c>
      <c r="F3" s="3">
        <f>945000-59600</f>
        <v>885400</v>
      </c>
      <c r="G3" s="3"/>
      <c r="H3" s="3">
        <f t="shared" ref="H3:H4" si="0">SUM(F3:G3)</f>
        <v>885400</v>
      </c>
      <c r="L3" s="23"/>
      <c r="M3" s="23"/>
      <c r="N3" s="28"/>
      <c r="O3" s="31"/>
      <c r="T3" t="s">
        <v>30</v>
      </c>
      <c r="U3">
        <f>L4*L5</f>
        <v>8.1000000000000014</v>
      </c>
      <c r="V3">
        <f>M4*M5</f>
        <v>1.0640000000000001</v>
      </c>
      <c r="W3">
        <f>N4*N5</f>
        <v>1.0714285714285714</v>
      </c>
      <c r="X3">
        <f>O4*O5</f>
        <v>4.93</v>
      </c>
      <c r="Y3">
        <f>P4*P5</f>
        <v>3.9439999999999995</v>
      </c>
    </row>
    <row r="4" spans="1:25" x14ac:dyDescent="0.35">
      <c r="B4" t="s">
        <v>2</v>
      </c>
      <c r="C4">
        <f>C2-C3</f>
        <v>405000</v>
      </c>
      <c r="E4" t="s">
        <v>13</v>
      </c>
      <c r="F4">
        <v>2000</v>
      </c>
      <c r="H4">
        <f t="shared" si="0"/>
        <v>2000</v>
      </c>
      <c r="K4" t="s">
        <v>21</v>
      </c>
      <c r="L4" s="24">
        <v>3</v>
      </c>
      <c r="M4" s="24">
        <v>1.1200000000000001</v>
      </c>
      <c r="N4" s="29">
        <v>1.1000000000000001</v>
      </c>
      <c r="O4" s="24">
        <v>1.7</v>
      </c>
      <c r="P4" s="35">
        <f>O4</f>
        <v>1.7</v>
      </c>
      <c r="T4" t="s">
        <v>31</v>
      </c>
      <c r="W4">
        <f>N7</f>
        <v>1.2649999999999999</v>
      </c>
    </row>
    <row r="5" spans="1:25" x14ac:dyDescent="0.35">
      <c r="K5" t="s">
        <v>22</v>
      </c>
      <c r="L5" s="24">
        <v>2.7</v>
      </c>
      <c r="M5" s="24">
        <v>0.95</v>
      </c>
      <c r="N5" s="30">
        <f>3.75/3.85</f>
        <v>0.97402597402597402</v>
      </c>
      <c r="O5" s="31">
        <v>2.9</v>
      </c>
      <c r="P5">
        <f>O5*0.8</f>
        <v>2.3199999999999998</v>
      </c>
      <c r="T5" t="s">
        <v>32</v>
      </c>
      <c r="U5">
        <f>L6</f>
        <v>0.25</v>
      </c>
      <c r="V5">
        <f>M6</f>
        <v>0.09</v>
      </c>
      <c r="X5">
        <f t="shared" ref="X5:Y5" si="1">O6</f>
        <v>0.45</v>
      </c>
      <c r="Y5">
        <f t="shared" si="1"/>
        <v>0.45</v>
      </c>
    </row>
    <row r="6" spans="1:25" x14ac:dyDescent="0.35">
      <c r="B6" t="s">
        <v>3</v>
      </c>
      <c r="C6">
        <v>11280</v>
      </c>
      <c r="E6" t="s">
        <v>3</v>
      </c>
      <c r="F6">
        <f>4700*0.8*12</f>
        <v>45120</v>
      </c>
      <c r="G6">
        <f>4700*0.2*12</f>
        <v>11280</v>
      </c>
      <c r="H6">
        <f>SUM(F6:G6)</f>
        <v>56400</v>
      </c>
      <c r="K6" t="s">
        <v>23</v>
      </c>
      <c r="L6" s="23">
        <v>0.25</v>
      </c>
      <c r="M6" s="23">
        <v>0.09</v>
      </c>
      <c r="N6" s="28"/>
      <c r="O6" s="31">
        <v>0.45</v>
      </c>
      <c r="P6">
        <f>O6</f>
        <v>0.45</v>
      </c>
      <c r="T6" s="5" t="s">
        <v>33</v>
      </c>
      <c r="U6" s="1">
        <f>SUM(U3:U5)</f>
        <v>8.3500000000000014</v>
      </c>
      <c r="V6" s="1">
        <f>SUM(V3:V5)</f>
        <v>1.1540000000000001</v>
      </c>
      <c r="W6" s="1">
        <f>SUM(W3:W5)</f>
        <v>2.3364285714285713</v>
      </c>
      <c r="X6" s="1">
        <f>SUM(X3:X5)</f>
        <v>5.38</v>
      </c>
      <c r="Y6" s="1">
        <f>SUM(Y3:Y5)</f>
        <v>4.3939999999999992</v>
      </c>
    </row>
    <row r="7" spans="1:25" x14ac:dyDescent="0.35">
      <c r="B7" t="s">
        <v>4</v>
      </c>
      <c r="C7">
        <v>3120</v>
      </c>
      <c r="E7" t="s">
        <v>11</v>
      </c>
      <c r="F7">
        <f>1300*0.8*12 + 0.3*1300*0.8*12</f>
        <v>16224</v>
      </c>
      <c r="G7">
        <f>1300*0.2*12</f>
        <v>3120</v>
      </c>
      <c r="H7">
        <f>SUM(F7:G7)</f>
        <v>19344</v>
      </c>
      <c r="K7" s="37" t="s">
        <v>25</v>
      </c>
      <c r="L7" s="38"/>
      <c r="M7" s="38"/>
      <c r="N7" s="39">
        <f>1.15*N4</f>
        <v>1.2649999999999999</v>
      </c>
      <c r="O7" s="38"/>
      <c r="P7" s="37"/>
    </row>
    <row r="8" spans="1:25" x14ac:dyDescent="0.35">
      <c r="B8" t="s">
        <v>5</v>
      </c>
      <c r="C8">
        <v>1800</v>
      </c>
      <c r="E8" t="s">
        <v>5</v>
      </c>
      <c r="G8">
        <f>150*12</f>
        <v>1800</v>
      </c>
      <c r="H8">
        <f>SUM(F8:G8)</f>
        <v>1800</v>
      </c>
      <c r="K8" s="37" t="s">
        <v>24</v>
      </c>
      <c r="L8" s="38"/>
      <c r="M8" s="38"/>
      <c r="N8" s="39">
        <f>4000/N4</f>
        <v>3636.363636363636</v>
      </c>
      <c r="O8" s="38"/>
      <c r="P8" s="37"/>
      <c r="T8" t="s">
        <v>34</v>
      </c>
      <c r="W8">
        <f>(8/N8)*20</f>
        <v>4.4000000000000004E-2</v>
      </c>
    </row>
    <row r="9" spans="1:25" x14ac:dyDescent="0.35">
      <c r="B9" t="s">
        <v>6</v>
      </c>
      <c r="C9">
        <v>60000</v>
      </c>
      <c r="E9" t="s">
        <v>6</v>
      </c>
      <c r="G9">
        <f>60000+20000</f>
        <v>80000</v>
      </c>
      <c r="H9">
        <f>SUM(F9:G9)</f>
        <v>80000</v>
      </c>
      <c r="K9" t="s">
        <v>26</v>
      </c>
      <c r="L9" s="23">
        <f>4500/L4</f>
        <v>1500</v>
      </c>
      <c r="M9" s="23">
        <f t="shared" ref="M9:N9" si="2">4500/M4</f>
        <v>4017.8571428571427</v>
      </c>
      <c r="N9" s="28">
        <f t="shared" si="2"/>
        <v>4090.9090909090905</v>
      </c>
      <c r="O9" s="31">
        <f>4500/O4</f>
        <v>2647.0588235294117</v>
      </c>
      <c r="P9">
        <f>O9</f>
        <v>2647.0588235294117</v>
      </c>
      <c r="T9" t="s">
        <v>35</v>
      </c>
      <c r="U9">
        <f t="shared" ref="U9:Y11" si="3">(8/L9)*15</f>
        <v>0.08</v>
      </c>
      <c r="V9">
        <f t="shared" si="3"/>
        <v>2.9866666666666666E-2</v>
      </c>
      <c r="W9">
        <f t="shared" si="3"/>
        <v>2.9333333333333336E-2</v>
      </c>
      <c r="X9">
        <f t="shared" si="3"/>
        <v>4.533333333333333E-2</v>
      </c>
      <c r="Y9">
        <f t="shared" si="3"/>
        <v>4.533333333333333E-2</v>
      </c>
    </row>
    <row r="10" spans="1:25" x14ac:dyDescent="0.35">
      <c r="B10" t="s">
        <v>7</v>
      </c>
      <c r="C10">
        <v>18600</v>
      </c>
      <c r="E10" t="s">
        <v>7</v>
      </c>
      <c r="G10">
        <v>18600</v>
      </c>
      <c r="H10">
        <f>SUM(F10:G10)</f>
        <v>18600</v>
      </c>
      <c r="K10" t="s">
        <v>27</v>
      </c>
      <c r="L10" s="23">
        <v>21</v>
      </c>
      <c r="M10" s="23">
        <v>96</v>
      </c>
      <c r="N10" s="28">
        <v>140</v>
      </c>
      <c r="O10" s="23">
        <v>35</v>
      </c>
      <c r="P10" s="36">
        <f>O10</f>
        <v>35</v>
      </c>
      <c r="T10" t="s">
        <v>36</v>
      </c>
      <c r="U10">
        <f t="shared" si="3"/>
        <v>5.7142857142857135</v>
      </c>
      <c r="V10">
        <f t="shared" si="3"/>
        <v>1.25</v>
      </c>
      <c r="W10">
        <f t="shared" si="3"/>
        <v>0.8571428571428571</v>
      </c>
      <c r="X10">
        <f t="shared" si="3"/>
        <v>3.4285714285714284</v>
      </c>
      <c r="Y10">
        <f t="shared" si="3"/>
        <v>3.4285714285714284</v>
      </c>
    </row>
    <row r="11" spans="1:25" x14ac:dyDescent="0.35">
      <c r="E11" s="1" t="s">
        <v>19</v>
      </c>
      <c r="F11" s="1">
        <f>SUM(F4:F10)</f>
        <v>63344</v>
      </c>
      <c r="G11" s="1">
        <f>SUM(G4:G10)</f>
        <v>114800</v>
      </c>
      <c r="H11" s="1">
        <f>SUM(H4:H10)</f>
        <v>178144</v>
      </c>
      <c r="K11" t="s">
        <v>28</v>
      </c>
      <c r="L11" s="23">
        <f>L10</f>
        <v>21</v>
      </c>
      <c r="M11" s="23">
        <f t="shared" ref="M11:N11" si="4">M10</f>
        <v>96</v>
      </c>
      <c r="N11" s="28">
        <f t="shared" si="4"/>
        <v>140</v>
      </c>
      <c r="O11" s="31">
        <v>35</v>
      </c>
      <c r="P11">
        <f>O11</f>
        <v>35</v>
      </c>
      <c r="T11" t="s">
        <v>37</v>
      </c>
      <c r="U11">
        <f t="shared" si="3"/>
        <v>5.7142857142857135</v>
      </c>
      <c r="V11">
        <f t="shared" si="3"/>
        <v>1.25</v>
      </c>
      <c r="W11">
        <f t="shared" si="3"/>
        <v>0.8571428571428571</v>
      </c>
      <c r="X11">
        <f t="shared" si="3"/>
        <v>3.4285714285714284</v>
      </c>
      <c r="Y11">
        <f t="shared" si="3"/>
        <v>3.4285714285714284</v>
      </c>
    </row>
    <row r="12" spans="1:25" x14ac:dyDescent="0.35">
      <c r="E12" s="1" t="s">
        <v>20</v>
      </c>
      <c r="H12" s="1">
        <f>H3+H11</f>
        <v>1063544</v>
      </c>
      <c r="L12" s="23">
        <f>L2*8/L11</f>
        <v>761.90476190476193</v>
      </c>
      <c r="M12" s="23">
        <f t="shared" ref="M12:O12" si="5">M2*8/M11</f>
        <v>416.66666666666669</v>
      </c>
      <c r="N12" s="28">
        <f t="shared" si="5"/>
        <v>171.42857142857142</v>
      </c>
      <c r="O12" s="23">
        <f t="shared" si="5"/>
        <v>571.42857142857144</v>
      </c>
      <c r="P12" s="36">
        <f>O12</f>
        <v>571.42857142857144</v>
      </c>
      <c r="T12" s="5" t="s">
        <v>38</v>
      </c>
      <c r="U12" s="1">
        <f t="shared" ref="U12:V12" si="6">SUM(U8:U11)</f>
        <v>11.508571428571427</v>
      </c>
      <c r="V12" s="1">
        <f t="shared" si="6"/>
        <v>2.5298666666666669</v>
      </c>
      <c r="W12" s="1">
        <f>SUM(W8:W11)</f>
        <v>1.7876190476190477</v>
      </c>
      <c r="X12" s="1">
        <f>SUM(X8:X11)</f>
        <v>6.9024761904761895</v>
      </c>
      <c r="Y12" s="1">
        <f>SUM(Y8:Y11)</f>
        <v>6.9024761904761895</v>
      </c>
    </row>
    <row r="13" spans="1:25" x14ac:dyDescent="0.35">
      <c r="B13" s="1" t="s">
        <v>8</v>
      </c>
      <c r="C13" s="1">
        <f>C4-SUM(C6:C10)</f>
        <v>310200</v>
      </c>
      <c r="E13" s="1" t="s">
        <v>8</v>
      </c>
      <c r="H13" s="1">
        <f>C2-H12</f>
        <v>286456</v>
      </c>
      <c r="K13" s="1" t="s">
        <v>39</v>
      </c>
    </row>
    <row r="14" spans="1:25" x14ac:dyDescent="0.35">
      <c r="T14" s="1" t="s">
        <v>94</v>
      </c>
      <c r="X14">
        <f>1300*0.8*12*0.3</f>
        <v>3744</v>
      </c>
      <c r="Y14">
        <f>1300*0.8*12*0.3</f>
        <v>3744</v>
      </c>
    </row>
    <row r="15" spans="1:25" x14ac:dyDescent="0.35">
      <c r="E15" s="1" t="s">
        <v>48</v>
      </c>
      <c r="H15" s="6">
        <f>trousers!H15</f>
        <v>0.22977777777777778</v>
      </c>
      <c r="K15" s="37" t="s">
        <v>42</v>
      </c>
      <c r="L15" s="37"/>
      <c r="M15" s="37"/>
      <c r="N15" s="37"/>
      <c r="O15" s="37"/>
      <c r="P15" s="37"/>
      <c r="Q15" s="37">
        <f>(1320+O12)*12</f>
        <v>22697.142857142859</v>
      </c>
      <c r="T15" t="s">
        <v>95</v>
      </c>
      <c r="X15">
        <f>X14/(O2*12)</f>
        <v>0.12479999999999999</v>
      </c>
      <c r="Y15">
        <f>Y14/(P2*12)</f>
        <v>0.12479999999999999</v>
      </c>
    </row>
    <row r="16" spans="1:25" x14ac:dyDescent="0.35">
      <c r="K16" t="s">
        <v>43</v>
      </c>
      <c r="Q16">
        <f>F11/Q15</f>
        <v>2.7908358509566966</v>
      </c>
      <c r="T16" s="1" t="s">
        <v>96</v>
      </c>
      <c r="X16">
        <v>20000</v>
      </c>
      <c r="Y16">
        <v>20000</v>
      </c>
    </row>
    <row r="17" spans="11:25" x14ac:dyDescent="0.35">
      <c r="K17" t="s">
        <v>41</v>
      </c>
      <c r="L17" s="34">
        <f>8/L10</f>
        <v>0.38095238095238093</v>
      </c>
      <c r="M17">
        <f t="shared" ref="M17:P17" si="7">8/M10</f>
        <v>8.3333333333333329E-2</v>
      </c>
      <c r="N17">
        <f t="shared" si="7"/>
        <v>5.7142857142857141E-2</v>
      </c>
      <c r="O17">
        <f t="shared" si="7"/>
        <v>0.22857142857142856</v>
      </c>
      <c r="P17">
        <f t="shared" si="7"/>
        <v>0.22857142857142856</v>
      </c>
      <c r="T17" t="s">
        <v>97</v>
      </c>
      <c r="X17">
        <f>X16/(O2*12)</f>
        <v>0.66666666666666663</v>
      </c>
      <c r="Y17">
        <f>Y16/(P2*12)</f>
        <v>0.66666666666666663</v>
      </c>
    </row>
    <row r="18" spans="11:25" x14ac:dyDescent="0.35">
      <c r="K18" s="1" t="s">
        <v>44</v>
      </c>
      <c r="L18" s="1">
        <f>L17*Q16</f>
        <v>1.0631755622692176</v>
      </c>
      <c r="M18" s="1">
        <f t="shared" ref="M18:P18" si="8">$Q$16*M17</f>
        <v>0.23256965424639137</v>
      </c>
      <c r="N18" s="1">
        <f t="shared" si="8"/>
        <v>0.15947633434038266</v>
      </c>
      <c r="O18" s="1">
        <f t="shared" si="8"/>
        <v>0.63790533736153066</v>
      </c>
      <c r="P18" s="1">
        <f t="shared" si="8"/>
        <v>0.63790533736153066</v>
      </c>
    </row>
    <row r="19" spans="11:25" x14ac:dyDescent="0.35">
      <c r="T19" s="1" t="s">
        <v>18</v>
      </c>
      <c r="U19">
        <f>U6+U12</f>
        <v>19.85857142857143</v>
      </c>
      <c r="V19">
        <f>V6+V12</f>
        <v>3.6838666666666668</v>
      </c>
      <c r="W19">
        <f>W6+W12</f>
        <v>4.1240476190476194</v>
      </c>
      <c r="X19">
        <f>X6+X12+X15+X17</f>
        <v>13.073942857142855</v>
      </c>
      <c r="Y19">
        <f t="shared" ref="Y19" si="9">Y6+Y12+Y15+Y17</f>
        <v>12.087942857142854</v>
      </c>
    </row>
    <row r="20" spans="11:25" x14ac:dyDescent="0.35">
      <c r="T20" t="s">
        <v>44</v>
      </c>
      <c r="U20" s="3">
        <f>L18</f>
        <v>1.0631755622692176</v>
      </c>
      <c r="V20" s="3">
        <f>M18</f>
        <v>0.23256965424639137</v>
      </c>
      <c r="W20" s="3">
        <f>N18</f>
        <v>0.15947633434038266</v>
      </c>
      <c r="X20" s="3">
        <f>O18</f>
        <v>0.63790533736153066</v>
      </c>
      <c r="Y20" s="3">
        <f>P18</f>
        <v>0.63790533736153066</v>
      </c>
    </row>
    <row r="21" spans="11:25" x14ac:dyDescent="0.35">
      <c r="K21" t="s">
        <v>42</v>
      </c>
      <c r="Q21">
        <f>(1320+O12)*12</f>
        <v>22697.142857142859</v>
      </c>
      <c r="T21" s="1" t="s">
        <v>47</v>
      </c>
      <c r="U21" s="1">
        <f>SUM(U19:U20)</f>
        <v>20.921746990840649</v>
      </c>
      <c r="V21" s="1">
        <f t="shared" ref="V21:W21" si="10">SUM(V19:V20)</f>
        <v>3.9164363209130584</v>
      </c>
      <c r="W21" s="1">
        <f t="shared" si="10"/>
        <v>4.2835239533880021</v>
      </c>
      <c r="X21" s="1">
        <f>SUM(X19:X20)-X15-X17</f>
        <v>12.920381527837719</v>
      </c>
      <c r="Y21" s="1">
        <f>SUM(Y19:Y20)-Y15-Y17</f>
        <v>11.934381527837719</v>
      </c>
    </row>
    <row r="22" spans="11:25" x14ac:dyDescent="0.35">
      <c r="K22" t="s">
        <v>45</v>
      </c>
      <c r="Q22">
        <f>G11/Q21</f>
        <v>5.0579053373615306</v>
      </c>
      <c r="T22" t="s">
        <v>46</v>
      </c>
      <c r="U22" s="3">
        <f>L24</f>
        <v>1.9268210808996307</v>
      </c>
      <c r="V22" s="3">
        <f>M24</f>
        <v>0.42149211144679422</v>
      </c>
      <c r="W22" s="3">
        <f>N24</f>
        <v>0.28902316213494461</v>
      </c>
      <c r="X22" s="3">
        <f>O24</f>
        <v>1.1560926485397784</v>
      </c>
      <c r="Y22" s="3">
        <f>P24</f>
        <v>1.1560926485397784</v>
      </c>
    </row>
    <row r="23" spans="11:25" x14ac:dyDescent="0.35">
      <c r="K23" t="s">
        <v>41</v>
      </c>
      <c r="L23">
        <f>8/L11</f>
        <v>0.38095238095238093</v>
      </c>
      <c r="M23">
        <f t="shared" ref="M23:P23" si="11">8/M11</f>
        <v>8.3333333333333329E-2</v>
      </c>
      <c r="N23">
        <f t="shared" si="11"/>
        <v>5.7142857142857141E-2</v>
      </c>
      <c r="O23">
        <f t="shared" si="11"/>
        <v>0.22857142857142856</v>
      </c>
      <c r="P23">
        <f t="shared" si="11"/>
        <v>0.22857142857142856</v>
      </c>
      <c r="T23" s="1" t="s">
        <v>20</v>
      </c>
      <c r="U23" s="1">
        <f>U21+U22</f>
        <v>22.848568071740281</v>
      </c>
      <c r="V23" s="1">
        <f t="shared" ref="V23:Y23" si="12">V21+V22</f>
        <v>4.3379284323598526</v>
      </c>
      <c r="W23" s="1">
        <f t="shared" si="12"/>
        <v>4.5725471155229469</v>
      </c>
      <c r="X23" s="1">
        <f t="shared" si="12"/>
        <v>14.076474176377499</v>
      </c>
      <c r="Y23" s="1">
        <f t="shared" si="12"/>
        <v>13.090474176377498</v>
      </c>
    </row>
    <row r="24" spans="11:25" x14ac:dyDescent="0.35">
      <c r="K24" s="1" t="s">
        <v>46</v>
      </c>
      <c r="L24" s="1">
        <f>$Q$22*L23</f>
        <v>1.9268210808996307</v>
      </c>
      <c r="M24" s="1">
        <f>$Q$22*M23</f>
        <v>0.42149211144679422</v>
      </c>
      <c r="N24" s="1">
        <f>$Q$22*N23</f>
        <v>0.28902316213494461</v>
      </c>
      <c r="O24" s="1">
        <f>$Q$22*O23</f>
        <v>1.1560926485397784</v>
      </c>
      <c r="P24" s="1">
        <f>$Q$22*P23</f>
        <v>1.1560926485397784</v>
      </c>
    </row>
    <row r="25" spans="11:25" x14ac:dyDescent="0.35">
      <c r="T25" s="1" t="s">
        <v>84</v>
      </c>
      <c r="U25">
        <f>U23/(1-$H$15)</f>
        <v>29.6649037284568</v>
      </c>
      <c r="V25">
        <f t="shared" ref="V25:Y25" si="13">V23/(1-$H$15)</f>
        <v>5.6320478781359888</v>
      </c>
      <c r="W25">
        <f t="shared" si="13"/>
        <v>5.9366595556414481</v>
      </c>
      <c r="X25">
        <f t="shared" si="13"/>
        <v>18.275860875273729</v>
      </c>
      <c r="Y25">
        <f t="shared" si="13"/>
        <v>16.995710846422025</v>
      </c>
    </row>
    <row r="27" spans="11:25" ht="29" x14ac:dyDescent="0.35">
      <c r="T27" s="33" t="s">
        <v>92</v>
      </c>
    </row>
    <row r="28" spans="11:25" x14ac:dyDescent="0.35">
      <c r="T28" s="27" t="s">
        <v>90</v>
      </c>
      <c r="U28" s="26"/>
      <c r="V28" s="26"/>
      <c r="W28" s="26"/>
      <c r="X28" s="27">
        <f>X6+X12+X15+X17</f>
        <v>13.073942857142855</v>
      </c>
    </row>
    <row r="29" spans="11:25" x14ac:dyDescent="0.35">
      <c r="T29" s="27" t="s">
        <v>89</v>
      </c>
      <c r="U29" s="26"/>
      <c r="V29" s="26"/>
      <c r="W29" s="26"/>
      <c r="X29" s="27">
        <f>X23</f>
        <v>14.076474176377499</v>
      </c>
    </row>
    <row r="30" spans="11:25" x14ac:dyDescent="0.35">
      <c r="T30" s="27" t="s">
        <v>91</v>
      </c>
      <c r="U30" s="26"/>
      <c r="V30" s="26"/>
      <c r="W30" s="26"/>
      <c r="X30" s="27">
        <f>X25</f>
        <v>18.275860875273729</v>
      </c>
    </row>
    <row r="33" spans="20:24" ht="29" x14ac:dyDescent="0.35">
      <c r="T33" s="33" t="s">
        <v>93</v>
      </c>
    </row>
    <row r="34" spans="20:24" x14ac:dyDescent="0.35">
      <c r="T34" s="27" t="s">
        <v>90</v>
      </c>
      <c r="X34">
        <f>Y6+Y12+Y15+Y17</f>
        <v>12.087942857142854</v>
      </c>
    </row>
    <row r="35" spans="20:24" x14ac:dyDescent="0.35">
      <c r="T35" s="27" t="s">
        <v>89</v>
      </c>
      <c r="X35">
        <f>Y23</f>
        <v>13.090474176377498</v>
      </c>
    </row>
    <row r="36" spans="20:24" x14ac:dyDescent="0.35">
      <c r="T36" s="27" t="s">
        <v>91</v>
      </c>
      <c r="X36">
        <f>Y25</f>
        <v>16.995710846422025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292EB-F9CC-4547-8452-E8AE589B8455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2-22</vt:lpstr>
      <vt:lpstr>Existing Cost Structure</vt:lpstr>
      <vt:lpstr>trousers</vt:lpstr>
      <vt:lpstr>cargo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>Accounting</dc:subject>
  <dc:creator>Vishwanathan Iyer</dc:creator>
  <cp:lastModifiedBy>Naman Jain</cp:lastModifiedBy>
  <dcterms:created xsi:type="dcterms:W3CDTF">2012-09-17T08:53:35Z</dcterms:created>
  <dcterms:modified xsi:type="dcterms:W3CDTF">2026-07-24T11:48:19Z</dcterms:modified>
</cp:coreProperties>
</file>