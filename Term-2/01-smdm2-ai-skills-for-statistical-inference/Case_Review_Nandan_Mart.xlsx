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2F8FA6E-3A92-40C3-8A0A-68C04DAD7EC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 Dictionary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2" l="1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N20" i="2" s="1"/>
  <c r="M7" i="2"/>
  <c r="M20" i="2" s="1"/>
  <c r="L7" i="2"/>
  <c r="L20" i="2" s="1"/>
  <c r="N6" i="2"/>
  <c r="M6" i="2"/>
  <c r="L6" i="2"/>
  <c r="N5" i="2"/>
  <c r="M5" i="2"/>
  <c r="L5" i="2"/>
  <c r="N4" i="2"/>
  <c r="N22" i="2" s="1"/>
  <c r="N23" i="2" s="1"/>
  <c r="M4" i="2"/>
  <c r="M22" i="2" s="1"/>
  <c r="M23" i="2" s="1"/>
  <c r="L4" i="2"/>
  <c r="L22" i="2" s="1"/>
  <c r="L23" i="2" s="1"/>
  <c r="C23" i="2"/>
  <c r="B23" i="2"/>
  <c r="K22" i="2"/>
  <c r="K23" i="2" s="1"/>
  <c r="J22" i="2"/>
  <c r="J23" i="2" s="1"/>
  <c r="I22" i="2"/>
  <c r="I23" i="2" s="1"/>
  <c r="H22" i="2"/>
  <c r="H23" i="2" s="1"/>
  <c r="G22" i="2"/>
  <c r="G23" i="2" s="1"/>
  <c r="F22" i="2"/>
  <c r="F23" i="2" s="1"/>
  <c r="E22" i="2"/>
  <c r="E23" i="2" s="1"/>
  <c r="D22" i="2"/>
  <c r="D23" i="2" s="1"/>
  <c r="C22" i="2"/>
  <c r="B22" i="2"/>
  <c r="K21" i="2"/>
  <c r="J21" i="2"/>
  <c r="I21" i="2"/>
  <c r="H21" i="2"/>
  <c r="G21" i="2"/>
  <c r="F21" i="2"/>
  <c r="E21" i="2"/>
  <c r="D21" i="2"/>
  <c r="C21" i="2"/>
  <c r="B21" i="2"/>
  <c r="K20" i="2"/>
  <c r="J20" i="2"/>
  <c r="I20" i="2"/>
  <c r="H20" i="2"/>
  <c r="G20" i="2"/>
  <c r="F20" i="2"/>
  <c r="E20" i="2"/>
  <c r="D20" i="2"/>
  <c r="C20" i="2"/>
  <c r="B20" i="2"/>
  <c r="N21" i="2" l="1"/>
  <c r="L21" i="2"/>
  <c r="M21" i="2"/>
</calcChain>
</file>

<file path=xl/sharedStrings.xml><?xml version="1.0" encoding="utf-8"?>
<sst xmlns="http://schemas.openxmlformats.org/spreadsheetml/2006/main" count="108" uniqueCount="80">
  <si>
    <t>Nandan Mart Turnaround Study — Data Dictionary</t>
  </si>
  <si>
    <t>Variable</t>
  </si>
  <si>
    <t>Description</t>
  </si>
  <si>
    <t>Data Type</t>
  </si>
  <si>
    <t>Units</t>
  </si>
  <si>
    <t>Sample Unit (n = 15)</t>
  </si>
  <si>
    <t>Hypothesis / Test</t>
  </si>
  <si>
    <t>Pairing</t>
  </si>
  <si>
    <t>StoreDay_ID</t>
  </si>
  <si>
    <t>Row identifier (1-15). Meaning varies by variable - see Sample Unit per column. Rows pair V7 with V8 (same store) and V9 with V10 (same rider); they do NOT pair any other columns.</t>
  </si>
  <si>
    <t>Integer</t>
  </si>
  <si>
    <t>-</t>
  </si>
  <si>
    <t>Row key</t>
  </si>
  <si>
    <t>FulfillmentTime_min</t>
  </si>
  <si>
    <t>Minutes from order placement to delivery handover.</t>
  </si>
  <si>
    <t>Numeric</t>
  </si>
  <si>
    <t>Minutes</t>
  </si>
  <si>
    <t>15 random delivery orders</t>
  </si>
  <si>
    <t>H1: one-sample t-test vs benchmark 30 min (right-tailed)</t>
  </si>
  <si>
    <t>None - single sample vs benchmark</t>
  </si>
  <si>
    <t>CSAT_score</t>
  </si>
  <si>
    <t>Post-purchase customer satisfaction rating.</t>
  </si>
  <si>
    <t>1-5 scale</t>
  </si>
  <si>
    <t>15 random customers</t>
  </si>
  <si>
    <t>H2: one-sample t-test vs historical 4.0 (two-tailed)</t>
  </si>
  <si>
    <t>UrbanSales_k</t>
  </si>
  <si>
    <t>Daily sales at urban-format stores.</t>
  </si>
  <si>
    <t>Rs '000/day</t>
  </si>
  <si>
    <t>15 urban store-days</t>
  </si>
  <si>
    <t>H3: two-independent-sample t-test vs SuburbanSales_k (two-tailed)</t>
  </si>
  <si>
    <t>Independent of SuburbanSales_k - row ID implies NO pairing</t>
  </si>
  <si>
    <t>SuburbanSales_k</t>
  </si>
  <si>
    <t>Daily sales at suburban-format stores.</t>
  </si>
  <si>
    <t>15 suburban store-days</t>
  </si>
  <si>
    <t>H3: two-independent-sample t-test vs UrbanSales_k (two-tailed)</t>
  </si>
  <si>
    <t>Independent of UrbanSales_k - row ID implies NO pairing</t>
  </si>
  <si>
    <t>AppConversion_pct</t>
  </si>
  <si>
    <t>Mobile-app visit-to-purchase conversion rate.</t>
  </si>
  <si>
    <t>%</t>
  </si>
  <si>
    <t>15 days of app traffic</t>
  </si>
  <si>
    <t>H4: two-independent-sample t-test vs WebConversion_pct (right-tailed: app higher?)</t>
  </si>
  <si>
    <t>Independent of WebConversion_pct - row ID implies NO pairing</t>
  </si>
  <si>
    <t>WebConversion_pct</t>
  </si>
  <si>
    <t>Website visit-to-purchase conversion rate.</t>
  </si>
  <si>
    <t>15 days of web traffic</t>
  </si>
  <si>
    <t>H4: two-independent-sample t-test vs AppConversion_pct</t>
  </si>
  <si>
    <t>Independent of AppConversion_pct - row ID implies NO pairing</t>
  </si>
  <si>
    <t>Basket_Before</t>
  </si>
  <si>
    <t>Average weekly basket value in loyalty-pilot stores, week before launch.</t>
  </si>
  <si>
    <t>Rs/week</t>
  </si>
  <si>
    <t>15 pilot stores</t>
  </si>
  <si>
    <t>H5: paired t-test on (Basket_After - Basket_Before), right-tailed: increase?</t>
  </si>
  <si>
    <t>PAIRED with Basket_After - same store per row</t>
  </si>
  <si>
    <t>Basket_After</t>
  </si>
  <si>
    <t>Average weekly basket value in the SAME pilot stores, week after launch.</t>
  </si>
  <si>
    <t>Same 15 pilot stores</t>
  </si>
  <si>
    <t>H5: paired t-test (see Basket_Before)</t>
  </si>
  <si>
    <t>PAIRED with Basket_Before - same store per row</t>
  </si>
  <si>
    <t>Delivery_Before</t>
  </si>
  <si>
    <t>Average delivery time per rider, month before route-optimization software.</t>
  </si>
  <si>
    <t>15 riders</t>
  </si>
  <si>
    <t>H6: paired t-test on (Delivery_After - Delivery_Before), left-tailed: decrease?</t>
  </si>
  <si>
    <t>PAIRED with Delivery_After - same rider per row</t>
  </si>
  <si>
    <t>Delivery_After</t>
  </si>
  <si>
    <t>Average delivery time for the SAME riders, month after route software.</t>
  </si>
  <si>
    <t>Same 15 riders</t>
  </si>
  <si>
    <t>H6: paired t-test (see Delivery_Before)</t>
  </si>
  <si>
    <t>PAIRED with Delivery_Before - same rider per row</t>
  </si>
  <si>
    <t>Notes:</t>
  </si>
  <si>
    <t>- Significance level alpha = 0.05 for all six hypotheses (H1-H6). Cutoffs: one-sample/paired df=14 (two-tail 2.145, one-tail 1.761); independent df=28 (two-tail 2.048, one-tail 1.701).</t>
  </si>
  <si>
    <t>- Frame each hypothesis (test family, H0/Ha, tail) BEFORE computing - see Session-06-Case-Study.md Section 1.3.</t>
  </si>
  <si>
    <t>- The rows are a data-layout convenience: only V7/V8 and V9/V10 are genuinely paired by row.</t>
  </si>
  <si>
    <t>Nandan Mart Turnaround Study — Dataset (n = 15 per column)</t>
  </si>
  <si>
    <t>n</t>
  </si>
  <si>
    <t>Mean</t>
  </si>
  <si>
    <t>Std Dev (sample)</t>
  </si>
  <si>
    <t>Std Error</t>
  </si>
  <si>
    <t>Basket_Diff (I-H)</t>
  </si>
  <si>
    <t>Delivery_Diff (K-J)</t>
  </si>
  <si>
    <t>App_minus_Web (F-G)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</si>
</sst>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3864"/>
        <bgColor rgb="FF33333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/>
    <xf numFmtId="1" fontId="5" fillId="0" borderId="2" xfId="0" applyNumberFormat="1" applyFont="1" applyBorder="1"/>
    <xf numFmtId="164" fontId="5" fillId="0" borderId="2" xfId="0" applyNumberFormat="1" applyFont="1" applyBorder="1"/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4" fillId="0" borderId="3" xfId="0" applyFont="1" applyBorder="1"/>
    <xf numFmtId="0" fontId="5" fillId="0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workbookViewId="0"/>
  </sheetViews>
  <sheetFormatPr defaultRowHeight="14.5" x14ac:dyDescent="0.35"/>
  <cols>
    <col min="1" max="1" width="20" customWidth="1"/>
    <col min="2" max="2" width="52" customWidth="1"/>
    <col min="3" max="3" width="11" customWidth="1"/>
    <col min="4" max="4" width="14" customWidth="1"/>
    <col min="5" max="5" width="26" customWidth="1"/>
    <col min="6" max="6" width="40" customWidth="1"/>
    <col min="7" max="7" width="30" customWidth="1"/>
  </cols>
  <sheetData>
    <row r="1" spans="1:7" ht="21" x14ac:dyDescent="0.5">
      <c r="A1" s="1" t="s">
        <v>0</v>
      </c>
    </row>
    <row r="3" spans="1:7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58" x14ac:dyDescent="0.3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11</v>
      </c>
      <c r="G4" s="3" t="s">
        <v>11</v>
      </c>
    </row>
    <row r="5" spans="1:7" ht="29" x14ac:dyDescent="0.3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</row>
    <row r="6" spans="1:7" ht="29" x14ac:dyDescent="0.35">
      <c r="A6" s="3" t="s">
        <v>20</v>
      </c>
      <c r="B6" s="3" t="s">
        <v>21</v>
      </c>
      <c r="C6" s="3" t="s">
        <v>15</v>
      </c>
      <c r="D6" s="3" t="s">
        <v>22</v>
      </c>
      <c r="E6" s="3" t="s">
        <v>23</v>
      </c>
      <c r="F6" s="3" t="s">
        <v>24</v>
      </c>
      <c r="G6" s="3" t="s">
        <v>19</v>
      </c>
    </row>
    <row r="7" spans="1:7" ht="29" x14ac:dyDescent="0.35">
      <c r="A7" s="3" t="s">
        <v>25</v>
      </c>
      <c r="B7" s="3" t="s">
        <v>26</v>
      </c>
      <c r="C7" s="3" t="s">
        <v>15</v>
      </c>
      <c r="D7" s="3" t="s">
        <v>27</v>
      </c>
      <c r="E7" s="3" t="s">
        <v>28</v>
      </c>
      <c r="F7" s="3" t="s">
        <v>29</v>
      </c>
      <c r="G7" s="3" t="s">
        <v>30</v>
      </c>
    </row>
    <row r="8" spans="1:7" ht="29" x14ac:dyDescent="0.35">
      <c r="A8" s="3" t="s">
        <v>31</v>
      </c>
      <c r="B8" s="3" t="s">
        <v>32</v>
      </c>
      <c r="C8" s="3" t="s">
        <v>15</v>
      </c>
      <c r="D8" s="3" t="s">
        <v>27</v>
      </c>
      <c r="E8" s="3" t="s">
        <v>33</v>
      </c>
      <c r="F8" s="3" t="s">
        <v>34</v>
      </c>
      <c r="G8" s="3" t="s">
        <v>35</v>
      </c>
    </row>
    <row r="9" spans="1:7" ht="43.5" x14ac:dyDescent="0.35">
      <c r="A9" s="3" t="s">
        <v>36</v>
      </c>
      <c r="B9" s="3" t="s">
        <v>37</v>
      </c>
      <c r="C9" s="3" t="s">
        <v>15</v>
      </c>
      <c r="D9" s="3" t="s">
        <v>38</v>
      </c>
      <c r="E9" s="3" t="s">
        <v>39</v>
      </c>
      <c r="F9" s="3" t="s">
        <v>40</v>
      </c>
      <c r="G9" s="3" t="s">
        <v>41</v>
      </c>
    </row>
    <row r="10" spans="1:7" ht="43.5" x14ac:dyDescent="0.35">
      <c r="A10" s="3" t="s">
        <v>42</v>
      </c>
      <c r="B10" s="3" t="s">
        <v>43</v>
      </c>
      <c r="C10" s="3" t="s">
        <v>15</v>
      </c>
      <c r="D10" s="3" t="s">
        <v>38</v>
      </c>
      <c r="E10" s="3" t="s">
        <v>44</v>
      </c>
      <c r="F10" s="3" t="s">
        <v>45</v>
      </c>
      <c r="G10" s="3" t="s">
        <v>46</v>
      </c>
    </row>
    <row r="11" spans="1:7" ht="29" x14ac:dyDescent="0.35">
      <c r="A11" s="3" t="s">
        <v>47</v>
      </c>
      <c r="B11" s="3" t="s">
        <v>48</v>
      </c>
      <c r="C11" s="3" t="s">
        <v>15</v>
      </c>
      <c r="D11" s="3" t="s">
        <v>49</v>
      </c>
      <c r="E11" s="3" t="s">
        <v>50</v>
      </c>
      <c r="F11" s="3" t="s">
        <v>51</v>
      </c>
      <c r="G11" s="3" t="s">
        <v>52</v>
      </c>
    </row>
    <row r="12" spans="1:7" ht="29" x14ac:dyDescent="0.35">
      <c r="A12" s="3" t="s">
        <v>53</v>
      </c>
      <c r="B12" s="3" t="s">
        <v>54</v>
      </c>
      <c r="C12" s="3" t="s">
        <v>15</v>
      </c>
      <c r="D12" s="3" t="s">
        <v>49</v>
      </c>
      <c r="E12" s="3" t="s">
        <v>55</v>
      </c>
      <c r="F12" s="3" t="s">
        <v>56</v>
      </c>
      <c r="G12" s="3" t="s">
        <v>57</v>
      </c>
    </row>
    <row r="13" spans="1:7" ht="29" x14ac:dyDescent="0.35">
      <c r="A13" s="3" t="s">
        <v>58</v>
      </c>
      <c r="B13" s="3" t="s">
        <v>59</v>
      </c>
      <c r="C13" s="3" t="s">
        <v>15</v>
      </c>
      <c r="D13" s="3" t="s">
        <v>16</v>
      </c>
      <c r="E13" s="3" t="s">
        <v>60</v>
      </c>
      <c r="F13" s="3" t="s">
        <v>61</v>
      </c>
      <c r="G13" s="3" t="s">
        <v>62</v>
      </c>
    </row>
    <row r="14" spans="1:7" ht="29" x14ac:dyDescent="0.35">
      <c r="A14" s="3" t="s">
        <v>63</v>
      </c>
      <c r="B14" s="3" t="s">
        <v>64</v>
      </c>
      <c r="C14" s="3" t="s">
        <v>15</v>
      </c>
      <c r="D14" s="3" t="s">
        <v>16</v>
      </c>
      <c r="E14" s="3" t="s">
        <v>65</v>
      </c>
      <c r="F14" s="3" t="s">
        <v>66</v>
      </c>
      <c r="G14" s="3" t="s">
        <v>67</v>
      </c>
    </row>
    <row r="16" spans="1:7" x14ac:dyDescent="0.35">
      <c r="A16" s="4" t="s">
        <v>68</v>
      </c>
    </row>
    <row r="17" spans="1:7" x14ac:dyDescent="0.35">
      <c r="A17" s="6" t="s">
        <v>69</v>
      </c>
      <c r="B17" s="7"/>
      <c r="C17" s="7"/>
      <c r="D17" s="7"/>
      <c r="E17" s="7"/>
      <c r="F17" s="7"/>
      <c r="G17" s="7"/>
    </row>
    <row r="18" spans="1:7" x14ac:dyDescent="0.35">
      <c r="A18" s="6" t="s">
        <v>70</v>
      </c>
      <c r="B18" s="7"/>
      <c r="C18" s="7"/>
      <c r="D18" s="7"/>
      <c r="E18" s="7"/>
      <c r="F18" s="7"/>
      <c r="G18" s="7"/>
    </row>
    <row r="19" spans="1:7" x14ac:dyDescent="0.35">
      <c r="A19" s="6" t="s">
        <v>71</v>
      </c>
      <c r="B19" s="7"/>
      <c r="C19" s="7"/>
      <c r="D19" s="7"/>
      <c r="E19" s="7"/>
      <c r="F19" s="7"/>
      <c r="G19" s="7"/>
    </row>
  </sheetData>
  <mergeCells count="3">
    <mergeCell ref="A19:G19"/>
    <mergeCell ref="A17:G17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showGridLines="0" tabSelected="1" workbookViewId="0">
      <selection activeCell="A20" sqref="A20:A23"/>
    </sheetView>
  </sheetViews>
  <sheetFormatPr defaultRowHeight="14.5" x14ac:dyDescent="0.35"/>
  <cols>
    <col min="1" max="11" width="17" customWidth="1"/>
    <col min="12" max="12" width="15.26953125" customWidth="1"/>
    <col min="13" max="13" width="15" customWidth="1"/>
    <col min="14" max="14" width="16.6328125" customWidth="1"/>
  </cols>
  <sheetData>
    <row r="1" spans="1:14" ht="21" x14ac:dyDescent="0.5">
      <c r="A1" s="1" t="s">
        <v>72</v>
      </c>
    </row>
    <row r="3" spans="1:14" ht="39" x14ac:dyDescent="0.35">
      <c r="A3" s="2" t="s">
        <v>8</v>
      </c>
      <c r="B3" s="2" t="s">
        <v>13</v>
      </c>
      <c r="C3" s="2" t="s">
        <v>20</v>
      </c>
      <c r="D3" s="2" t="s">
        <v>25</v>
      </c>
      <c r="E3" s="2" t="s">
        <v>31</v>
      </c>
      <c r="F3" s="2" t="s">
        <v>36</v>
      </c>
      <c r="G3" s="2" t="s">
        <v>42</v>
      </c>
      <c r="H3" s="2" t="s">
        <v>47</v>
      </c>
      <c r="I3" s="2" t="s">
        <v>53</v>
      </c>
      <c r="J3" s="2" t="s">
        <v>58</v>
      </c>
      <c r="K3" s="2" t="s">
        <v>63</v>
      </c>
      <c r="L3" s="10" t="s">
        <v>77</v>
      </c>
      <c r="M3" s="10" t="s">
        <v>78</v>
      </c>
      <c r="N3" s="10" t="s">
        <v>79</v>
      </c>
    </row>
    <row r="4" spans="1:14" x14ac:dyDescent="0.35">
      <c r="A4" s="5">
        <v>1</v>
      </c>
      <c r="B4" s="5">
        <v>33</v>
      </c>
      <c r="C4" s="5">
        <v>4.0999999999999996</v>
      </c>
      <c r="D4" s="5">
        <v>182</v>
      </c>
      <c r="E4" s="5">
        <v>165</v>
      </c>
      <c r="F4" s="5">
        <v>3.2</v>
      </c>
      <c r="G4" s="5">
        <v>3</v>
      </c>
      <c r="H4" s="5">
        <v>412</v>
      </c>
      <c r="I4" s="5">
        <v>431</v>
      </c>
      <c r="J4" s="5">
        <v>42</v>
      </c>
      <c r="K4" s="5">
        <v>41</v>
      </c>
      <c r="L4" s="11">
        <f t="shared" ref="L4:L18" si="0">I4-H4</f>
        <v>19</v>
      </c>
      <c r="M4" s="11">
        <f t="shared" ref="M4:M18" si="1">K4-J4</f>
        <v>-1</v>
      </c>
      <c r="N4" s="11">
        <f t="shared" ref="N4:N18" si="2">F4-G4</f>
        <v>0.20000000000000018</v>
      </c>
    </row>
    <row r="5" spans="1:14" x14ac:dyDescent="0.35">
      <c r="A5" s="5">
        <v>2</v>
      </c>
      <c r="B5" s="5">
        <v>31</v>
      </c>
      <c r="C5" s="5">
        <v>3.8</v>
      </c>
      <c r="D5" s="5">
        <v>175</v>
      </c>
      <c r="E5" s="5">
        <v>158</v>
      </c>
      <c r="F5" s="5">
        <v>3.5</v>
      </c>
      <c r="G5" s="5">
        <v>3.4</v>
      </c>
      <c r="H5" s="5">
        <v>438</v>
      </c>
      <c r="I5" s="5">
        <v>462</v>
      </c>
      <c r="J5" s="5">
        <v>38</v>
      </c>
      <c r="K5" s="5">
        <v>39</v>
      </c>
      <c r="L5" s="11">
        <f t="shared" si="0"/>
        <v>24</v>
      </c>
      <c r="M5" s="11">
        <f t="shared" si="1"/>
        <v>1</v>
      </c>
      <c r="N5" s="11">
        <f t="shared" si="2"/>
        <v>0.10000000000000009</v>
      </c>
    </row>
    <row r="6" spans="1:14" x14ac:dyDescent="0.35">
      <c r="A6" s="5">
        <v>3</v>
      </c>
      <c r="B6" s="5">
        <v>34</v>
      </c>
      <c r="C6" s="5">
        <v>4.2</v>
      </c>
      <c r="D6" s="5">
        <v>190</v>
      </c>
      <c r="E6" s="5">
        <v>170</v>
      </c>
      <c r="F6" s="5">
        <v>2.9</v>
      </c>
      <c r="G6" s="5">
        <v>2.8</v>
      </c>
      <c r="H6" s="5">
        <v>395</v>
      </c>
      <c r="I6" s="5">
        <v>410</v>
      </c>
      <c r="J6" s="5">
        <v>45</v>
      </c>
      <c r="K6" s="5">
        <v>43</v>
      </c>
      <c r="L6" s="11">
        <f t="shared" si="0"/>
        <v>15</v>
      </c>
      <c r="M6" s="11">
        <f t="shared" si="1"/>
        <v>-2</v>
      </c>
      <c r="N6" s="11">
        <f t="shared" si="2"/>
        <v>0.10000000000000009</v>
      </c>
    </row>
    <row r="7" spans="1:14" x14ac:dyDescent="0.35">
      <c r="A7" s="5">
        <v>4</v>
      </c>
      <c r="B7" s="5">
        <v>30</v>
      </c>
      <c r="C7" s="5">
        <v>3.9</v>
      </c>
      <c r="D7" s="5">
        <v>178</v>
      </c>
      <c r="E7" s="5">
        <v>162</v>
      </c>
      <c r="F7" s="5">
        <v>3.4</v>
      </c>
      <c r="G7" s="5">
        <v>3.3</v>
      </c>
      <c r="H7" s="5">
        <v>425</v>
      </c>
      <c r="I7" s="5">
        <v>447</v>
      </c>
      <c r="J7" s="5">
        <v>40</v>
      </c>
      <c r="K7" s="5">
        <v>40</v>
      </c>
      <c r="L7" s="11">
        <f t="shared" si="0"/>
        <v>22</v>
      </c>
      <c r="M7" s="11">
        <f t="shared" si="1"/>
        <v>0</v>
      </c>
      <c r="N7" s="11">
        <f t="shared" si="2"/>
        <v>0.10000000000000009</v>
      </c>
    </row>
    <row r="8" spans="1:14" x14ac:dyDescent="0.35">
      <c r="A8" s="5">
        <v>5</v>
      </c>
      <c r="B8" s="5">
        <v>35</v>
      </c>
      <c r="C8" s="5">
        <v>4.0999999999999996</v>
      </c>
      <c r="D8" s="5">
        <v>185</v>
      </c>
      <c r="E8" s="5">
        <v>168</v>
      </c>
      <c r="F8" s="5">
        <v>3.1</v>
      </c>
      <c r="G8" s="5">
        <v>3.1</v>
      </c>
      <c r="H8" s="5">
        <v>441</v>
      </c>
      <c r="I8" s="5">
        <v>466</v>
      </c>
      <c r="J8" s="5">
        <v>43</v>
      </c>
      <c r="K8" s="5">
        <v>42</v>
      </c>
      <c r="L8" s="11">
        <f t="shared" si="0"/>
        <v>25</v>
      </c>
      <c r="M8" s="11">
        <f t="shared" si="1"/>
        <v>-1</v>
      </c>
      <c r="N8" s="11">
        <f t="shared" si="2"/>
        <v>0</v>
      </c>
    </row>
    <row r="9" spans="1:14" x14ac:dyDescent="0.35">
      <c r="A9" s="5">
        <v>6</v>
      </c>
      <c r="B9" s="5">
        <v>32</v>
      </c>
      <c r="C9" s="5">
        <v>4.3</v>
      </c>
      <c r="D9" s="5">
        <v>172</v>
      </c>
      <c r="E9" s="5">
        <v>155</v>
      </c>
      <c r="F9" s="5">
        <v>3.6</v>
      </c>
      <c r="G9" s="5">
        <v>3.5</v>
      </c>
      <c r="H9" s="5">
        <v>405</v>
      </c>
      <c r="I9" s="5">
        <v>422</v>
      </c>
      <c r="J9" s="5">
        <v>39</v>
      </c>
      <c r="K9" s="5">
        <v>38</v>
      </c>
      <c r="L9" s="11">
        <f t="shared" si="0"/>
        <v>17</v>
      </c>
      <c r="M9" s="11">
        <f t="shared" si="1"/>
        <v>-1</v>
      </c>
      <c r="N9" s="11">
        <f t="shared" si="2"/>
        <v>0.10000000000000009</v>
      </c>
    </row>
    <row r="10" spans="1:14" x14ac:dyDescent="0.35">
      <c r="A10" s="5">
        <v>7</v>
      </c>
      <c r="B10" s="5">
        <v>33</v>
      </c>
      <c r="C10" s="5">
        <v>3.7</v>
      </c>
      <c r="D10" s="5">
        <v>188</v>
      </c>
      <c r="E10" s="5">
        <v>172</v>
      </c>
      <c r="F10" s="5">
        <v>3</v>
      </c>
      <c r="G10" s="5">
        <v>2.9</v>
      </c>
      <c r="H10" s="5">
        <v>430</v>
      </c>
      <c r="I10" s="5">
        <v>451</v>
      </c>
      <c r="J10" s="5">
        <v>44</v>
      </c>
      <c r="K10" s="5">
        <v>44</v>
      </c>
      <c r="L10" s="11">
        <f t="shared" si="0"/>
        <v>21</v>
      </c>
      <c r="M10" s="11">
        <f t="shared" si="1"/>
        <v>0</v>
      </c>
      <c r="N10" s="11">
        <f t="shared" si="2"/>
        <v>0.10000000000000009</v>
      </c>
    </row>
    <row r="11" spans="1:14" x14ac:dyDescent="0.35">
      <c r="A11" s="5">
        <v>8</v>
      </c>
      <c r="B11" s="5">
        <v>29</v>
      </c>
      <c r="C11" s="5">
        <v>4.0999999999999996</v>
      </c>
      <c r="D11" s="5">
        <v>180</v>
      </c>
      <c r="E11" s="5">
        <v>160</v>
      </c>
      <c r="F11" s="5">
        <v>3.3</v>
      </c>
      <c r="G11" s="5">
        <v>3.2</v>
      </c>
      <c r="H11" s="5">
        <v>418</v>
      </c>
      <c r="I11" s="5">
        <v>437</v>
      </c>
      <c r="J11" s="5">
        <v>41</v>
      </c>
      <c r="K11" s="5">
        <v>40</v>
      </c>
      <c r="L11" s="11">
        <f t="shared" si="0"/>
        <v>19</v>
      </c>
      <c r="M11" s="11">
        <f t="shared" si="1"/>
        <v>-1</v>
      </c>
      <c r="N11" s="11">
        <f t="shared" si="2"/>
        <v>9.9999999999999645E-2</v>
      </c>
    </row>
    <row r="12" spans="1:14" x14ac:dyDescent="0.35">
      <c r="A12" s="5">
        <v>9</v>
      </c>
      <c r="B12" s="5">
        <v>34</v>
      </c>
      <c r="C12" s="5">
        <v>3.9</v>
      </c>
      <c r="D12" s="5">
        <v>176</v>
      </c>
      <c r="E12" s="5">
        <v>166</v>
      </c>
      <c r="F12" s="5">
        <v>3.2</v>
      </c>
      <c r="G12" s="5">
        <v>3</v>
      </c>
      <c r="H12" s="5">
        <v>447</v>
      </c>
      <c r="I12" s="5">
        <v>472</v>
      </c>
      <c r="J12" s="5">
        <v>37</v>
      </c>
      <c r="K12" s="5">
        <v>38</v>
      </c>
      <c r="L12" s="11">
        <f t="shared" si="0"/>
        <v>25</v>
      </c>
      <c r="M12" s="11">
        <f t="shared" si="1"/>
        <v>1</v>
      </c>
      <c r="N12" s="11">
        <f t="shared" si="2"/>
        <v>0.20000000000000018</v>
      </c>
    </row>
    <row r="13" spans="1:14" x14ac:dyDescent="0.35">
      <c r="A13" s="5">
        <v>10</v>
      </c>
      <c r="B13" s="5">
        <v>31</v>
      </c>
      <c r="C13" s="5">
        <v>4.2</v>
      </c>
      <c r="D13" s="5">
        <v>192</v>
      </c>
      <c r="E13" s="5">
        <v>157</v>
      </c>
      <c r="F13" s="5">
        <v>3.5</v>
      </c>
      <c r="G13" s="5">
        <v>3.3</v>
      </c>
      <c r="H13" s="5">
        <v>410</v>
      </c>
      <c r="I13" s="5">
        <v>430</v>
      </c>
      <c r="J13" s="5">
        <v>46</v>
      </c>
      <c r="K13" s="5">
        <v>45</v>
      </c>
      <c r="L13" s="11">
        <f t="shared" si="0"/>
        <v>20</v>
      </c>
      <c r="M13" s="11">
        <f t="shared" si="1"/>
        <v>-1</v>
      </c>
      <c r="N13" s="11">
        <f t="shared" si="2"/>
        <v>0.20000000000000018</v>
      </c>
    </row>
    <row r="14" spans="1:14" x14ac:dyDescent="0.35">
      <c r="A14" s="5">
        <v>11</v>
      </c>
      <c r="B14" s="5">
        <v>32</v>
      </c>
      <c r="C14" s="5">
        <v>3.8</v>
      </c>
      <c r="D14" s="5">
        <v>184</v>
      </c>
      <c r="E14" s="5">
        <v>163</v>
      </c>
      <c r="F14" s="5">
        <v>2.8</v>
      </c>
      <c r="G14" s="5">
        <v>2.7</v>
      </c>
      <c r="H14" s="5">
        <v>398</v>
      </c>
      <c r="I14" s="5">
        <v>415</v>
      </c>
      <c r="J14" s="5">
        <v>40</v>
      </c>
      <c r="K14" s="5">
        <v>39</v>
      </c>
      <c r="L14" s="11">
        <f t="shared" si="0"/>
        <v>17</v>
      </c>
      <c r="M14" s="11">
        <f t="shared" si="1"/>
        <v>-1</v>
      </c>
      <c r="N14" s="11">
        <f t="shared" si="2"/>
        <v>9.9999999999999645E-2</v>
      </c>
    </row>
    <row r="15" spans="1:14" x14ac:dyDescent="0.35">
      <c r="A15" s="5">
        <v>12</v>
      </c>
      <c r="B15" s="5">
        <v>33</v>
      </c>
      <c r="C15" s="5">
        <v>4</v>
      </c>
      <c r="D15" s="5">
        <v>179</v>
      </c>
      <c r="E15" s="5">
        <v>169</v>
      </c>
      <c r="F15" s="5">
        <v>3.4</v>
      </c>
      <c r="G15" s="5">
        <v>3.4</v>
      </c>
      <c r="H15" s="5">
        <v>428</v>
      </c>
      <c r="I15" s="5">
        <v>452</v>
      </c>
      <c r="J15" s="5">
        <v>42</v>
      </c>
      <c r="K15" s="5">
        <v>42</v>
      </c>
      <c r="L15" s="11">
        <f t="shared" si="0"/>
        <v>24</v>
      </c>
      <c r="M15" s="11">
        <f t="shared" si="1"/>
        <v>0</v>
      </c>
      <c r="N15" s="11">
        <f t="shared" si="2"/>
        <v>0</v>
      </c>
    </row>
    <row r="16" spans="1:14" x14ac:dyDescent="0.35">
      <c r="A16" s="5">
        <v>13</v>
      </c>
      <c r="B16" s="5">
        <v>30</v>
      </c>
      <c r="C16" s="5">
        <v>4.0999999999999996</v>
      </c>
      <c r="D16" s="5">
        <v>187</v>
      </c>
      <c r="E16" s="5">
        <v>159</v>
      </c>
      <c r="F16" s="5">
        <v>3.1</v>
      </c>
      <c r="G16" s="5">
        <v>3</v>
      </c>
      <c r="H16" s="5">
        <v>415</v>
      </c>
      <c r="I16" s="5">
        <v>436</v>
      </c>
      <c r="J16" s="5">
        <v>39</v>
      </c>
      <c r="K16" s="5">
        <v>40</v>
      </c>
      <c r="L16" s="11">
        <f t="shared" si="0"/>
        <v>21</v>
      </c>
      <c r="M16" s="11">
        <f t="shared" si="1"/>
        <v>1</v>
      </c>
      <c r="N16" s="11">
        <f t="shared" si="2"/>
        <v>0.10000000000000009</v>
      </c>
    </row>
    <row r="17" spans="1:14" x14ac:dyDescent="0.35">
      <c r="A17" s="5">
        <v>14</v>
      </c>
      <c r="B17" s="5">
        <v>34</v>
      </c>
      <c r="C17" s="5">
        <v>3.9</v>
      </c>
      <c r="D17" s="5">
        <v>181</v>
      </c>
      <c r="E17" s="5">
        <v>164</v>
      </c>
      <c r="F17" s="5">
        <v>3.3</v>
      </c>
      <c r="G17" s="5">
        <v>3.2</v>
      </c>
      <c r="H17" s="5">
        <v>422</v>
      </c>
      <c r="I17" s="5">
        <v>444</v>
      </c>
      <c r="J17" s="5">
        <v>43</v>
      </c>
      <c r="K17" s="5">
        <v>42</v>
      </c>
      <c r="L17" s="11">
        <f t="shared" si="0"/>
        <v>22</v>
      </c>
      <c r="M17" s="11">
        <f t="shared" si="1"/>
        <v>-1</v>
      </c>
      <c r="N17" s="11">
        <f t="shared" si="2"/>
        <v>9.9999999999999645E-2</v>
      </c>
    </row>
    <row r="18" spans="1:14" x14ac:dyDescent="0.35">
      <c r="A18" s="5">
        <v>15</v>
      </c>
      <c r="B18" s="5">
        <v>32</v>
      </c>
      <c r="C18" s="5">
        <v>4</v>
      </c>
      <c r="D18" s="5">
        <v>183</v>
      </c>
      <c r="E18" s="5">
        <v>161</v>
      </c>
      <c r="F18" s="5">
        <v>3.2</v>
      </c>
      <c r="G18" s="5">
        <v>3.1</v>
      </c>
      <c r="H18" s="5">
        <v>433</v>
      </c>
      <c r="I18" s="5">
        <v>458</v>
      </c>
      <c r="J18" s="5">
        <v>41</v>
      </c>
      <c r="K18" s="5">
        <v>40</v>
      </c>
      <c r="L18" s="11">
        <f t="shared" si="0"/>
        <v>25</v>
      </c>
      <c r="M18" s="11">
        <f t="shared" si="1"/>
        <v>-1</v>
      </c>
      <c r="N18" s="11">
        <f t="shared" si="2"/>
        <v>0.10000000000000009</v>
      </c>
    </row>
    <row r="20" spans="1:14" x14ac:dyDescent="0.35">
      <c r="A20" s="12" t="s">
        <v>73</v>
      </c>
      <c r="B20" s="8">
        <f t="shared" ref="B20:N20" si="3">COUNT(B4:B18)</f>
        <v>15</v>
      </c>
      <c r="C20" s="8">
        <f t="shared" si="3"/>
        <v>15</v>
      </c>
      <c r="D20" s="8">
        <f t="shared" si="3"/>
        <v>15</v>
      </c>
      <c r="E20" s="8">
        <f t="shared" si="3"/>
        <v>15</v>
      </c>
      <c r="F20" s="8">
        <f t="shared" si="3"/>
        <v>15</v>
      </c>
      <c r="G20" s="8">
        <f t="shared" si="3"/>
        <v>15</v>
      </c>
      <c r="H20" s="8">
        <f t="shared" si="3"/>
        <v>15</v>
      </c>
      <c r="I20" s="8">
        <f t="shared" si="3"/>
        <v>15</v>
      </c>
      <c r="J20" s="8">
        <f t="shared" si="3"/>
        <v>15</v>
      </c>
      <c r="K20" s="8">
        <f t="shared" si="3"/>
        <v>15</v>
      </c>
      <c r="L20" s="8">
        <f t="shared" si="3"/>
        <v>15</v>
      </c>
      <c r="M20" s="8">
        <f t="shared" si="3"/>
        <v>15</v>
      </c>
      <c r="N20" s="8">
        <f t="shared" si="3"/>
        <v>15</v>
      </c>
    </row>
    <row r="21" spans="1:14" x14ac:dyDescent="0.35">
      <c r="A21" s="12" t="s">
        <v>74</v>
      </c>
      <c r="B21" s="9">
        <f t="shared" ref="B21:N21" si="4">AVERAGE(B4:B18)</f>
        <v>32.200000000000003</v>
      </c>
      <c r="C21" s="9">
        <f t="shared" si="4"/>
        <v>4.0066666666666668</v>
      </c>
      <c r="D21" s="9">
        <f t="shared" si="4"/>
        <v>182.13333333333333</v>
      </c>
      <c r="E21" s="9">
        <f t="shared" si="4"/>
        <v>163.26666666666668</v>
      </c>
      <c r="F21" s="9">
        <f t="shared" si="4"/>
        <v>3.2333333333333334</v>
      </c>
      <c r="G21" s="9">
        <f t="shared" si="4"/>
        <v>3.1266666666666669</v>
      </c>
      <c r="H21" s="9">
        <f t="shared" si="4"/>
        <v>421.13333333333333</v>
      </c>
      <c r="I21" s="9">
        <f t="shared" si="4"/>
        <v>442.2</v>
      </c>
      <c r="J21" s="9">
        <f t="shared" si="4"/>
        <v>41.333333333333336</v>
      </c>
      <c r="K21" s="9">
        <f t="shared" si="4"/>
        <v>40.866666666666667</v>
      </c>
      <c r="L21" s="9">
        <f t="shared" si="4"/>
        <v>21.066666666666666</v>
      </c>
      <c r="M21" s="9">
        <f t="shared" si="4"/>
        <v>-0.46666666666666667</v>
      </c>
      <c r="N21" s="9">
        <f t="shared" si="4"/>
        <v>0.10666666666666667</v>
      </c>
    </row>
    <row r="22" spans="1:14" x14ac:dyDescent="0.35">
      <c r="A22" s="12" t="s">
        <v>75</v>
      </c>
      <c r="B22" s="9">
        <f t="shared" ref="B22:N22" si="5">STDEV(B4:B18)</f>
        <v>1.7402791237532638</v>
      </c>
      <c r="C22" s="9">
        <f t="shared" si="5"/>
        <v>0.17099150633319546</v>
      </c>
      <c r="D22" s="9">
        <f t="shared" si="5"/>
        <v>5.6929363082265212</v>
      </c>
      <c r="E22" s="9">
        <f t="shared" si="5"/>
        <v>5.0634074730457197</v>
      </c>
      <c r="F22" s="9">
        <f t="shared" si="5"/>
        <v>0.22886885410853172</v>
      </c>
      <c r="G22" s="9">
        <f t="shared" si="5"/>
        <v>0.23135213317324205</v>
      </c>
      <c r="H22" s="9">
        <f t="shared" si="5"/>
        <v>15.500537625084709</v>
      </c>
      <c r="I22" s="9">
        <f t="shared" si="5"/>
        <v>18.555707631731153</v>
      </c>
      <c r="J22" s="9">
        <f t="shared" si="5"/>
        <v>2.5819888974716112</v>
      </c>
      <c r="K22" s="9">
        <f t="shared" si="5"/>
        <v>2.0998866182543785</v>
      </c>
      <c r="L22" s="9">
        <f t="shared" si="5"/>
        <v>3.2175116087406672</v>
      </c>
      <c r="M22" s="9">
        <f t="shared" si="5"/>
        <v>0.91547541643412689</v>
      </c>
      <c r="N22" s="9">
        <f t="shared" si="5"/>
        <v>5.9361683970466407E-2</v>
      </c>
    </row>
    <row r="23" spans="1:14" x14ac:dyDescent="0.35">
      <c r="A23" s="13" t="s">
        <v>76</v>
      </c>
      <c r="B23" s="9">
        <f t="shared" ref="B23:N23" si="6">B22/SQRT(B20)</f>
        <v>0.44933813760325508</v>
      </c>
      <c r="C23" s="9">
        <f t="shared" si="6"/>
        <v>4.4149817091425736E-2</v>
      </c>
      <c r="D23" s="9">
        <f t="shared" si="6"/>
        <v>1.46990983418539</v>
      </c>
      <c r="E23" s="9">
        <f t="shared" si="6"/>
        <v>1.3073661878778835</v>
      </c>
      <c r="F23" s="9">
        <f t="shared" si="6"/>
        <v>5.9093684028527882E-2</v>
      </c>
      <c r="G23" s="9">
        <f t="shared" si="6"/>
        <v>5.9734863925968461E-2</v>
      </c>
      <c r="H23" s="9">
        <f t="shared" si="6"/>
        <v>4.0022216052809689</v>
      </c>
      <c r="I23" s="9">
        <f t="shared" si="6"/>
        <v>4.7910631089859077</v>
      </c>
      <c r="J23" s="9">
        <f t="shared" si="6"/>
        <v>0.66666666666666663</v>
      </c>
      <c r="K23" s="9">
        <f t="shared" si="6"/>
        <v>0.54218839342820124</v>
      </c>
      <c r="L23" s="9">
        <f t="shared" si="6"/>
        <v>0.83075792512544255</v>
      </c>
      <c r="M23" s="9">
        <f t="shared" si="6"/>
        <v>0.23637473611411153</v>
      </c>
      <c r="N23" s="9">
        <f t="shared" si="6"/>
        <v>1.5327120894696277E-2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2026-07-16T07:14:22Z</dcterms:created>
  <dcterms:modified xsi:type="dcterms:W3CDTF">2026-07-22T06:22:45Z</dcterms:modified>
</cp:coreProperties>
</file>