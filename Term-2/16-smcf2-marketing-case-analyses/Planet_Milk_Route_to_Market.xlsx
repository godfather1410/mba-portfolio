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parison" sheetId="1" state="visible" r:id="rId3"/>
    <sheet name="Assumptions &amp; Sources" sheetId="2" state="visible" r:id="rId4"/>
    <sheet name="Flags &amp; Issues" sheetId="3" state="visible" r:id="rId5"/>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B21" authorId="0">
      <text>
        <r>
          <rPr>
            <sz val="10"/>
            <rFont val="Arial"/>
            <family val="2"/>
          </rPr>
          <t xml:space="preserve">Ex.3, FY2021/22 (production, distribution, sales promotion).</t>
        </r>
      </text>
    </comment>
    <comment ref="B23" authorId="0">
      <text>
        <r>
          <rPr>
            <sz val="10"/>
            <rFont val="Arial"/>
            <family val="2"/>
          </rPr>
          <t xml:space="preserve">Ex.3, FY2021/22.</t>
        </r>
      </text>
    </comment>
    <comment ref="B24" authorId="0">
      <text>
        <r>
          <rPr>
            <sz val="10"/>
            <rFont val="Arial"/>
            <family val="2"/>
          </rPr>
          <t xml:space="preserve">10% annual interest rate per case (p.2).</t>
        </r>
      </text>
    </comment>
    <comment ref="B28" authorId="0">
      <text>
        <r>
          <rPr>
            <sz val="10"/>
            <rFont val="Arial"/>
            <family val="2"/>
          </rPr>
          <t xml:space="preserve">Ex.3. Equals 20% of the original ₹4.6m cow-purchase loan, per the bank's requirement that 20% of principal be repaid yearly given cows' 5-year milk-giving life (p.2).</t>
        </r>
      </text>
    </comment>
    <comment ref="C10" authorId="0">
      <text>
        <r>
          <rPr>
            <sz val="10"/>
            <rFont val="Arial"/>
            <family val="2"/>
          </rPr>
          <t xml:space="preserve">Tetra Pak plant capacity as stated in case (p.5): daily Tetra Pak packaging capacity of one thousand litres of milk.</t>
        </r>
      </text>
    </comment>
    <comment ref="C14" authorId="0">
      <text>
        <r>
          <rPr>
            <sz val="10"/>
            <rFont val="Arial"/>
            <family val="2"/>
          </rPr>
          <t xml:space="preserve">Case (p.4): Tetra Pak consumer price is ₹105/litre, but Planet Milk's own gross realization is ₹80/litre after logistics costs, employee costs, intermediary commission and bad-debt allowance for credit sales to retailers.</t>
        </r>
      </text>
    </comment>
    <comment ref="C20" authorId="0">
      <text>
        <r>
          <rPr>
            <sz val="10"/>
            <rFont val="Arial"/>
            <family val="2"/>
          </rPr>
          <t xml:space="preserve">₹8.0m automated milking/pasteurization/packaging plant + ₹5.5m for 90 additional cows (p.4-5) = ₹13.5m.</t>
        </r>
      </text>
    </comment>
    <comment ref="C21" authorId="0">
      <text>
        <r>
          <rPr>
            <sz val="10"/>
            <rFont val="Arial"/>
            <family val="2"/>
          </rPr>
          <t xml:space="preserve">Ex.4 projection — ₹100,000/month × 12 (p.4-5).</t>
        </r>
      </text>
    </comment>
    <comment ref="C23" authorId="0">
      <text>
        <r>
          <rPr>
            <sz val="10"/>
            <rFont val="Arial"/>
            <family val="2"/>
          </rPr>
          <t xml:space="preserve">Ex.4 projection.</t>
        </r>
      </text>
    </comment>
    <comment ref="C28" authorId="0">
      <text>
        <r>
          <rPr>
            <sz val="10"/>
            <rFont val="Arial"/>
            <family val="2"/>
          </rPr>
          <t xml:space="preserve">Ex.4 projection (does not reconcile exactly to 20% of the stated ₹14.236m loan balance — see Flag 9, an inherited case inconsistency).</t>
        </r>
      </text>
    </comment>
    <comment ref="C29" authorId="0">
      <text>
        <r>
          <rPr>
            <sz val="10"/>
            <rFont val="Arial"/>
            <family val="2"/>
          </rPr>
          <t xml:space="preserve">Case (p.5): ≥₹1m contingency for bad debt / bank overdraft charges from retail credit sales.</t>
        </r>
      </text>
    </comment>
    <comment ref="D6" authorId="0">
      <text>
        <r>
          <rPr>
            <sz val="10"/>
            <rFont val="Arial"/>
            <family val="2"/>
          </rPr>
          <t xml:space="preserve">Case gives no cow purchase for the app-based option; assumed herd unchanged from baseline (Ex.3).</t>
        </r>
      </text>
    </comment>
    <comment ref="D9" authorId="0">
      <text>
        <r>
          <rPr>
            <sz val="10"/>
            <rFont val="Arial"/>
            <family val="2"/>
          </rPr>
          <t xml:space="preserve">No explicit sales-volume projection is given by the case for the app-only scenario. Held at the FY2021/22 baseline (270 l/day) — a conservative assumption. See Flag 2.</t>
        </r>
      </text>
    </comment>
    <comment ref="D14" authorId="0">
      <text>
        <r>
          <rPr>
            <sz val="10"/>
            <rFont val="Arial"/>
            <family val="2"/>
          </rPr>
          <t xml:space="preserve">No channel change assumed (still glass bottle, D2C) — held at the ₹90 baseline retail price (Ex.3, FY2021/22).</t>
        </r>
      </text>
    </comment>
    <comment ref="D20" authorId="0">
      <text>
        <r>
          <rPr>
            <sz val="10"/>
            <rFont val="Arial"/>
            <family val="2"/>
          </rPr>
          <t xml:space="preserve">₹0.5m one-time software development cost (p.5).</t>
        </r>
      </text>
    </comment>
    <comment ref="D21" authorId="0">
      <text>
        <r>
          <rPr>
            <sz val="10"/>
            <rFont val="Arial"/>
            <family val="2"/>
          </rPr>
          <t xml:space="preserve">Baseline opex + ₹300,000/yr software maintenance (p.5) − ₹300,000/yr staffing savings from reducing sales/distribution staff 10→6 (p.5). Net effect happens to be nil — flagged as a genuine case result, not an error. See Flag 3.</t>
        </r>
      </text>
    </comment>
    <comment ref="D23" authorId="0">
      <text>
        <r>
          <rPr>
            <sz val="10"/>
            <rFont val="Arial"/>
            <family val="2"/>
          </rPr>
          <t xml:space="preserve">Assumes the ₹0.5m software cost is bank-financed like all other capital per case policy (p.2: "Bank loans were raised for Planet Milk's capital"). Case does not confirm this for software specifically.</t>
        </r>
      </text>
    </comment>
    <comment ref="D28" authorId="0">
      <text>
        <r>
          <rPr>
            <sz val="10"/>
            <rFont val="Arial"/>
            <family val="2"/>
          </rPr>
          <t xml:space="preserve">Baseline repayment + an assumed 20% annual repayment on the new ₹0.5m software loan. The 20% rule was explicitly justified by cows' 5-year productive life, so applying it to a software loan is an assumption. See Flag 3.</t>
        </r>
      </text>
    </comment>
    <comment ref="E6" authorId="0">
      <text>
        <r>
          <rPr>
            <sz val="10"/>
            <rFont val="Arial"/>
            <family val="2"/>
          </rPr>
          <t xml:space="preserve">Case provides no herd-size/capex data for the wholesale-only option (see Flags sheet, Flag 5).</t>
        </r>
      </text>
    </comment>
    <comment ref="E9" authorId="0">
      <text>
        <r>
          <rPr>
            <sz val="10"/>
            <rFont val="Arial"/>
            <family val="2"/>
          </rPr>
          <t xml:space="preserve">350 l/day from corporate/educational canteens + 350 l/day from retail milk-booth tie-ups, both individually projected by the case for FY2022/23 (p.6). See Flag 6 on packaging feasibility.</t>
        </r>
      </text>
    </comment>
    <comment ref="E14" authorId="0">
      <text>
        <r>
          <rPr>
            <sz val="10"/>
            <rFont val="Arial"/>
            <family val="2"/>
          </rPr>
          <t xml:space="preserve">NOT STATED by case for the institutional channel. ₹90 baseline D2C price used purely for illustration — confirm with case owner/instructor. See Flag 4.</t>
        </r>
      </text>
    </comment>
    <comment ref="E20" authorId="0">
      <text>
        <r>
          <rPr>
            <sz val="10"/>
            <rFont val="Arial"/>
            <family val="2"/>
          </rPr>
          <t xml:space="preserve">Case gives no capex figure to scale herd/production from ~270 to 700 l/day for the wholesale-only option. See Flag 5.</t>
        </r>
      </text>
    </comment>
    <comment ref="E21" authorId="0">
      <text>
        <r>
          <rPr>
            <sz val="10"/>
            <rFont val="Arial"/>
            <family val="2"/>
          </rPr>
          <t xml:space="preserve">Case does not state an incremental operating cost for scaling wholesale volume. See Flag 5.</t>
        </r>
      </text>
    </comment>
    <comment ref="E22" authorId="0">
      <text>
        <r>
          <rPr>
            <sz val="10"/>
            <rFont val="Arial"/>
            <family val="2"/>
          </rPr>
          <t xml:space="preserve">Land/cowshed rent is a fixed cost per case (p.2) — unchanged regardless of route to market.</t>
        </r>
      </text>
    </comment>
    <comment ref="E33" authorId="0">
      <text>
        <r>
          <rPr>
            <sz val="10"/>
            <rFont val="Arial"/>
            <family val="2"/>
          </rPr>
          <t xml:space="preserve">Case p.5-6: 7% of sales volume as shelf-space commission + typically 5% additional for consumer promotion.</t>
        </r>
      </text>
    </comment>
    <comment ref="E34" authorId="0">
      <text>
        <r>
          <rPr>
            <sz val="10"/>
            <rFont val="Arial"/>
            <family val="2"/>
          </rPr>
          <t xml:space="preserve">Case p.6: 10% margin was judged acceptable to milk-booth retailers, with 7 days' credit.</t>
        </r>
      </text>
    </comment>
    <comment ref="E35" authorId="0">
      <text>
        <r>
          <rPr>
            <sz val="10"/>
            <rFont val="Arial"/>
            <family val="2"/>
          </rPr>
          <t xml:space="preserve">Illustrative only — depends entirely on the unconfirmed ₹90/litre price assumption (Flag 4) and excludes any production capex/opex (Flag 5).</t>
        </r>
      </text>
    </comment>
    <comment ref="E36" authorId="0">
      <text>
        <r>
          <rPr>
            <sz val="10"/>
            <rFont val="Arial"/>
            <family val="2"/>
          </rPr>
          <t xml:space="preserve">Case p.6: contingency fund of 1% of annual sales suggested as adequate provision for bad debts.</t>
        </r>
      </text>
    </comment>
    <comment ref="F21" authorId="0">
      <text>
        <r>
          <rPr>
            <sz val="10"/>
            <rFont val="Arial"/>
            <family val="2"/>
          </rPr>
          <t xml:space="preserve">Same net-nil logic applied on top of the Tetra Pak opex figure — assumes the two effects are additive and don't double-count. See Flag 8.</t>
        </r>
      </text>
    </comment>
    <comment ref="G9" authorId="0">
      <text>
        <r>
          <rPr>
            <sz val="10"/>
            <rFont val="Arial"/>
            <family val="2"/>
          </rPr>
          <t xml:space="preserve">Tetra Pak channel (936) + wholesale channel (700) = 1,636 l/day demand — EXCEEDS the 1,000 l/day plant capacity stated in the case. See Flag 7 (critical).</t>
        </r>
      </text>
    </comment>
    <comment ref="G10" authorId="0">
      <text>
        <r>
          <rPr>
            <sz val="10"/>
            <rFont val="Arial"/>
            <family val="2"/>
          </rPr>
          <t xml:space="preserve">Same physical plant constraint applies — Option 5 demand of 1,636 l/day cannot be met by the 1,000 l/day plant without further (uncosted) investment.</t>
        </r>
      </text>
    </comment>
    <comment ref="G11" authorId="0">
      <text>
        <r>
          <rPr>
            <sz val="10"/>
            <rFont val="Arial"/>
            <family val="2"/>
          </rPr>
          <t xml:space="preserve">Positive = demand exceeds capacity. This is the key infeasibility flag for Option 5 — see Flags sheet.</t>
        </r>
      </text>
    </comment>
    <comment ref="G20" authorId="0">
      <text>
        <r>
          <rPr>
            <sz val="10"/>
            <rFont val="Arial"/>
            <family val="2"/>
          </rPr>
          <t xml:space="preserve">Beyond the ₹13.5m Tetra Pak investment, meeting wholesale's incremental demand would require further (uncosted) plant/herd expansion — case does not size this.</t>
        </r>
      </text>
    </comment>
  </commentList>
</comments>
</file>

<file path=xl/sharedStrings.xml><?xml version="1.0" encoding="utf-8"?>
<sst xmlns="http://schemas.openxmlformats.org/spreadsheetml/2006/main" count="148" uniqueCount="120">
  <si>
    <t xml:space="preserve">PLANET MILK — ROUTE TO MARKET: 5-OPTION FINANCIAL COMPARISON</t>
  </si>
  <si>
    <t xml:space="preserve">Projections for FY 2022/23 unless noted. Blue = hard case data | Black = formula | Orange italics = assumption (case silent) | Grey = not computable from case</t>
  </si>
  <si>
    <t xml:space="preserve">Line Item</t>
  </si>
  <si>
    <t xml:space="preserve">Baseline
(FY 2021/22, actual)</t>
  </si>
  <si>
    <t xml:space="preserve">Option 1:
Tetra Pak Only</t>
  </si>
  <si>
    <t xml:space="preserve">Option 2:
App-Based Ordering Only</t>
  </si>
  <si>
    <t xml:space="preserve">Option 3:
Wholesale / Institutional Only</t>
  </si>
  <si>
    <t xml:space="preserve">Option 4:
Tetra Pak + App-Based</t>
  </si>
  <si>
    <t xml:space="preserve">Option 5:
Tetra Pak + Wholesale</t>
  </si>
  <si>
    <t xml:space="preserve">PRODUCTION</t>
  </si>
  <si>
    <t xml:space="preserve">Number of cows</t>
  </si>
  <si>
    <t xml:space="preserve">n/a — not specified in case</t>
  </si>
  <si>
    <t xml:space="preserve">n/a — see Flag 7</t>
  </si>
  <si>
    <t xml:space="preserve">Number of cows producing milk</t>
  </si>
  <si>
    <t xml:space="preserve">n/a</t>
  </si>
  <si>
    <t xml:space="preserve">Milk production per cow per day (litres)</t>
  </si>
  <si>
    <t xml:space="preserve">Total milk sold per day (litres)</t>
  </si>
  <si>
    <t xml:space="preserve">Plant / channel capacity ceiling (litres/day)</t>
  </si>
  <si>
    <t xml:space="preserve">Capacity shortfall / (headroom), litres/day</t>
  </si>
  <si>
    <t xml:space="preserve">REVENUE</t>
  </si>
  <si>
    <t xml:space="preserve">Selling price / net realization per litre (₹)</t>
  </si>
  <si>
    <t xml:space="preserve">Total daily sales (₹)</t>
  </si>
  <si>
    <t xml:space="preserve">Total monthly sales (₹)</t>
  </si>
  <si>
    <t xml:space="preserve">Annual sales (₹)</t>
  </si>
  <si>
    <t xml:space="preserve">CAPITAL INVESTMENT &amp; FINANCING</t>
  </si>
  <si>
    <t xml:space="preserve">Additional capital investment (₹)</t>
  </si>
  <si>
    <t xml:space="preserve">Annual operating costs (₹)</t>
  </si>
  <si>
    <t xml:space="preserve">Rent for land (₹)</t>
  </si>
  <si>
    <t xml:space="preserve">Total bank loans outstanding (₹)</t>
  </si>
  <si>
    <t xml:space="preserve">Bank interest @10% p.a. (₹)</t>
  </si>
  <si>
    <t xml:space="preserve">PROFITABILITY  (methodology mirrors case Exhibits 3 &amp; 4 exactly — see Flag 1)</t>
  </si>
  <si>
    <t xml:space="preserve">Gross income (₹)  = Annual sales − Op. costs − Rent</t>
  </si>
  <si>
    <t xml:space="preserve">n/a — insufficient data (see Flag 5)</t>
  </si>
  <si>
    <t xml:space="preserve">Capital repayments (₹)</t>
  </si>
  <si>
    <t xml:space="preserve">Contingency expenses (₹)</t>
  </si>
  <si>
    <t xml:space="preserve">NET INCOME (₹)  = Gross income − Cap. repayments − Contingency</t>
  </si>
  <si>
    <t xml:space="preserve">n/a — insufficient data</t>
  </si>
  <si>
    <t xml:space="preserve">OPTION 3 SUPPLEMENTARY — Channel Economics (informational only; full P&amp;L not computable, see Flag 5)</t>
  </si>
  <si>
    <t xml:space="preserve">Canteen channel: volume (l/day) / commission rate</t>
  </si>
  <si>
    <t xml:space="preserve">350 l/day @ 12% (7% shelf-space + 5% promotion)</t>
  </si>
  <si>
    <t xml:space="preserve">Milk-booth channel: volume (l/day) / margin rate</t>
  </si>
  <si>
    <t xml:space="preserve">350 l/day @ 10% margin to retailer</t>
  </si>
  <si>
    <t xml:space="preserve">Illustrative net daily realization after channel cost (₹/day, @₹90 assumed price)</t>
  </si>
  <si>
    <t xml:space="preserve">Bad-debt contingency (1% of annual sales, if pursued)</t>
  </si>
  <si>
    <t xml:space="preserve">ASSUMPTIONS &amp; DATA SOURCES — LINE-BY-LINE</t>
  </si>
  <si>
    <t xml:space="preserve">#</t>
  </si>
  <si>
    <t xml:space="preserve">Line item / option</t>
  </si>
  <si>
    <t xml:space="preserve">Source or assumption (with case page reference)</t>
  </si>
  <si>
    <t xml:space="preserve">Case page</t>
  </si>
  <si>
    <t xml:space="preserve">Baseline: cows, production, price, sales, opex, rent, loan, interest, capital repayment, net income</t>
  </si>
  <si>
    <t xml:space="preserve">Taken verbatim from Exhibit 3, FY 2021/22 (projected) column.</t>
  </si>
  <si>
    <t xml:space="preserve">p.8 (Ex.3)</t>
  </si>
  <si>
    <t xml:space="preserve">Option 1 – Tetra Pak: cows, production, price(₹80 realization / ₹105 consumer), sales, opex, rent, loan, interest, capital repayment, contingency, net income</t>
  </si>
  <si>
    <t xml:space="preserve">Taken verbatim from Exhibit 4.</t>
  </si>
  <si>
    <t xml:space="preserve">p.8 (Ex.4)</t>
  </si>
  <si>
    <t xml:space="preserve">Option 1 – Tetra Pak: ₹13.5m capex breakdown</t>
  </si>
  <si>
    <t xml:space="preserve">₹8.0m for automated milking machines, pasteurization plant &amp; packaging machines (1,000 l/day capacity) + ₹5.5m for 90 additional cows with calves (450 l/day extra).</t>
  </si>
  <si>
    <t xml:space="preserve">p.4-5</t>
  </si>
  <si>
    <t xml:space="preserve">Option 1 – plant capacity ceiling of 1,000 litres/day</t>
  </si>
  <si>
    <t xml:space="preserve">Explicitly stated capacity of the Tetra Pak packaging plant.</t>
  </si>
  <si>
    <t xml:space="preserve">p.5</t>
  </si>
  <si>
    <t xml:space="preserve">Option 2 – App: ₹0.5m one-time software development cost</t>
  </si>
  <si>
    <t xml:space="preserve">Market research team's estimate for building the app.</t>
  </si>
  <si>
    <t xml:space="preserve">Option 2 – App: ₹0.3m/yr software operating &amp; maintenance cost</t>
  </si>
  <si>
    <t xml:space="preserve">Estimated annual expense to run and maintain the software.</t>
  </si>
  <si>
    <t xml:space="preserve">Option 2 – App: ₹0.3m/yr staffing savings</t>
  </si>
  <si>
    <t xml:space="preserve">Reduces sales/distribution staffing from 10 to 6 people.</t>
  </si>
  <si>
    <t xml:space="preserve">Option 2 – App: sales volume held at baseline (270 l/day)</t>
  </si>
  <si>
    <t xml:space="preserve">ASSUMPTION — the case describes the app as a demand-visibility / delivery-optimization tool but gives no explicit sales-volume uplift. Held flat pending clarification.</t>
  </si>
  <si>
    <t xml:space="preserve">n/a — Flag 2</t>
  </si>
  <si>
    <t xml:space="preserve">Option 2 – App: financing via bank loan at same 10%/20% terms</t>
  </si>
  <si>
    <t xml:space="preserve">ASSUMPTION — extends the general financing policy described for cow/plant capex to the software spend; the case does not confirm software is loan-funded.</t>
  </si>
  <si>
    <t xml:space="preserve">n/a — Flag 3</t>
  </si>
  <si>
    <t xml:space="preserve">Option 3 – Wholesale: 350 l/day canteens + 350 l/day milk booths = 700 l/day</t>
  </si>
  <si>
    <t xml:space="preserve">Case states each institutional route "could individually generate an average 350 litres of daily sales in FY 2022/23," growing 15-20%/yr thereafter.</t>
  </si>
  <si>
    <t xml:space="preserve">p.6</t>
  </si>
  <si>
    <t xml:space="preserve">Option 3 – Canteen commission 7% (shelf space) + 5% (promotion) = 12%</t>
  </si>
  <si>
    <t xml:space="preserve">Stated commission structure charged by canteen-operating catering companies.</t>
  </si>
  <si>
    <t xml:space="preserve">Option 3 – Milk-booth margin 10%, 7-day credit, 7-day deal-signing time</t>
  </si>
  <si>
    <t xml:space="preserve">Stated terms for the 160 milk booths within 10km of the distribution centre.</t>
  </si>
  <si>
    <t xml:space="preserve">Option 3 – Bad-debt contingency 1% of annual sales</t>
  </si>
  <si>
    <t xml:space="preserve">Suggested adequate provision for institutional-sales bad debts.</t>
  </si>
  <si>
    <t xml:space="preserve">Option 3 – Credit period ~1 month (average, both institutional routes)</t>
  </si>
  <si>
    <t xml:space="preserve">Stated average credit period for institutional buyers.</t>
  </si>
  <si>
    <t xml:space="preserve">Option 3 – selling price ₹90/litre</t>
  </si>
  <si>
    <t xml:space="preserve">ASSUMPTION — the case states no selling price for A2 milk through the institutional channel; the ₹90 baseline D2C price is used purely for illustration.</t>
  </si>
  <si>
    <t xml:space="preserve">n/a — Flag 4</t>
  </si>
  <si>
    <t xml:space="preserve">Option 3 – herd size / capex / opex to reach 700 l/day</t>
  </si>
  <si>
    <t xml:space="preserve">NOT PROVIDED by case for this option (unlike Options 1 &amp; 2, which have explicit capex/opex figures). Left as N/A — see Flags sheet.</t>
  </si>
  <si>
    <t xml:space="preserve">n/a — Flag 5</t>
  </si>
  <si>
    <t xml:space="preserve">Options 4 &amp; 5 – combination logic</t>
  </si>
  <si>
    <t xml:space="preserve">Combinations are built by summing the individual options' case-stated cost/revenue drivers. The case does not itself model these combinations, so all combination math is this analysis's construction, clearly built on top of case-sourced single-option inputs.</t>
  </si>
  <si>
    <t xml:space="preserve">constructed</t>
  </si>
  <si>
    <t xml:space="preserve">FLAGS &amp; ISSUES TO CLARIFY</t>
  </si>
  <si>
    <t xml:space="preserve">Please review — items marked CRITICAL affect whether an option is even feasible as modeled.</t>
  </si>
  <si>
    <t xml:space="preserve">Severity</t>
  </si>
  <si>
    <t xml:space="preserve">Issue</t>
  </si>
  <si>
    <t xml:space="preserve">Detail / recommended action</t>
  </si>
  <si>
    <t xml:space="preserve">CRITICAL</t>
  </si>
  <si>
    <t xml:space="preserve">Option 5 capacity conflict</t>
  </si>
  <si>
    <t xml:space="preserve">Tetra Pak plant capacity is capped at 1,000 l/day (case p.5). Tetra Pak-only already uses 936 l/day (94% of capacity). Adding Option 3's wholesale demand (700 l/day) brings total demand to 1,636 l/day — 64% over capacity. As written, Option 5 cannot be executed without further plant/herd investment that the case does not cost out. Recommend either (a) treating Option 5 as capacity-capped at 1,000 l/day and deciding how to split it between retail and institutional buyers, or (b) explicitly asking the case owner for the cost of expanding plant capacity beyond 1,000 l/day.</t>
  </si>
  <si>
    <t xml:space="preserve">HIGH</t>
  </si>
  <si>
    <t xml:space="preserve">Option 2 (App) sales volume unstated</t>
  </si>
  <si>
    <t xml:space="preserve">The case never gives a projected sales volume for the app-based option — only its cost impact (₹0.5m capex, ₹0.3m/yr opex, ₹0.3m/yr staffing savings). This analysis conservatively holds volume at the FY2021/22 baseline (270 l/day), which shows a small NET LOSS worsening from -₹72,000 to roughly -₹172,000 once the software loan repayment is added, purely because no sales benefit is being credited. If the case intends the app to unlock higher sales through better demand visibility (as implied qualitatively on p.5), that benefit needs to be sized before this option can be judged fairly. Please confirm the intended assumption.</t>
  </si>
  <si>
    <t xml:space="preserve">Option 3 (Wholesale) missing capex/opex</t>
  </si>
  <si>
    <t xml:space="preserve">Unlike Tetra Pak and App, the case gives no herd size, capital investment, or incremental operating cost for scaling production from ~270 l/day to the 700 l/day wholesale target. A full Net Income line cannot be built for Option 3 without this. Recommend either sourcing this from case teaching notes, or building a bridging estimate (e.g., using Tetra Pak's implied cost of ~₹61,111 per cow-with-calf, ₹5.5m ÷ 90 cows) if you want a working number — flag this explicitly as an estimate, not case data.</t>
  </si>
  <si>
    <t xml:space="preserve">Option 3 selling price unstated</t>
  </si>
  <si>
    <t xml:space="preserve">No consumer or wholesale price is given for A2 milk sold through canteens or milk booths. This model illustratively uses the ₹90 baseline D2C price, but institutional buyers may negotiate a different rate, and the case only gives the price of a COMPETITOR pasteurized (non-A2) milk pouch (₹45/litre) sold through booths — not what Planet Milk's own A2 milk would fetch there. Please confirm the intended price.</t>
  </si>
  <si>
    <t xml:space="preserve">MEDIUM</t>
  </si>
  <si>
    <t xml:space="preserve">Wholesale distribution may require Tetra Pak packaging</t>
  </si>
  <si>
    <t xml:space="preserve">Institutional buyers (canteens, milk booths) imply days of shelf presence and 1-month average credit periods, which sit awkwardly with the 1-2 day shelf life of Planet Milk's current glass-bottle packaging. Practically, Option 3 (wholesale) may not be a truly independent alternative to Tetra Pak — it may depend on it. Worth discussing whether 'Wholesale-only' (glass bottles) is a realistic scenario at all.</t>
  </si>
  <si>
    <t xml:space="preserve">Combination options (4 &amp; 5) are this analysis's construction</t>
  </si>
  <si>
    <t xml:space="preserve">The case presents the three levers (Tetra Pak, App, Institutional) as options Mohanty is weighing, but never explicitly models combining them. Costs/revenues for Options 4 and 5 are built by summing the case-stated single-option drivers; the case does not confirm this additive logic holds (e.g., whether Tetra Pak's existing operating-cost estimate already assumes reduced staffing, which would make stacking the app's staff savings on top a double-count).</t>
  </si>
  <si>
    <t xml:space="preserve">LOW</t>
  </si>
  <si>
    <t xml:space="preserve">Original Exhibit 3 &amp; 4 net income formula excludes bank interest</t>
  </si>
  <si>
    <t xml:space="preserve">Reverse-engineering the case's own exhibits shows Net Income = Gross Income − Capital Repayments − Contingency, with Bank Interest shown as a separate memo line but NOT subtracted (verified: this formula reproduces every value in Exhibit 3 and Exhibit 4 exactly). This is unusual — normally interest would reduce net income — but this model replicates the case's own methodology for consistency rather than silently 'fixing' it. Worth deciding whether to override this in your own analysis.</t>
  </si>
  <si>
    <t xml:space="preserve">Option 2 loan repayment rate assumption</t>
  </si>
  <si>
    <t xml:space="preserve">The case ties the 20%-of-principal annual repayment rule specifically to cows' 5-year productive life (p.2). Applying the same 20% rate to a software loan (Option 2/4) is an assumption of convenience, not something the case states. A software loan might realistically have a different amortization schedule.</t>
  </si>
  <si>
    <t xml:space="preserve">Exhibit 4's stated capital repayment (₹3,620,000) doesn't reconcile to 20% of its stated loan balance</t>
  </si>
  <si>
    <t xml:space="preserve">20% of the Exhibit 4 loan balance (₹14,236,000) would be ₹2,847,200, not the ₹3,620,000 the case states. This is a discrepancy inherited from the case's own Exhibit 4, not introduced by this analysis — flagging for awareness in case it affects your write-up.</t>
  </si>
</sst>
</file>

<file path=xl/styles.xml><?xml version="1.0" encoding="utf-8"?>
<styleSheet xmlns="http://schemas.openxmlformats.org/spreadsheetml/2006/main">
  <numFmts count="4">
    <numFmt numFmtId="164" formatCode="General"/>
    <numFmt numFmtId="165" formatCode="#,##0"/>
    <numFmt numFmtId="166" formatCode="\+#,##0;\(#,##0\);\-"/>
    <numFmt numFmtId="167" formatCode="\₹#,##0;&quot;(₹&quot;#,##0\)"/>
  </numFmts>
  <fonts count="14">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10"/>
      <color rgb="FF595959"/>
      <name val="Arial"/>
      <family val="0"/>
      <charset val="1"/>
    </font>
    <font>
      <b val="true"/>
      <sz val="10"/>
      <color rgb="FFFFFFFF"/>
      <name val="Arial"/>
      <family val="0"/>
      <charset val="1"/>
    </font>
    <font>
      <sz val="10"/>
      <name val="Arial"/>
      <family val="0"/>
      <charset val="1"/>
    </font>
    <font>
      <sz val="10"/>
      <color rgb="FF0000FF"/>
      <name val="Arial"/>
      <family val="0"/>
      <charset val="1"/>
    </font>
    <font>
      <i val="true"/>
      <sz val="10"/>
      <color rgb="FFC55A11"/>
      <name val="Arial"/>
      <family val="0"/>
      <charset val="1"/>
    </font>
    <font>
      <i val="true"/>
      <sz val="10"/>
      <color rgb="FF7F7F7F"/>
      <name val="Arial"/>
      <family val="0"/>
      <charset val="1"/>
    </font>
    <font>
      <sz val="10"/>
      <color rgb="FF000000"/>
      <name val="Arial"/>
      <family val="0"/>
      <charset val="1"/>
    </font>
    <font>
      <b val="true"/>
      <sz val="10"/>
      <name val="Arial"/>
      <family val="0"/>
      <charset val="1"/>
    </font>
    <font>
      <sz val="10"/>
      <name val="Arial"/>
      <family val="2"/>
    </font>
  </fonts>
  <fills count="8">
    <fill>
      <patternFill patternType="none"/>
    </fill>
    <fill>
      <patternFill patternType="gray125"/>
    </fill>
    <fill>
      <patternFill patternType="solid">
        <fgColor rgb="FF1F4E78"/>
        <bgColor rgb="FF003366"/>
      </patternFill>
    </fill>
    <fill>
      <patternFill patternType="solid">
        <fgColor rgb="FF2E75B6"/>
        <bgColor rgb="FF0066CC"/>
      </patternFill>
    </fill>
    <fill>
      <patternFill patternType="solid">
        <fgColor rgb="FFD9E1F2"/>
        <bgColor rgb="FFE2EFDA"/>
      </patternFill>
    </fill>
    <fill>
      <patternFill patternType="solid">
        <fgColor rgb="FFFCE4E4"/>
        <bgColor rgb="FFFFF2CC"/>
      </patternFill>
    </fill>
    <fill>
      <patternFill patternType="solid">
        <fgColor rgb="FFFFF2CC"/>
        <bgColor rgb="FFFCE4E4"/>
      </patternFill>
    </fill>
    <fill>
      <patternFill patternType="solid">
        <fgColor rgb="FFE2EFDA"/>
        <bgColor rgb="FFD9E1F2"/>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8" fillId="0" borderId="1" xfId="0" applyFont="true" applyBorder="true" applyAlignment="true" applyProtection="false">
      <alignment horizontal="right" vertical="center" textRotation="0" wrapText="false" indent="0" shrinkToFit="false"/>
      <protection locked="true" hidden="false"/>
    </xf>
    <xf numFmtId="165" fontId="9" fillId="0" borderId="1" xfId="0" applyFont="true" applyBorder="true" applyAlignment="true" applyProtection="false">
      <alignment horizontal="right" vertical="center" textRotation="0" wrapText="false" indent="0" shrinkToFit="false"/>
      <protection locked="true" hidden="false"/>
    </xf>
    <xf numFmtId="165" fontId="10" fillId="0" borderId="1" xfId="0" applyFont="true" applyBorder="true" applyAlignment="true" applyProtection="false">
      <alignment horizontal="right" vertical="center" textRotation="0" wrapText="false" indent="0" shrinkToFit="false"/>
      <protection locked="true" hidden="false"/>
    </xf>
    <xf numFmtId="165" fontId="11" fillId="0" borderId="1" xfId="0" applyFont="true" applyBorder="true" applyAlignment="true" applyProtection="false">
      <alignment horizontal="right" vertical="center" textRotation="0" wrapText="false" indent="0" shrinkToFit="false"/>
      <protection locked="true" hidden="false"/>
    </xf>
    <xf numFmtId="166" fontId="11" fillId="0" borderId="1" xfId="0" applyFont="true" applyBorder="true" applyAlignment="true" applyProtection="false">
      <alignment horizontal="right" vertical="center" textRotation="0" wrapText="false" indent="0" shrinkToFit="false"/>
      <protection locked="true" hidden="false"/>
    </xf>
    <xf numFmtId="167" fontId="8" fillId="0" borderId="1" xfId="0" applyFont="true" applyBorder="true" applyAlignment="true" applyProtection="false">
      <alignment horizontal="right" vertical="center" textRotation="0" wrapText="false" indent="0" shrinkToFit="false"/>
      <protection locked="true" hidden="false"/>
    </xf>
    <xf numFmtId="167" fontId="9" fillId="0" borderId="1" xfId="0" applyFont="true" applyBorder="true" applyAlignment="true" applyProtection="false">
      <alignment horizontal="right" vertical="center" textRotation="0" wrapText="false" indent="0" shrinkToFit="false"/>
      <protection locked="true" hidden="false"/>
    </xf>
    <xf numFmtId="167" fontId="11" fillId="0" borderId="1" xfId="0" applyFont="true" applyBorder="true" applyAlignment="true" applyProtection="false">
      <alignment horizontal="right" vertical="center" textRotation="0" wrapText="false" indent="0" shrinkToFit="false"/>
      <protection locked="true" hidden="false"/>
    </xf>
    <xf numFmtId="167" fontId="10" fillId="0" borderId="1" xfId="0" applyFont="true" applyBorder="true" applyAlignment="true" applyProtection="false">
      <alignment horizontal="right" vertical="center" textRotation="0" wrapText="false" indent="0" shrinkToFit="false"/>
      <protection locked="true" hidden="false"/>
    </xf>
    <xf numFmtId="164" fontId="12" fillId="4" borderId="1" xfId="0" applyFont="true" applyBorder="true" applyAlignment="true" applyProtection="false">
      <alignment horizontal="left" vertical="center" textRotation="0" wrapText="false" indent="0" shrinkToFit="false"/>
      <protection locked="true" hidden="false"/>
    </xf>
    <xf numFmtId="167" fontId="12" fillId="4" borderId="1" xfId="0" applyFont="true" applyBorder="true" applyAlignment="true" applyProtection="false">
      <alignment horizontal="right" vertical="center" textRotation="0" wrapText="false" indent="0" shrinkToFit="false"/>
      <protection locked="true" hidden="false"/>
    </xf>
    <xf numFmtId="167" fontId="10" fillId="4" borderId="1" xfId="0" applyFont="true" applyBorder="true" applyAlignment="true" applyProtection="false">
      <alignment horizontal="right" vertical="center" textRotation="0" wrapText="false" indent="0" shrinkToFit="false"/>
      <protection locked="true" hidden="false"/>
    </xf>
    <xf numFmtId="164" fontId="11" fillId="0" borderId="1" xfId="0" applyFont="true" applyBorder="true" applyAlignment="true" applyProtection="false">
      <alignment horizontal="right" vertical="center" textRotation="0" wrapText="false" indent="0" shrinkToFit="false"/>
      <protection locked="true" hidden="false"/>
    </xf>
    <xf numFmtId="164" fontId="8" fillId="0" borderId="1" xfId="0" applyFont="true" applyBorder="true" applyAlignment="true" applyProtection="false">
      <alignment horizontal="right" vertical="center" textRotation="0" wrapText="false" indent="0" shrinkToFit="false"/>
      <protection locked="true" hidden="false"/>
    </xf>
    <xf numFmtId="164" fontId="4" fillId="2" borderId="2" xfId="0" applyFont="true" applyBorder="true" applyAlignment="true" applyProtection="false">
      <alignment horizontal="left" vertical="center" textRotation="0" wrapText="false" indent="0" shrinkToFit="false"/>
      <protection locked="true" hidden="false"/>
    </xf>
    <xf numFmtId="164" fontId="6" fillId="2"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5" fillId="0" borderId="2" xfId="0" applyFont="true" applyBorder="true" applyAlignment="true" applyProtection="false">
      <alignment horizontal="left" vertical="top" textRotation="0" wrapText="true" indent="0" shrinkToFit="false"/>
      <protection locked="true" hidden="false"/>
    </xf>
    <xf numFmtId="164" fontId="12" fillId="5" borderId="1" xfId="0" applyFont="true" applyBorder="true" applyAlignment="true" applyProtection="false">
      <alignment horizontal="center" vertical="top" textRotation="0" wrapText="tru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4" fontId="12" fillId="6" borderId="1" xfId="0" applyFont="true" applyBorder="true" applyAlignment="true" applyProtection="false">
      <alignment horizontal="center" vertical="top" textRotation="0" wrapText="true" indent="0" shrinkToFit="false"/>
      <protection locked="true" hidden="false"/>
    </xf>
    <xf numFmtId="164" fontId="12" fillId="7"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2E75B6"/>
      <rgbColor rgb="FF33CCCC"/>
      <rgbColor rgb="FF99CC00"/>
      <rgbColor rgb="FFFFCC00"/>
      <rgbColor rgb="FFFF9900"/>
      <rgbColor rgb="FFC55A11"/>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4" min="2" style="0" width="20"/>
    <col collapsed="false" customWidth="true" hidden="false" outlineLevel="0" max="5" min="5" style="0" width="24"/>
    <col collapsed="false" customWidth="true" hidden="false" outlineLevel="0" max="6" min="6" style="0" width="22"/>
    <col collapsed="false" customWidth="true" hidden="false" outlineLevel="0" max="7" min="7" style="0" width="24"/>
  </cols>
  <sheetData>
    <row r="1" customFormat="false" ht="24" hidden="false" customHeight="true" outlineLevel="0" collapsed="false">
      <c r="A1" s="1" t="s">
        <v>0</v>
      </c>
      <c r="B1" s="1"/>
      <c r="C1" s="1"/>
      <c r="D1" s="1"/>
      <c r="E1" s="1"/>
      <c r="F1" s="1"/>
      <c r="G1" s="1"/>
    </row>
    <row r="2" customFormat="false" ht="15" hidden="false" customHeight="true" outlineLevel="0" collapsed="false">
      <c r="A2" s="2" t="s">
        <v>1</v>
      </c>
      <c r="B2" s="2"/>
      <c r="C2" s="2"/>
      <c r="D2" s="2"/>
      <c r="E2" s="2"/>
      <c r="F2" s="2"/>
      <c r="G2" s="2"/>
    </row>
    <row r="4" customFormat="false" ht="33.75" hidden="false" customHeight="true" outlineLevel="0" collapsed="false">
      <c r="A4" s="3" t="s">
        <v>2</v>
      </c>
      <c r="B4" s="3" t="s">
        <v>3</v>
      </c>
      <c r="C4" s="3" t="s">
        <v>4</v>
      </c>
      <c r="D4" s="3" t="s">
        <v>5</v>
      </c>
      <c r="E4" s="3" t="s">
        <v>6</v>
      </c>
      <c r="F4" s="3" t="s">
        <v>7</v>
      </c>
      <c r="G4" s="3" t="s">
        <v>8</v>
      </c>
    </row>
    <row r="5" customFormat="false" ht="15" hidden="false" customHeight="false" outlineLevel="0" collapsed="false">
      <c r="A5" s="4" t="s">
        <v>9</v>
      </c>
      <c r="B5" s="4"/>
      <c r="C5" s="4"/>
      <c r="D5" s="4"/>
      <c r="E5" s="4"/>
      <c r="F5" s="4"/>
      <c r="G5" s="4"/>
    </row>
    <row r="6" customFormat="false" ht="15" hidden="false" customHeight="false" outlineLevel="0" collapsed="false">
      <c r="A6" s="5" t="s">
        <v>10</v>
      </c>
      <c r="B6" s="6" t="n">
        <v>105</v>
      </c>
      <c r="C6" s="6" t="n">
        <v>195</v>
      </c>
      <c r="D6" s="7" t="n">
        <f aca="false">B6</f>
        <v>105</v>
      </c>
      <c r="E6" s="8" t="s">
        <v>11</v>
      </c>
      <c r="F6" s="9" t="n">
        <f aca="false">C6</f>
        <v>195</v>
      </c>
      <c r="G6" s="8" t="s">
        <v>12</v>
      </c>
    </row>
    <row r="7" customFormat="false" ht="15" hidden="false" customHeight="false" outlineLevel="0" collapsed="false">
      <c r="A7" s="5" t="s">
        <v>13</v>
      </c>
      <c r="B7" s="6" t="n">
        <v>84</v>
      </c>
      <c r="C7" s="6" t="n">
        <v>156</v>
      </c>
      <c r="D7" s="7" t="n">
        <f aca="false">B6</f>
        <v>105</v>
      </c>
      <c r="E7" s="8" t="s">
        <v>14</v>
      </c>
      <c r="F7" s="9" t="n">
        <f aca="false">C6</f>
        <v>195</v>
      </c>
      <c r="G7" s="8" t="s">
        <v>14</v>
      </c>
    </row>
    <row r="8" customFormat="false" ht="15" hidden="false" customHeight="false" outlineLevel="0" collapsed="false">
      <c r="A8" s="5" t="s">
        <v>15</v>
      </c>
      <c r="B8" s="6" t="n">
        <v>6</v>
      </c>
      <c r="C8" s="6" t="n">
        <v>6</v>
      </c>
      <c r="D8" s="7" t="n">
        <f aca="false">B8</f>
        <v>6</v>
      </c>
      <c r="E8" s="6" t="n">
        <v>6</v>
      </c>
      <c r="F8" s="9" t="n">
        <f aca="false">C8</f>
        <v>6</v>
      </c>
      <c r="G8" s="6" t="n">
        <v>6</v>
      </c>
    </row>
    <row r="9" customFormat="false" ht="15" hidden="false" customHeight="false" outlineLevel="0" collapsed="false">
      <c r="A9" s="5" t="s">
        <v>16</v>
      </c>
      <c r="B9" s="6" t="n">
        <v>270</v>
      </c>
      <c r="C9" s="6" t="n">
        <v>936</v>
      </c>
      <c r="D9" s="7" t="n">
        <f aca="false">B9</f>
        <v>270</v>
      </c>
      <c r="E9" s="6" t="n">
        <v>700</v>
      </c>
      <c r="F9" s="9" t="n">
        <f aca="false">C9</f>
        <v>936</v>
      </c>
      <c r="G9" s="9" t="n">
        <f aca="false">C9+E9</f>
        <v>1636</v>
      </c>
    </row>
    <row r="10" customFormat="false" ht="15" hidden="false" customHeight="false" outlineLevel="0" collapsed="false">
      <c r="A10" s="5" t="s">
        <v>17</v>
      </c>
      <c r="B10" s="9"/>
      <c r="C10" s="6" t="n">
        <v>1000</v>
      </c>
      <c r="D10" s="9"/>
      <c r="E10" s="9"/>
      <c r="F10" s="9"/>
      <c r="G10" s="6" t="n">
        <v>1000</v>
      </c>
    </row>
    <row r="11" customFormat="false" ht="15" hidden="false" customHeight="false" outlineLevel="0" collapsed="false">
      <c r="A11" s="5" t="s">
        <v>18</v>
      </c>
      <c r="B11" s="10"/>
      <c r="C11" s="10" t="n">
        <f aca="false">C9-C10</f>
        <v>-64</v>
      </c>
      <c r="D11" s="10"/>
      <c r="E11" s="10"/>
      <c r="F11" s="10"/>
      <c r="G11" s="10" t="n">
        <f aca="false">G9-G10</f>
        <v>636</v>
      </c>
    </row>
    <row r="13" customFormat="false" ht="15" hidden="false" customHeight="false" outlineLevel="0" collapsed="false">
      <c r="A13" s="4" t="s">
        <v>19</v>
      </c>
      <c r="B13" s="4"/>
      <c r="C13" s="4"/>
      <c r="D13" s="4"/>
      <c r="E13" s="4"/>
      <c r="F13" s="4"/>
      <c r="G13" s="4"/>
    </row>
    <row r="14" customFormat="false" ht="15" hidden="false" customHeight="false" outlineLevel="0" collapsed="false">
      <c r="A14" s="5" t="s">
        <v>20</v>
      </c>
      <c r="B14" s="11" t="n">
        <v>90</v>
      </c>
      <c r="C14" s="11" t="n">
        <v>80</v>
      </c>
      <c r="D14" s="12" t="n">
        <f aca="false">B14</f>
        <v>90</v>
      </c>
      <c r="E14" s="12" t="n">
        <v>90</v>
      </c>
      <c r="F14" s="13" t="n">
        <f aca="false">C14</f>
        <v>80</v>
      </c>
      <c r="G14" s="13" t="n">
        <f aca="false">C14</f>
        <v>80</v>
      </c>
    </row>
    <row r="15" customFormat="false" ht="15" hidden="false" customHeight="false" outlineLevel="0" collapsed="false">
      <c r="A15" s="5" t="s">
        <v>21</v>
      </c>
      <c r="B15" s="13" t="n">
        <f aca="false">B9*B14</f>
        <v>24300</v>
      </c>
      <c r="C15" s="13" t="n">
        <f aca="false">C9*C14</f>
        <v>74880</v>
      </c>
      <c r="D15" s="13" t="n">
        <f aca="false">D9*D14</f>
        <v>24300</v>
      </c>
      <c r="E15" s="13" t="n">
        <f aca="false">E9*E14</f>
        <v>63000</v>
      </c>
      <c r="F15" s="13" t="n">
        <f aca="false">F9*F14</f>
        <v>74880</v>
      </c>
      <c r="G15" s="13" t="n">
        <f aca="false">G9*G14</f>
        <v>130880</v>
      </c>
    </row>
    <row r="16" customFormat="false" ht="15" hidden="false" customHeight="false" outlineLevel="0" collapsed="false">
      <c r="A16" s="5" t="s">
        <v>22</v>
      </c>
      <c r="B16" s="13" t="n">
        <f aca="false">B15*30</f>
        <v>729000</v>
      </c>
      <c r="C16" s="13" t="n">
        <f aca="false">C15*30</f>
        <v>2246400</v>
      </c>
      <c r="D16" s="13" t="n">
        <f aca="false">D15*30</f>
        <v>729000</v>
      </c>
      <c r="E16" s="13" t="n">
        <f aca="false">E15*30</f>
        <v>1890000</v>
      </c>
      <c r="F16" s="13" t="n">
        <f aca="false">F15*30</f>
        <v>2246400</v>
      </c>
      <c r="G16" s="13" t="n">
        <f aca="false">G15*30</f>
        <v>3926400</v>
      </c>
    </row>
    <row r="17" customFormat="false" ht="15" hidden="false" customHeight="false" outlineLevel="0" collapsed="false">
      <c r="A17" s="5" t="s">
        <v>23</v>
      </c>
      <c r="B17" s="13" t="n">
        <f aca="false">B16*12</f>
        <v>8748000</v>
      </c>
      <c r="C17" s="13" t="n">
        <f aca="false">C16*12</f>
        <v>26956800</v>
      </c>
      <c r="D17" s="13" t="n">
        <f aca="false">D16*12</f>
        <v>8748000</v>
      </c>
      <c r="E17" s="13" t="n">
        <f aca="false">E16*12</f>
        <v>22680000</v>
      </c>
      <c r="F17" s="13" t="n">
        <f aca="false">F16*12</f>
        <v>26956800</v>
      </c>
      <c r="G17" s="13" t="n">
        <f aca="false">G16*12</f>
        <v>47116800</v>
      </c>
    </row>
    <row r="19" customFormat="false" ht="15" hidden="false" customHeight="false" outlineLevel="0" collapsed="false">
      <c r="A19" s="4" t="s">
        <v>24</v>
      </c>
      <c r="B19" s="4"/>
      <c r="C19" s="4"/>
      <c r="D19" s="4"/>
      <c r="E19" s="4"/>
      <c r="F19" s="4"/>
      <c r="G19" s="4"/>
    </row>
    <row r="20" customFormat="false" ht="15" hidden="false" customHeight="false" outlineLevel="0" collapsed="false">
      <c r="A20" s="5" t="s">
        <v>25</v>
      </c>
      <c r="B20" s="13"/>
      <c r="C20" s="11" t="n">
        <v>13500000</v>
      </c>
      <c r="D20" s="11" t="n">
        <v>500000</v>
      </c>
      <c r="E20" s="14" t="s">
        <v>11</v>
      </c>
      <c r="F20" s="13" t="n">
        <f aca="false">C20+D20</f>
        <v>14000000</v>
      </c>
      <c r="G20" s="14" t="s">
        <v>12</v>
      </c>
    </row>
    <row r="21" customFormat="false" ht="15" hidden="false" customHeight="false" outlineLevel="0" collapsed="false">
      <c r="A21" s="5" t="s">
        <v>26</v>
      </c>
      <c r="B21" s="11" t="n">
        <v>7800000</v>
      </c>
      <c r="C21" s="11" t="n">
        <v>1200000</v>
      </c>
      <c r="D21" s="12" t="n">
        <f aca="false">B21+300000-300000</f>
        <v>7800000</v>
      </c>
      <c r="E21" s="14" t="s">
        <v>14</v>
      </c>
      <c r="F21" s="12" t="n">
        <f aca="false">C21+300000-300000</f>
        <v>1200000</v>
      </c>
      <c r="G21" s="14" t="s">
        <v>14</v>
      </c>
    </row>
    <row r="22" customFormat="false" ht="15" hidden="false" customHeight="false" outlineLevel="0" collapsed="false">
      <c r="A22" s="5" t="s">
        <v>27</v>
      </c>
      <c r="B22" s="11" t="n">
        <v>100000</v>
      </c>
      <c r="C22" s="11" t="n">
        <v>100000</v>
      </c>
      <c r="D22" s="13" t="n">
        <f aca="false">B22</f>
        <v>100000</v>
      </c>
      <c r="E22" s="11" t="n">
        <v>100000</v>
      </c>
      <c r="F22" s="13" t="n">
        <f aca="false">C22</f>
        <v>100000</v>
      </c>
      <c r="G22" s="13" t="n">
        <f aca="false">C22</f>
        <v>100000</v>
      </c>
    </row>
    <row r="23" customFormat="false" ht="15" hidden="false" customHeight="false" outlineLevel="0" collapsed="false">
      <c r="A23" s="5" t="s">
        <v>28</v>
      </c>
      <c r="B23" s="11" t="n">
        <v>1840000</v>
      </c>
      <c r="C23" s="11" t="n">
        <v>14236000</v>
      </c>
      <c r="D23" s="12" t="n">
        <f aca="false">B23+D20</f>
        <v>2340000</v>
      </c>
      <c r="E23" s="14" t="s">
        <v>14</v>
      </c>
      <c r="F23" s="12" t="n">
        <f aca="false">C23+D20</f>
        <v>14736000</v>
      </c>
      <c r="G23" s="14" t="s">
        <v>14</v>
      </c>
    </row>
    <row r="24" customFormat="false" ht="15" hidden="false" customHeight="false" outlineLevel="0" collapsed="false">
      <c r="A24" s="5" t="s">
        <v>29</v>
      </c>
      <c r="B24" s="13" t="n">
        <f aca="false">B23*0.1</f>
        <v>184000</v>
      </c>
      <c r="C24" s="13" t="n">
        <f aca="false">C23*0.1</f>
        <v>1423600</v>
      </c>
      <c r="D24" s="13" t="n">
        <f aca="false">D23*0.1</f>
        <v>234000</v>
      </c>
      <c r="E24" s="14" t="s">
        <v>14</v>
      </c>
      <c r="F24" s="13" t="n">
        <f aca="false">F23*0.1</f>
        <v>1473600</v>
      </c>
      <c r="G24" s="14" t="s">
        <v>12</v>
      </c>
    </row>
    <row r="26" customFormat="false" ht="15" hidden="false" customHeight="false" outlineLevel="0" collapsed="false">
      <c r="A26" s="4" t="s">
        <v>30</v>
      </c>
      <c r="B26" s="4"/>
      <c r="C26" s="4"/>
      <c r="D26" s="4"/>
      <c r="E26" s="4"/>
      <c r="F26" s="4"/>
      <c r="G26" s="4"/>
    </row>
    <row r="27" customFormat="false" ht="15" hidden="false" customHeight="false" outlineLevel="0" collapsed="false">
      <c r="A27" s="5" t="s">
        <v>31</v>
      </c>
      <c r="B27" s="13" t="n">
        <f aca="false">B17-B21-B22</f>
        <v>848000</v>
      </c>
      <c r="C27" s="13" t="n">
        <f aca="false">C17-C21-C22</f>
        <v>25656800</v>
      </c>
      <c r="D27" s="13" t="n">
        <f aca="false">D17-D21-D22</f>
        <v>848000</v>
      </c>
      <c r="E27" s="14" t="s">
        <v>32</v>
      </c>
      <c r="F27" s="13" t="n">
        <f aca="false">F17-F21-F22</f>
        <v>25656800</v>
      </c>
      <c r="G27" s="14" t="s">
        <v>12</v>
      </c>
    </row>
    <row r="28" customFormat="false" ht="15" hidden="false" customHeight="false" outlineLevel="0" collapsed="false">
      <c r="A28" s="5" t="s">
        <v>33</v>
      </c>
      <c r="B28" s="11" t="n">
        <v>920000</v>
      </c>
      <c r="C28" s="11" t="n">
        <v>3620000</v>
      </c>
      <c r="D28" s="12" t="n">
        <f aca="false">B28+0.2*D20</f>
        <v>1020000</v>
      </c>
      <c r="E28" s="14" t="s">
        <v>14</v>
      </c>
      <c r="F28" s="12" t="n">
        <f aca="false">C28+0.2*D20</f>
        <v>3720000</v>
      </c>
      <c r="G28" s="14" t="s">
        <v>14</v>
      </c>
    </row>
    <row r="29" customFormat="false" ht="15" hidden="false" customHeight="false" outlineLevel="0" collapsed="false">
      <c r="A29" s="5" t="s">
        <v>34</v>
      </c>
      <c r="B29" s="11" t="n">
        <v>0</v>
      </c>
      <c r="C29" s="11" t="n">
        <v>1000000</v>
      </c>
      <c r="D29" s="13" t="n">
        <f aca="false">B29</f>
        <v>0</v>
      </c>
      <c r="E29" s="14" t="s">
        <v>14</v>
      </c>
      <c r="F29" s="13" t="n">
        <f aca="false">C29</f>
        <v>1000000</v>
      </c>
      <c r="G29" s="14" t="s">
        <v>14</v>
      </c>
    </row>
    <row r="30" customFormat="false" ht="15" hidden="false" customHeight="false" outlineLevel="0" collapsed="false">
      <c r="A30" s="15" t="s">
        <v>35</v>
      </c>
      <c r="B30" s="16" t="n">
        <f aca="false">B27-B28-B29</f>
        <v>-72000</v>
      </c>
      <c r="C30" s="16" t="n">
        <f aca="false">C27-C28-C29</f>
        <v>21036800</v>
      </c>
      <c r="D30" s="16" t="n">
        <f aca="false">D27-D28-D29</f>
        <v>-172000</v>
      </c>
      <c r="E30" s="17" t="s">
        <v>36</v>
      </c>
      <c r="F30" s="16" t="n">
        <f aca="false">F27-F28-F29</f>
        <v>20936800</v>
      </c>
      <c r="G30" s="17" t="s">
        <v>12</v>
      </c>
    </row>
    <row r="32" customFormat="false" ht="15" hidden="false" customHeight="false" outlineLevel="0" collapsed="false">
      <c r="A32" s="4" t="s">
        <v>37</v>
      </c>
      <c r="B32" s="4"/>
      <c r="C32" s="4"/>
      <c r="D32" s="4"/>
      <c r="E32" s="4"/>
      <c r="F32" s="4"/>
      <c r="G32" s="4"/>
    </row>
    <row r="33" customFormat="false" ht="15" hidden="false" customHeight="false" outlineLevel="0" collapsed="false">
      <c r="A33" s="5" t="s">
        <v>38</v>
      </c>
      <c r="B33" s="18"/>
      <c r="C33" s="18"/>
      <c r="D33" s="18"/>
      <c r="E33" s="19" t="s">
        <v>39</v>
      </c>
      <c r="F33" s="18"/>
      <c r="G33" s="18"/>
    </row>
    <row r="34" customFormat="false" ht="15" hidden="false" customHeight="false" outlineLevel="0" collapsed="false">
      <c r="A34" s="5" t="s">
        <v>40</v>
      </c>
      <c r="B34" s="18"/>
      <c r="C34" s="18"/>
      <c r="D34" s="18"/>
      <c r="E34" s="19" t="s">
        <v>41</v>
      </c>
      <c r="F34" s="18"/>
      <c r="G34" s="18"/>
    </row>
    <row r="35" customFormat="false" ht="15" hidden="false" customHeight="false" outlineLevel="0" collapsed="false">
      <c r="A35" s="5" t="s">
        <v>42</v>
      </c>
      <c r="B35" s="13"/>
      <c r="C35" s="13"/>
      <c r="D35" s="13"/>
      <c r="E35" s="12" t="n">
        <f aca="false">(350*90*(1-0.12))+(350*90*(1-0.1))</f>
        <v>56070</v>
      </c>
      <c r="F35" s="13"/>
      <c r="G35" s="13"/>
    </row>
    <row r="36" customFormat="false" ht="15" hidden="false" customHeight="false" outlineLevel="0" collapsed="false">
      <c r="A36" s="5" t="s">
        <v>43</v>
      </c>
      <c r="B36" s="13"/>
      <c r="C36" s="13"/>
      <c r="D36" s="13"/>
      <c r="E36" s="12" t="n">
        <f aca="false">ROUND((350*90*365+350*90*365)*0.01,0)</f>
        <v>229950</v>
      </c>
      <c r="F36" s="13"/>
      <c r="G36" s="13"/>
    </row>
  </sheetData>
  <mergeCells count="7">
    <mergeCell ref="A1:G1"/>
    <mergeCell ref="A2:G2"/>
    <mergeCell ref="A5:G5"/>
    <mergeCell ref="A13:G13"/>
    <mergeCell ref="A19:G19"/>
    <mergeCell ref="A26:G26"/>
    <mergeCell ref="A32:G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42"/>
    <col collapsed="false" customWidth="true" hidden="false" outlineLevel="0" max="4" min="4" style="0" width="16"/>
  </cols>
  <sheetData>
    <row r="1" customFormat="false" ht="21.75" hidden="false" customHeight="true" outlineLevel="0" collapsed="false">
      <c r="A1" s="20" t="s">
        <v>44</v>
      </c>
      <c r="B1" s="20"/>
      <c r="C1" s="20"/>
      <c r="D1" s="20"/>
    </row>
    <row r="3" customFormat="false" ht="23.85" hidden="false" customHeight="false" outlineLevel="0" collapsed="false">
      <c r="A3" s="21" t="s">
        <v>45</v>
      </c>
      <c r="B3" s="21" t="s">
        <v>46</v>
      </c>
      <c r="C3" s="21" t="s">
        <v>47</v>
      </c>
      <c r="D3" s="21" t="s">
        <v>48</v>
      </c>
    </row>
    <row r="4" customFormat="false" ht="45.75" hidden="false" customHeight="true" outlineLevel="0" collapsed="false">
      <c r="A4" s="22" t="n">
        <v>1</v>
      </c>
      <c r="B4" s="23" t="s">
        <v>49</v>
      </c>
      <c r="C4" s="23" t="s">
        <v>50</v>
      </c>
      <c r="D4" s="22" t="s">
        <v>51</v>
      </c>
    </row>
    <row r="5" customFormat="false" ht="45.75" hidden="false" customHeight="true" outlineLevel="0" collapsed="false">
      <c r="A5" s="22" t="n">
        <v>2</v>
      </c>
      <c r="B5" s="23" t="s">
        <v>52</v>
      </c>
      <c r="C5" s="23" t="s">
        <v>53</v>
      </c>
      <c r="D5" s="22" t="s">
        <v>54</v>
      </c>
    </row>
    <row r="6" customFormat="false" ht="45.75" hidden="false" customHeight="true" outlineLevel="0" collapsed="false">
      <c r="A6" s="22" t="n">
        <v>3</v>
      </c>
      <c r="B6" s="23" t="s">
        <v>55</v>
      </c>
      <c r="C6" s="23" t="s">
        <v>56</v>
      </c>
      <c r="D6" s="22" t="s">
        <v>57</v>
      </c>
    </row>
    <row r="7" customFormat="false" ht="45.75" hidden="false" customHeight="true" outlineLevel="0" collapsed="false">
      <c r="A7" s="22" t="n">
        <v>4</v>
      </c>
      <c r="B7" s="23" t="s">
        <v>58</v>
      </c>
      <c r="C7" s="23" t="s">
        <v>59</v>
      </c>
      <c r="D7" s="22" t="s">
        <v>60</v>
      </c>
    </row>
    <row r="8" customFormat="false" ht="45.75" hidden="false" customHeight="true" outlineLevel="0" collapsed="false">
      <c r="A8" s="22" t="n">
        <v>5</v>
      </c>
      <c r="B8" s="23" t="s">
        <v>61</v>
      </c>
      <c r="C8" s="23" t="s">
        <v>62</v>
      </c>
      <c r="D8" s="22" t="s">
        <v>60</v>
      </c>
    </row>
    <row r="9" customFormat="false" ht="45.75" hidden="false" customHeight="true" outlineLevel="0" collapsed="false">
      <c r="A9" s="22" t="n">
        <v>6</v>
      </c>
      <c r="B9" s="23" t="s">
        <v>63</v>
      </c>
      <c r="C9" s="23" t="s">
        <v>64</v>
      </c>
      <c r="D9" s="22" t="s">
        <v>60</v>
      </c>
    </row>
    <row r="10" customFormat="false" ht="45.75" hidden="false" customHeight="true" outlineLevel="0" collapsed="false">
      <c r="A10" s="22" t="n">
        <v>7</v>
      </c>
      <c r="B10" s="23" t="s">
        <v>65</v>
      </c>
      <c r="C10" s="23" t="s">
        <v>66</v>
      </c>
      <c r="D10" s="22" t="s">
        <v>60</v>
      </c>
    </row>
    <row r="11" customFormat="false" ht="45.75" hidden="false" customHeight="true" outlineLevel="0" collapsed="false">
      <c r="A11" s="22" t="n">
        <v>8</v>
      </c>
      <c r="B11" s="23" t="s">
        <v>67</v>
      </c>
      <c r="C11" s="23" t="s">
        <v>68</v>
      </c>
      <c r="D11" s="22" t="s">
        <v>69</v>
      </c>
    </row>
    <row r="12" customFormat="false" ht="45.75" hidden="false" customHeight="true" outlineLevel="0" collapsed="false">
      <c r="A12" s="22" t="n">
        <v>9</v>
      </c>
      <c r="B12" s="23" t="s">
        <v>70</v>
      </c>
      <c r="C12" s="23" t="s">
        <v>71</v>
      </c>
      <c r="D12" s="22" t="s">
        <v>72</v>
      </c>
    </row>
    <row r="13" customFormat="false" ht="45.75" hidden="false" customHeight="true" outlineLevel="0" collapsed="false">
      <c r="A13" s="22" t="n">
        <v>10</v>
      </c>
      <c r="B13" s="23" t="s">
        <v>73</v>
      </c>
      <c r="C13" s="23" t="s">
        <v>74</v>
      </c>
      <c r="D13" s="22" t="s">
        <v>75</v>
      </c>
    </row>
    <row r="14" customFormat="false" ht="45.75" hidden="false" customHeight="true" outlineLevel="0" collapsed="false">
      <c r="A14" s="22" t="n">
        <v>11</v>
      </c>
      <c r="B14" s="23" t="s">
        <v>76</v>
      </c>
      <c r="C14" s="23" t="s">
        <v>77</v>
      </c>
      <c r="D14" s="22" t="s">
        <v>60</v>
      </c>
    </row>
    <row r="15" customFormat="false" ht="45.75" hidden="false" customHeight="true" outlineLevel="0" collapsed="false">
      <c r="A15" s="22" t="n">
        <v>12</v>
      </c>
      <c r="B15" s="23" t="s">
        <v>78</v>
      </c>
      <c r="C15" s="23" t="s">
        <v>79</v>
      </c>
      <c r="D15" s="22" t="s">
        <v>75</v>
      </c>
    </row>
    <row r="16" customFormat="false" ht="45.75" hidden="false" customHeight="true" outlineLevel="0" collapsed="false">
      <c r="A16" s="22" t="n">
        <v>13</v>
      </c>
      <c r="B16" s="23" t="s">
        <v>80</v>
      </c>
      <c r="C16" s="23" t="s">
        <v>81</v>
      </c>
      <c r="D16" s="22" t="s">
        <v>75</v>
      </c>
    </row>
    <row r="17" customFormat="false" ht="45.75" hidden="false" customHeight="true" outlineLevel="0" collapsed="false">
      <c r="A17" s="22" t="n">
        <v>14</v>
      </c>
      <c r="B17" s="23" t="s">
        <v>82</v>
      </c>
      <c r="C17" s="23" t="s">
        <v>83</v>
      </c>
      <c r="D17" s="22" t="s">
        <v>75</v>
      </c>
    </row>
    <row r="18" customFormat="false" ht="45.75" hidden="false" customHeight="true" outlineLevel="0" collapsed="false">
      <c r="A18" s="22" t="n">
        <v>15</v>
      </c>
      <c r="B18" s="23" t="s">
        <v>84</v>
      </c>
      <c r="C18" s="23" t="s">
        <v>85</v>
      </c>
      <c r="D18" s="22" t="s">
        <v>86</v>
      </c>
    </row>
    <row r="19" customFormat="false" ht="45.75" hidden="false" customHeight="true" outlineLevel="0" collapsed="false">
      <c r="A19" s="22" t="n">
        <v>16</v>
      </c>
      <c r="B19" s="23" t="s">
        <v>87</v>
      </c>
      <c r="C19" s="23" t="s">
        <v>88</v>
      </c>
      <c r="D19" s="22" t="s">
        <v>89</v>
      </c>
    </row>
    <row r="20" customFormat="false" ht="45.75" hidden="false" customHeight="true" outlineLevel="0" collapsed="false">
      <c r="A20" s="22" t="n">
        <v>17</v>
      </c>
      <c r="B20" s="23" t="s">
        <v>90</v>
      </c>
      <c r="C20" s="23" t="s">
        <v>91</v>
      </c>
      <c r="D20" s="22" t="s">
        <v>92</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6"/>
    <col collapsed="false" customWidth="true" hidden="false" outlineLevel="0" max="3" min="3" style="0" width="34"/>
    <col collapsed="false" customWidth="true" hidden="false" outlineLevel="0" max="4" min="4" style="0" width="52"/>
  </cols>
  <sheetData>
    <row r="1" customFormat="false" ht="21.75" hidden="false" customHeight="true" outlineLevel="0" collapsed="false">
      <c r="A1" s="20" t="s">
        <v>93</v>
      </c>
      <c r="B1" s="20"/>
      <c r="C1" s="20"/>
      <c r="D1" s="20"/>
    </row>
    <row r="2" customFormat="false" ht="15.75" hidden="false" customHeight="true" outlineLevel="0" collapsed="false">
      <c r="A2" s="24" t="s">
        <v>94</v>
      </c>
      <c r="B2" s="24"/>
      <c r="C2" s="24"/>
      <c r="D2" s="24"/>
    </row>
    <row r="4" customFormat="false" ht="15" hidden="false" customHeight="false" outlineLevel="0" collapsed="false">
      <c r="A4" s="21" t="s">
        <v>45</v>
      </c>
      <c r="B4" s="21" t="s">
        <v>95</v>
      </c>
      <c r="C4" s="21" t="s">
        <v>96</v>
      </c>
      <c r="D4" s="21" t="s">
        <v>97</v>
      </c>
    </row>
    <row r="5" customFormat="false" ht="90" hidden="false" customHeight="true" outlineLevel="0" collapsed="false">
      <c r="A5" s="22" t="n">
        <v>1</v>
      </c>
      <c r="B5" s="25" t="s">
        <v>98</v>
      </c>
      <c r="C5" s="26" t="s">
        <v>99</v>
      </c>
      <c r="D5" s="23" t="s">
        <v>100</v>
      </c>
    </row>
    <row r="6" customFormat="false" ht="90" hidden="false" customHeight="true" outlineLevel="0" collapsed="false">
      <c r="A6" s="22" t="n">
        <v>2</v>
      </c>
      <c r="B6" s="27" t="s">
        <v>101</v>
      </c>
      <c r="C6" s="26" t="s">
        <v>102</v>
      </c>
      <c r="D6" s="23" t="s">
        <v>103</v>
      </c>
    </row>
    <row r="7" customFormat="false" ht="90" hidden="false" customHeight="true" outlineLevel="0" collapsed="false">
      <c r="A7" s="22" t="n">
        <v>3</v>
      </c>
      <c r="B7" s="27" t="s">
        <v>101</v>
      </c>
      <c r="C7" s="26" t="s">
        <v>104</v>
      </c>
      <c r="D7" s="23" t="s">
        <v>105</v>
      </c>
    </row>
    <row r="8" customFormat="false" ht="90" hidden="false" customHeight="true" outlineLevel="0" collapsed="false">
      <c r="A8" s="22" t="n">
        <v>4</v>
      </c>
      <c r="B8" s="27" t="s">
        <v>101</v>
      </c>
      <c r="C8" s="26" t="s">
        <v>106</v>
      </c>
      <c r="D8" s="23" t="s">
        <v>107</v>
      </c>
    </row>
    <row r="9" customFormat="false" ht="90" hidden="false" customHeight="true" outlineLevel="0" collapsed="false">
      <c r="A9" s="22" t="n">
        <v>5</v>
      </c>
      <c r="B9" s="27" t="s">
        <v>108</v>
      </c>
      <c r="C9" s="26" t="s">
        <v>109</v>
      </c>
      <c r="D9" s="23" t="s">
        <v>110</v>
      </c>
    </row>
    <row r="10" customFormat="false" ht="90" hidden="false" customHeight="true" outlineLevel="0" collapsed="false">
      <c r="A10" s="22" t="n">
        <v>6</v>
      </c>
      <c r="B10" s="27" t="s">
        <v>108</v>
      </c>
      <c r="C10" s="26" t="s">
        <v>111</v>
      </c>
      <c r="D10" s="23" t="s">
        <v>112</v>
      </c>
    </row>
    <row r="11" customFormat="false" ht="90" hidden="false" customHeight="true" outlineLevel="0" collapsed="false">
      <c r="A11" s="22" t="n">
        <v>7</v>
      </c>
      <c r="B11" s="28" t="s">
        <v>113</v>
      </c>
      <c r="C11" s="26" t="s">
        <v>114</v>
      </c>
      <c r="D11" s="23" t="s">
        <v>115</v>
      </c>
    </row>
    <row r="12" customFormat="false" ht="90" hidden="false" customHeight="true" outlineLevel="0" collapsed="false">
      <c r="A12" s="22" t="n">
        <v>8</v>
      </c>
      <c r="B12" s="28" t="s">
        <v>113</v>
      </c>
      <c r="C12" s="26" t="s">
        <v>116</v>
      </c>
      <c r="D12" s="23" t="s">
        <v>117</v>
      </c>
    </row>
    <row r="13" customFormat="false" ht="90" hidden="false" customHeight="true" outlineLevel="0" collapsed="false">
      <c r="A13" s="22" t="n">
        <v>9</v>
      </c>
      <c r="B13" s="28" t="s">
        <v>113</v>
      </c>
      <c r="C13" s="26" t="s">
        <v>118</v>
      </c>
      <c r="D13" s="23" t="s">
        <v>119</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2026-08-02T15:32:51Z</dcterms:created>
  <dc:creator>openpyxl</dc:creator>
  <dc:description/>
  <dc:language>en-US</dc:language>
  <cp:lastModifiedBy/>
  <dcterms:modified xsi:type="dcterms:W3CDTF">2026-08-02T15:32:54Z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