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D9F7BA2-FC01-4346-AFA4-E0F3F9ACDA70}" xr6:coauthVersionLast="47" xr6:coauthVersionMax="47" xr10:uidLastSave="{00000000-0000-0000-0000-000000000000}"/>
  <bookViews>
    <workbookView xWindow="-110" yWindow="-110" windowWidth="25820" windowHeight="15500" tabRatio="704" activeTab="4" xr2:uid="{00000000-000D-0000-FFFF-FFFF00000000}"/>
  </bookViews>
  <sheets>
    <sheet name="Product_Master" sheetId="1" r:id="rId1"/>
    <sheet name="Supplier_Master" sheetId="2" r:id="rId2"/>
    <sheet name="Sales_Transactions" sheetId="3" r:id="rId3"/>
    <sheet name="Inventory_Status" sheetId="4" r:id="rId4"/>
    <sheet name="Lookup_Practic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2" i="5" l="1"/>
  <c r="F33" i="5"/>
  <c r="F34" i="5"/>
  <c r="F35" i="5"/>
  <c r="F36" i="5"/>
  <c r="B32" i="5"/>
  <c r="B33" i="5"/>
  <c r="B34" i="5"/>
  <c r="G34" i="5" s="1"/>
  <c r="B36" i="5"/>
  <c r="E36" i="5" s="1"/>
  <c r="B35" i="5"/>
  <c r="E35" i="5" s="1"/>
  <c r="E33" i="5"/>
  <c r="E32" i="5"/>
  <c r="G33" i="5"/>
  <c r="G32" i="5"/>
  <c r="D33" i="5"/>
  <c r="D32" i="5"/>
  <c r="C33" i="5"/>
  <c r="C32" i="5"/>
  <c r="F26" i="5"/>
  <c r="F25" i="5"/>
  <c r="F24" i="5"/>
  <c r="F23" i="5"/>
  <c r="E23" i="5"/>
  <c r="E26" i="5"/>
  <c r="E25" i="5"/>
  <c r="E24" i="5"/>
  <c r="D26" i="5"/>
  <c r="D25" i="5"/>
  <c r="D24" i="5"/>
  <c r="D23" i="5"/>
  <c r="C25" i="5"/>
  <c r="C26" i="5"/>
  <c r="C24" i="5"/>
  <c r="C23" i="5"/>
  <c r="B26" i="5"/>
  <c r="B25" i="5"/>
  <c r="B24" i="5"/>
  <c r="F17" i="5"/>
  <c r="F16" i="5"/>
  <c r="F15" i="5"/>
  <c r="E17" i="5"/>
  <c r="E16" i="5"/>
  <c r="E15" i="5"/>
  <c r="B23" i="5"/>
  <c r="F14" i="5"/>
  <c r="E14" i="5"/>
  <c r="D17" i="5"/>
  <c r="D16" i="5"/>
  <c r="D15" i="5"/>
  <c r="D14" i="5"/>
  <c r="C17" i="5"/>
  <c r="C16" i="5"/>
  <c r="C15" i="5"/>
  <c r="C14" i="5"/>
  <c r="B17" i="5"/>
  <c r="B16" i="5"/>
  <c r="B15" i="5"/>
  <c r="B14" i="5"/>
  <c r="F8" i="5"/>
  <c r="F7" i="5"/>
  <c r="F6" i="5"/>
  <c r="F5" i="5"/>
  <c r="E8" i="5"/>
  <c r="E7" i="5"/>
  <c r="E6" i="5"/>
  <c r="E5" i="5"/>
  <c r="D7" i="5"/>
  <c r="D8" i="5"/>
  <c r="D6" i="5"/>
  <c r="D5" i="5"/>
  <c r="C8" i="5"/>
  <c r="C7" i="5"/>
  <c r="C6" i="5"/>
  <c r="C5" i="5"/>
  <c r="B8" i="5"/>
  <c r="B7" i="5"/>
  <c r="B6" i="5"/>
  <c r="B5" i="5"/>
  <c r="C18" i="2"/>
  <c r="D18" i="2"/>
  <c r="D14" i="2"/>
  <c r="D16" i="2"/>
  <c r="C34" i="5" l="1"/>
  <c r="E34" i="5"/>
  <c r="D34" i="5"/>
  <c r="C36" i="5"/>
  <c r="G35" i="5"/>
  <c r="C35" i="5"/>
  <c r="D35" i="5"/>
  <c r="G36" i="5"/>
  <c r="D36" i="5"/>
  <c r="C16" i="2"/>
  <c r="C14" i="2"/>
  <c r="C26" i="1"/>
  <c r="C25" i="1"/>
  <c r="C24" i="1"/>
  <c r="F18" i="1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</calcChain>
</file>

<file path=xl/sharedStrings.xml><?xml version="1.0" encoding="utf-8"?>
<sst xmlns="http://schemas.openxmlformats.org/spreadsheetml/2006/main" count="283" uniqueCount="145">
  <si>
    <t>ZenithMart Pvt. Ltd. — Product Master Table</t>
  </si>
  <si>
    <t>Product_ID</t>
  </si>
  <si>
    <t>Product_Name</t>
  </si>
  <si>
    <t>Category</t>
  </si>
  <si>
    <t>Unit_Cost (₹)</t>
  </si>
  <si>
    <t>Selling_Price (₹)</t>
  </si>
  <si>
    <t>Supplier_ID</t>
  </si>
  <si>
    <t>P001</t>
  </si>
  <si>
    <t>Basmati Rice 5kg</t>
  </si>
  <si>
    <t>Staples</t>
  </si>
  <si>
    <t>S101</t>
  </si>
  <si>
    <t>P002</t>
  </si>
  <si>
    <t>Toor Dal 1kg</t>
  </si>
  <si>
    <t>P003</t>
  </si>
  <si>
    <t>Sunflower Oil 1L</t>
  </si>
  <si>
    <t>Edible Oils</t>
  </si>
  <si>
    <t>S102</t>
  </si>
  <si>
    <t>P004</t>
  </si>
  <si>
    <t>Coconut Oil 500ml</t>
  </si>
  <si>
    <t>S103</t>
  </si>
  <si>
    <t>P005</t>
  </si>
  <si>
    <t>Colgate Toothpaste 200g</t>
  </si>
  <si>
    <t>Personal Care</t>
  </si>
  <si>
    <t>S104</t>
  </si>
  <si>
    <t>P006</t>
  </si>
  <si>
    <t>Dove Soap 100g</t>
  </si>
  <si>
    <t>P007</t>
  </si>
  <si>
    <t>Notebook 200 pages</t>
  </si>
  <si>
    <t>Stationery</t>
  </si>
  <si>
    <t>S105</t>
  </si>
  <si>
    <t>P008</t>
  </si>
  <si>
    <t>Ball Pen Box (10pcs)</t>
  </si>
  <si>
    <t>P009</t>
  </si>
  <si>
    <t>Biscuit Pack 250g</t>
  </si>
  <si>
    <t>Snacks</t>
  </si>
  <si>
    <t>S106</t>
  </si>
  <si>
    <t>P010</t>
  </si>
  <si>
    <t>Chips 150g</t>
  </si>
  <si>
    <t>P011</t>
  </si>
  <si>
    <t>Green Tea 50 bags</t>
  </si>
  <si>
    <t>Beverages</t>
  </si>
  <si>
    <t>S107</t>
  </si>
  <si>
    <t>P012</t>
  </si>
  <si>
    <t>Instant Coffee 100g</t>
  </si>
  <si>
    <t>ZenithMart Pvt. Ltd. — Supplier Master Table</t>
  </si>
  <si>
    <t>Supplier_Name</t>
  </si>
  <si>
    <t>Region</t>
  </si>
  <si>
    <t>Lead_Time (days)</t>
  </si>
  <si>
    <t>Discount (%)</t>
  </si>
  <si>
    <t>AgroFresh Traders</t>
  </si>
  <si>
    <t>South India</t>
  </si>
  <si>
    <t>SunDrop Oils Ltd.</t>
  </si>
  <si>
    <t>West India</t>
  </si>
  <si>
    <t>Kerala Naturals</t>
  </si>
  <si>
    <t>FMCG Distributors</t>
  </si>
  <si>
    <t>Pan India</t>
  </si>
  <si>
    <t>OfficeLine Supplies</t>
  </si>
  <si>
    <t>North India</t>
  </si>
  <si>
    <t>SnackWave Co.</t>
  </si>
  <si>
    <t>BevCraft India</t>
  </si>
  <si>
    <t>East India</t>
  </si>
  <si>
    <t>ZenithMart Pvt. Ltd. — Monthly Sales Transactions (April 2025)</t>
  </si>
  <si>
    <t>Transaction_ID</t>
  </si>
  <si>
    <t>Date</t>
  </si>
  <si>
    <t>Store_ID</t>
  </si>
  <si>
    <t>Qty_Sold</t>
  </si>
  <si>
    <t>Unit_Price (₹)</t>
  </si>
  <si>
    <t>Discount_Applied (%)</t>
  </si>
  <si>
    <t>Net_Revenue (₹)</t>
  </si>
  <si>
    <t>T001</t>
  </si>
  <si>
    <t>01-Apr-25</t>
  </si>
  <si>
    <t>ST01</t>
  </si>
  <si>
    <t>T002</t>
  </si>
  <si>
    <t>ST02</t>
  </si>
  <si>
    <t>T003</t>
  </si>
  <si>
    <t>02-Apr-25</t>
  </si>
  <si>
    <t>T004</t>
  </si>
  <si>
    <t>ST03</t>
  </si>
  <si>
    <t>T005</t>
  </si>
  <si>
    <t>03-Apr-25</t>
  </si>
  <si>
    <t>T006</t>
  </si>
  <si>
    <t>T007</t>
  </si>
  <si>
    <t>04-Apr-25</t>
  </si>
  <si>
    <t>T008</t>
  </si>
  <si>
    <t>T009</t>
  </si>
  <si>
    <t>05-Apr-25</t>
  </si>
  <si>
    <t>T010</t>
  </si>
  <si>
    <t>T011</t>
  </si>
  <si>
    <t>06-Apr-25</t>
  </si>
  <si>
    <t>T012</t>
  </si>
  <si>
    <t>T013</t>
  </si>
  <si>
    <t>07-Apr-25</t>
  </si>
  <si>
    <t>T014</t>
  </si>
  <si>
    <t>T015</t>
  </si>
  <si>
    <t>08-Apr-25</t>
  </si>
  <si>
    <t>T016</t>
  </si>
  <si>
    <t>T017</t>
  </si>
  <si>
    <t>09-Apr-25</t>
  </si>
  <si>
    <t>T018</t>
  </si>
  <si>
    <t>T019</t>
  </si>
  <si>
    <t>10-Apr-25</t>
  </si>
  <si>
    <t>T020</t>
  </si>
  <si>
    <t>ZenithMart Pvt. Ltd. — Inventory Status (End of March 2025)</t>
  </si>
  <si>
    <t>Stock_Available</t>
  </si>
  <si>
    <t>Reorder_Level</t>
  </si>
  <si>
    <t>Stock_Status</t>
  </si>
  <si>
    <t>Warehouse_Location</t>
  </si>
  <si>
    <t>Last_Restocked</t>
  </si>
  <si>
    <t>Days_to_Expiry</t>
  </si>
  <si>
    <t>Adequate</t>
  </si>
  <si>
    <t>WH-A1</t>
  </si>
  <si>
    <t>15-Mar-25</t>
  </si>
  <si>
    <t>Low</t>
  </si>
  <si>
    <t>WH-A2</t>
  </si>
  <si>
    <t>10-Mar-25</t>
  </si>
  <si>
    <t>WH-B1</t>
  </si>
  <si>
    <t>20-Mar-25</t>
  </si>
  <si>
    <t>WH-B2</t>
  </si>
  <si>
    <t>05-Mar-25</t>
  </si>
  <si>
    <t>WH-C1</t>
  </si>
  <si>
    <t>22-Mar-25</t>
  </si>
  <si>
    <t>WH-D1</t>
  </si>
  <si>
    <t>18-Mar-25</t>
  </si>
  <si>
    <t>Critical</t>
  </si>
  <si>
    <t>01-Mar-25</t>
  </si>
  <si>
    <t>WH-E1</t>
  </si>
  <si>
    <t>25-Mar-25</t>
  </si>
  <si>
    <t>WH-E2</t>
  </si>
  <si>
    <t>WH-F1</t>
  </si>
  <si>
    <t>12-Mar-25</t>
  </si>
  <si>
    <t>08-Mar-25</t>
  </si>
  <si>
    <t>ZenithMart — Lookup Function Practice Worksheet (Complete the Yellow Cells)</t>
  </si>
  <si>
    <t>SECTION A — VLOOKUP: Retrieve Product Details from Product_Master</t>
  </si>
  <si>
    <t>💡 Syntax: =VLOOKUP(lookup_value, table_array, col_index_num, [range_lookup])</t>
  </si>
  <si>
    <t>SECTION B — INDEX-MATCH: Find Supplier Name &amp; Lead Time for a Given Product</t>
  </si>
  <si>
    <t>💡 Syntax: =INDEX(return_range, MATCH(lookup_value, lookup_range, 0))</t>
  </si>
  <si>
    <t>SECTION C — XLOOKUP: Retrieve Inventory Status &amp; Location</t>
  </si>
  <si>
    <t>💡 XLOOKUP Syntax: =XLOOKUP(lookup_value, lookup_array, return_array, [if_not_found])  |  Shown here as INDEX-MATCH for compatibility; use XLOOKUP in Microsoft 365 / Excel 2021+</t>
  </si>
  <si>
    <t>SECTION D — Combined Lookup: Enrich Sales Transactions with Product &amp; Supplier Info</t>
  </si>
  <si>
    <t>Name</t>
  </si>
  <si>
    <t>Selling Price</t>
  </si>
  <si>
    <t>Toor dal 1kg</t>
  </si>
  <si>
    <t>INDEX</t>
  </si>
  <si>
    <t>MATCH</t>
  </si>
  <si>
    <t>INDEX AND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</si>
</sst>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b/>
      <sz val="12"/>
      <color rgb="FFFFFFFF"/>
      <name val="Arial"/>
      <family val="2"/>
    </font>
    <font>
      <i/>
      <sz val="9"/>
      <color rgb="FF595959"/>
      <name val="Arial"/>
      <family val="2"/>
    </font>
    <font>
      <sz val="10"/>
      <color theme="1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FFFFFF"/>
        <bgColor rgb="FFFFF2C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9A84C"/>
        <bgColor rgb="FFFF9900"/>
      </patternFill>
    </fill>
    <fill>
      <patternFill patternType="solid">
        <fgColor rgb="FF2E4057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4" fontId="4" fillId="3" borderId="1" xfId="0" applyNumberFormat="1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" fontId="3" fillId="6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10" borderId="0" xfId="0" applyFill="1"/>
    <xf numFmtId="0" fontId="2" fillId="8" borderId="0" xfId="0" applyFont="1" applyFill="1" applyAlignment="1">
      <alignment horizontal="left" vertical="center"/>
    </xf>
    <xf numFmtId="0" fontId="6" fillId="0" borderId="0" xfId="0" applyFont="1"/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11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C9A84C"/>
      <rgbColor rgb="FF1F3864"/>
      <rgbColor rgb="FF339966"/>
      <rgbColor rgb="FF003300"/>
      <rgbColor rgb="FF333300"/>
      <rgbColor rgb="FF993300"/>
      <rgbColor rgb="FF993366"/>
      <rgbColor rgb="FF2E405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Normal="100" workbookViewId="0">
      <pane ySplit="2" topLeftCell="A3" activePane="bottomLeft" state="frozen"/>
      <selection pane="bottomLeft" activeCell="A2" sqref="A2:F3"/>
    </sheetView>
  </sheetViews>
  <sheetFormatPr defaultColWidth="8.6328125" defaultRowHeight="14.5"/>
  <cols>
    <col min="1" max="1" width="12" customWidth="1"/>
    <col min="2" max="2" width="28" customWidth="1"/>
    <col min="3" max="4" width="18" customWidth="1"/>
    <col min="5" max="5" width="20" customWidth="1"/>
    <col min="6" max="6" width="14" customWidth="1"/>
  </cols>
  <sheetData>
    <row r="1" spans="1:6" ht="15.75" customHeight="1">
      <c r="A1" s="19" t="s">
        <v>0</v>
      </c>
      <c r="B1" s="19"/>
      <c r="C1" s="19"/>
      <c r="D1" s="19"/>
      <c r="E1" s="19"/>
      <c r="F1" s="19"/>
    </row>
    <row r="2" spans="1:6" ht="1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customHeight="1">
      <c r="A3" s="2" t="s">
        <v>7</v>
      </c>
      <c r="B3" s="2" t="s">
        <v>8</v>
      </c>
      <c r="C3" s="2" t="s">
        <v>9</v>
      </c>
      <c r="D3" s="2">
        <v>220</v>
      </c>
      <c r="E3" s="2">
        <v>310</v>
      </c>
      <c r="F3" s="2" t="s">
        <v>10</v>
      </c>
    </row>
    <row r="4" spans="1:6" ht="15" customHeight="1">
      <c r="A4" s="3" t="s">
        <v>11</v>
      </c>
      <c r="B4" s="3" t="s">
        <v>12</v>
      </c>
      <c r="C4" s="3" t="s">
        <v>9</v>
      </c>
      <c r="D4" s="3">
        <v>110</v>
      </c>
      <c r="E4" s="3">
        <v>155</v>
      </c>
      <c r="F4" s="3" t="s">
        <v>10</v>
      </c>
    </row>
    <row r="5" spans="1:6" ht="15" customHeight="1">
      <c r="A5" s="2" t="s">
        <v>13</v>
      </c>
      <c r="B5" s="2" t="s">
        <v>14</v>
      </c>
      <c r="C5" s="2" t="s">
        <v>15</v>
      </c>
      <c r="D5" s="2">
        <v>145</v>
      </c>
      <c r="E5" s="2">
        <v>195</v>
      </c>
      <c r="F5" s="2" t="s">
        <v>16</v>
      </c>
    </row>
    <row r="6" spans="1:6" ht="15" customHeight="1">
      <c r="A6" s="3" t="s">
        <v>17</v>
      </c>
      <c r="B6" s="3" t="s">
        <v>18</v>
      </c>
      <c r="C6" s="3" t="s">
        <v>15</v>
      </c>
      <c r="D6" s="3">
        <v>180</v>
      </c>
      <c r="E6" s="3">
        <v>240</v>
      </c>
      <c r="F6" s="3" t="s">
        <v>19</v>
      </c>
    </row>
    <row r="7" spans="1:6" ht="15" customHeight="1">
      <c r="A7" s="2" t="s">
        <v>20</v>
      </c>
      <c r="B7" s="2" t="s">
        <v>21</v>
      </c>
      <c r="C7" s="2" t="s">
        <v>22</v>
      </c>
      <c r="D7" s="2">
        <v>65</v>
      </c>
      <c r="E7" s="2">
        <v>95</v>
      </c>
      <c r="F7" s="2" t="s">
        <v>23</v>
      </c>
    </row>
    <row r="8" spans="1:6" ht="15" customHeight="1">
      <c r="A8" s="3" t="s">
        <v>24</v>
      </c>
      <c r="B8" s="3" t="s">
        <v>25</v>
      </c>
      <c r="C8" s="3" t="s">
        <v>22</v>
      </c>
      <c r="D8" s="3">
        <v>48</v>
      </c>
      <c r="E8" s="3">
        <v>75</v>
      </c>
      <c r="F8" s="3" t="s">
        <v>23</v>
      </c>
    </row>
    <row r="9" spans="1:6" ht="15" customHeight="1">
      <c r="A9" s="2" t="s">
        <v>26</v>
      </c>
      <c r="B9" s="2" t="s">
        <v>27</v>
      </c>
      <c r="C9" s="2" t="s">
        <v>28</v>
      </c>
      <c r="D9" s="2">
        <v>40</v>
      </c>
      <c r="E9" s="2">
        <v>70</v>
      </c>
      <c r="F9" s="2" t="s">
        <v>29</v>
      </c>
    </row>
    <row r="10" spans="1:6" ht="15" customHeight="1">
      <c r="A10" s="3" t="s">
        <v>30</v>
      </c>
      <c r="B10" s="3" t="s">
        <v>31</v>
      </c>
      <c r="C10" s="3" t="s">
        <v>28</v>
      </c>
      <c r="D10" s="3">
        <v>55</v>
      </c>
      <c r="E10" s="3">
        <v>90</v>
      </c>
      <c r="F10" s="3" t="s">
        <v>29</v>
      </c>
    </row>
    <row r="11" spans="1:6" ht="15" customHeight="1">
      <c r="A11" s="2" t="s">
        <v>32</v>
      </c>
      <c r="B11" s="2" t="s">
        <v>33</v>
      </c>
      <c r="C11" s="2" t="s">
        <v>34</v>
      </c>
      <c r="D11" s="2">
        <v>30</v>
      </c>
      <c r="E11" s="2">
        <v>50</v>
      </c>
      <c r="F11" s="2" t="s">
        <v>35</v>
      </c>
    </row>
    <row r="12" spans="1:6" ht="15" customHeight="1">
      <c r="A12" s="3" t="s">
        <v>36</v>
      </c>
      <c r="B12" s="3" t="s">
        <v>37</v>
      </c>
      <c r="C12" s="3" t="s">
        <v>34</v>
      </c>
      <c r="D12" s="3">
        <v>25</v>
      </c>
      <c r="E12" s="3">
        <v>45</v>
      </c>
      <c r="F12" s="3" t="s">
        <v>35</v>
      </c>
    </row>
    <row r="13" spans="1:6" ht="15" customHeight="1">
      <c r="A13" s="2" t="s">
        <v>38</v>
      </c>
      <c r="B13" s="2" t="s">
        <v>39</v>
      </c>
      <c r="C13" s="2" t="s">
        <v>40</v>
      </c>
      <c r="D13" s="2">
        <v>120</v>
      </c>
      <c r="E13" s="2">
        <v>180</v>
      </c>
      <c r="F13" s="2" t="s">
        <v>41</v>
      </c>
    </row>
    <row r="14" spans="1:6" ht="15" customHeight="1">
      <c r="A14" s="3" t="s">
        <v>42</v>
      </c>
      <c r="B14" s="3" t="s">
        <v>43</v>
      </c>
      <c r="C14" s="3" t="s">
        <v>40</v>
      </c>
      <c r="D14" s="3">
        <v>210</v>
      </c>
      <c r="E14" s="3">
        <v>295</v>
      </c>
      <c r="F14" s="3" t="s">
        <v>41</v>
      </c>
    </row>
    <row r="17" spans="2:6">
      <c r="E17" t="s">
        <v>139</v>
      </c>
      <c r="F17" t="s">
        <v>141</v>
      </c>
    </row>
    <row r="18" spans="2:6">
      <c r="E18" t="s">
        <v>140</v>
      </c>
      <c r="F18" s="14">
        <f>INDEX(E2:E14,MATCH(F17,B2:B14,0))</f>
        <v>155</v>
      </c>
    </row>
    <row r="24" spans="2:6">
      <c r="B24" s="15" t="s">
        <v>142</v>
      </c>
      <c r="C24" s="15">
        <f>INDEX(E3:E14,4)</f>
        <v>240</v>
      </c>
    </row>
    <row r="25" spans="2:6">
      <c r="B25" s="15" t="s">
        <v>143</v>
      </c>
      <c r="C25" s="15">
        <f>MATCH("INSTANT COFFEE 100G",B3:B14,)</f>
        <v>12</v>
      </c>
    </row>
    <row r="26" spans="2:6">
      <c r="B26" s="15" t="s">
        <v>144</v>
      </c>
      <c r="C26" s="15">
        <f>INDEX(E3:E14,MATCH("GREEN TEA 50 BAGS",B3:B14,))</f>
        <v>180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Normal="100" workbookViewId="0">
      <pane ySplit="2" topLeftCell="A3" activePane="bottomLeft" state="frozen"/>
      <selection pane="bottomLeft" activeCell="A2" sqref="A2:E3"/>
    </sheetView>
  </sheetViews>
  <sheetFormatPr defaultColWidth="8.6328125" defaultRowHeight="14.5"/>
  <cols>
    <col min="1" max="1" width="14" customWidth="1"/>
    <col min="2" max="2" width="26" customWidth="1"/>
    <col min="3" max="3" width="16" customWidth="1"/>
    <col min="4" max="4" width="18" customWidth="1"/>
    <col min="5" max="5" width="16" customWidth="1"/>
  </cols>
  <sheetData>
    <row r="1" spans="1:5" ht="15.75" customHeight="1">
      <c r="A1" s="19" t="s">
        <v>44</v>
      </c>
      <c r="B1" s="19"/>
      <c r="C1" s="19"/>
      <c r="D1" s="19"/>
      <c r="E1" s="19"/>
    </row>
    <row r="2" spans="1:5" ht="15" customHeight="1">
      <c r="A2" s="1" t="s">
        <v>6</v>
      </c>
      <c r="B2" s="1" t="s">
        <v>45</v>
      </c>
      <c r="C2" s="1" t="s">
        <v>46</v>
      </c>
      <c r="D2" s="1" t="s">
        <v>47</v>
      </c>
      <c r="E2" s="1" t="s">
        <v>48</v>
      </c>
    </row>
    <row r="3" spans="1:5" ht="15" customHeight="1">
      <c r="A3" s="2" t="s">
        <v>10</v>
      </c>
      <c r="B3" s="2" t="s">
        <v>49</v>
      </c>
      <c r="C3" s="2" t="s">
        <v>50</v>
      </c>
      <c r="D3" s="2">
        <v>5</v>
      </c>
      <c r="E3" s="2">
        <v>8</v>
      </c>
    </row>
    <row r="4" spans="1:5" ht="15" customHeight="1">
      <c r="A4" s="3" t="s">
        <v>16</v>
      </c>
      <c r="B4" s="3" t="s">
        <v>51</v>
      </c>
      <c r="C4" s="3" t="s">
        <v>52</v>
      </c>
      <c r="D4" s="3">
        <v>7</v>
      </c>
      <c r="E4" s="3">
        <v>5</v>
      </c>
    </row>
    <row r="5" spans="1:5" ht="15" customHeight="1">
      <c r="A5" s="2" t="s">
        <v>19</v>
      </c>
      <c r="B5" s="2" t="s">
        <v>53</v>
      </c>
      <c r="C5" s="2" t="s">
        <v>50</v>
      </c>
      <c r="D5" s="2">
        <v>4</v>
      </c>
      <c r="E5" s="2">
        <v>10</v>
      </c>
    </row>
    <row r="6" spans="1:5" ht="15" customHeight="1">
      <c r="A6" s="3" t="s">
        <v>23</v>
      </c>
      <c r="B6" s="3" t="s">
        <v>54</v>
      </c>
      <c r="C6" s="3" t="s">
        <v>55</v>
      </c>
      <c r="D6" s="3">
        <v>3</v>
      </c>
      <c r="E6" s="3">
        <v>6</v>
      </c>
    </row>
    <row r="7" spans="1:5" ht="15" customHeight="1">
      <c r="A7" s="2" t="s">
        <v>29</v>
      </c>
      <c r="B7" s="2" t="s">
        <v>56</v>
      </c>
      <c r="C7" s="2" t="s">
        <v>57</v>
      </c>
      <c r="D7" s="2">
        <v>6</v>
      </c>
      <c r="E7" s="2">
        <v>4</v>
      </c>
    </row>
    <row r="8" spans="1:5" ht="15" customHeight="1">
      <c r="A8" s="3" t="s">
        <v>35</v>
      </c>
      <c r="B8" s="3" t="s">
        <v>58</v>
      </c>
      <c r="C8" s="3" t="s">
        <v>52</v>
      </c>
      <c r="D8" s="3">
        <v>2</v>
      </c>
      <c r="E8" s="3">
        <v>7</v>
      </c>
    </row>
    <row r="9" spans="1:5" ht="15" customHeight="1">
      <c r="A9" s="2" t="s">
        <v>41</v>
      </c>
      <c r="B9" s="2" t="s">
        <v>59</v>
      </c>
      <c r="C9" s="2" t="s">
        <v>60</v>
      </c>
      <c r="D9" s="2">
        <v>5</v>
      </c>
      <c r="E9" s="2">
        <v>9</v>
      </c>
    </row>
    <row r="13" spans="1:5">
      <c r="C13" s="20"/>
      <c r="D13" s="20"/>
      <c r="E13" s="20"/>
    </row>
    <row r="14" spans="1:5">
      <c r="C14" s="20">
        <f>INDEX(A3:E9, 5,4)</f>
        <v>6</v>
      </c>
      <c r="D14" s="20" t="str">
        <f ca="1">_xlfn.FORMULATEXT(C14)</f>
        <v>=INDEX(A3:E9, 5,4)</v>
      </c>
      <c r="E14" s="20"/>
    </row>
    <row r="15" spans="1:5">
      <c r="C15" s="20"/>
      <c r="D15" s="20"/>
      <c r="E15" s="20"/>
    </row>
    <row r="16" spans="1:5" ht="43.5">
      <c r="C16" s="20">
        <f>MATCH("FMCG Distributors", B3:B9, 0)</f>
        <v>4</v>
      </c>
      <c r="D16" s="20" t="str">
        <f ca="1">_xlfn.FORMULATEXT(C16)</f>
        <v>=MATCH("FMCG Distributors", B3:B9, 0)</v>
      </c>
      <c r="E16" s="20"/>
    </row>
    <row r="17" spans="3:5">
      <c r="C17" s="20"/>
      <c r="D17" s="20"/>
      <c r="E17" s="20"/>
    </row>
    <row r="18" spans="3:5" ht="43.5">
      <c r="C18" s="20">
        <f>INDEX(E3:E9,MATCH("OfficeLine Supplies",B3:B9,0))</f>
        <v>4</v>
      </c>
      <c r="D18" s="20" t="str">
        <f ca="1">_xlfn.FORMULATEXT(C18)</f>
        <v>=INDEX(E3:E9,MATCH("OfficeLine Supplies",B3:B9,0))</v>
      </c>
      <c r="E18" s="20"/>
    </row>
    <row r="19" spans="3:5">
      <c r="C19" s="20"/>
      <c r="D19" s="20"/>
      <c r="E19" s="20"/>
    </row>
    <row r="20" spans="3:5">
      <c r="C20" s="20"/>
      <c r="D20" s="20"/>
      <c r="E20" s="20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Normal="100" workbookViewId="0">
      <pane ySplit="2" topLeftCell="A3" activePane="bottomLeft" state="frozen"/>
      <selection pane="bottomLeft" activeCell="A2" sqref="A2:H2"/>
    </sheetView>
  </sheetViews>
  <sheetFormatPr defaultColWidth="8.6328125" defaultRowHeight="14.5"/>
  <cols>
    <col min="1" max="1" width="16" customWidth="1"/>
    <col min="2" max="3" width="14" customWidth="1"/>
    <col min="4" max="5" width="12" customWidth="1"/>
    <col min="6" max="6" width="18" customWidth="1"/>
    <col min="7" max="7" width="22" customWidth="1"/>
    <col min="8" max="8" width="20" customWidth="1"/>
  </cols>
  <sheetData>
    <row r="1" spans="1:8" ht="15.75" customHeight="1">
      <c r="A1" s="19" t="s">
        <v>61</v>
      </c>
      <c r="B1" s="19"/>
      <c r="C1" s="19"/>
      <c r="D1" s="19"/>
      <c r="E1" s="19"/>
      <c r="F1" s="19"/>
      <c r="G1" s="19"/>
      <c r="H1" s="19"/>
    </row>
    <row r="2" spans="1:8" ht="15" customHeight="1">
      <c r="A2" s="1" t="s">
        <v>62</v>
      </c>
      <c r="B2" s="1" t="s">
        <v>63</v>
      </c>
      <c r="C2" s="1" t="s">
        <v>1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</row>
    <row r="3" spans="1:8" ht="15" customHeight="1">
      <c r="A3" s="2" t="s">
        <v>69</v>
      </c>
      <c r="B3" s="2" t="s">
        <v>70</v>
      </c>
      <c r="C3" s="2" t="s">
        <v>7</v>
      </c>
      <c r="D3" s="2" t="s">
        <v>71</v>
      </c>
      <c r="E3" s="2">
        <v>50</v>
      </c>
      <c r="F3" s="2">
        <v>310</v>
      </c>
      <c r="G3" s="2">
        <v>5</v>
      </c>
      <c r="H3" s="4">
        <f t="shared" ref="H3:H22" si="0">E3*F3*(1-G3/100)</f>
        <v>14725</v>
      </c>
    </row>
    <row r="4" spans="1:8" ht="15" customHeight="1">
      <c r="A4" s="3" t="s">
        <v>72</v>
      </c>
      <c r="B4" s="3" t="s">
        <v>70</v>
      </c>
      <c r="C4" s="3" t="s">
        <v>13</v>
      </c>
      <c r="D4" s="3" t="s">
        <v>73</v>
      </c>
      <c r="E4" s="3">
        <v>30</v>
      </c>
      <c r="F4" s="3">
        <v>195</v>
      </c>
      <c r="G4" s="3">
        <v>0</v>
      </c>
      <c r="H4" s="5">
        <f t="shared" si="0"/>
        <v>5850</v>
      </c>
    </row>
    <row r="5" spans="1:8" ht="15" customHeight="1">
      <c r="A5" s="2" t="s">
        <v>74</v>
      </c>
      <c r="B5" s="2" t="s">
        <v>75</v>
      </c>
      <c r="C5" s="2" t="s">
        <v>20</v>
      </c>
      <c r="D5" s="2" t="s">
        <v>71</v>
      </c>
      <c r="E5" s="2">
        <v>80</v>
      </c>
      <c r="F5" s="2">
        <v>95</v>
      </c>
      <c r="G5" s="2">
        <v>10</v>
      </c>
      <c r="H5" s="4">
        <f t="shared" si="0"/>
        <v>6840</v>
      </c>
    </row>
    <row r="6" spans="1:8" ht="15" customHeight="1">
      <c r="A6" s="3" t="s">
        <v>76</v>
      </c>
      <c r="B6" s="3" t="s">
        <v>75</v>
      </c>
      <c r="C6" s="3" t="s">
        <v>32</v>
      </c>
      <c r="D6" s="3" t="s">
        <v>77</v>
      </c>
      <c r="E6" s="3">
        <v>120</v>
      </c>
      <c r="F6" s="3">
        <v>50</v>
      </c>
      <c r="G6" s="3">
        <v>0</v>
      </c>
      <c r="H6" s="5">
        <f t="shared" si="0"/>
        <v>6000</v>
      </c>
    </row>
    <row r="7" spans="1:8" ht="15" customHeight="1">
      <c r="A7" s="2" t="s">
        <v>78</v>
      </c>
      <c r="B7" s="2" t="s">
        <v>79</v>
      </c>
      <c r="C7" s="2" t="s">
        <v>11</v>
      </c>
      <c r="D7" s="2" t="s">
        <v>73</v>
      </c>
      <c r="E7" s="2">
        <v>60</v>
      </c>
      <c r="F7" s="2">
        <v>155</v>
      </c>
      <c r="G7" s="2">
        <v>5</v>
      </c>
      <c r="H7" s="4">
        <f t="shared" si="0"/>
        <v>8835</v>
      </c>
    </row>
    <row r="8" spans="1:8" ht="15" customHeight="1">
      <c r="A8" s="3" t="s">
        <v>80</v>
      </c>
      <c r="B8" s="3" t="s">
        <v>79</v>
      </c>
      <c r="C8" s="3" t="s">
        <v>38</v>
      </c>
      <c r="D8" s="3" t="s">
        <v>71</v>
      </c>
      <c r="E8" s="3">
        <v>40</v>
      </c>
      <c r="F8" s="3">
        <v>180</v>
      </c>
      <c r="G8" s="3">
        <v>8</v>
      </c>
      <c r="H8" s="5">
        <f t="shared" si="0"/>
        <v>6624</v>
      </c>
    </row>
    <row r="9" spans="1:8" ht="15" customHeight="1">
      <c r="A9" s="2" t="s">
        <v>81</v>
      </c>
      <c r="B9" s="2" t="s">
        <v>82</v>
      </c>
      <c r="C9" s="2" t="s">
        <v>26</v>
      </c>
      <c r="D9" s="2" t="s">
        <v>77</v>
      </c>
      <c r="E9" s="2">
        <v>25</v>
      </c>
      <c r="F9" s="2">
        <v>70</v>
      </c>
      <c r="G9" s="2">
        <v>0</v>
      </c>
      <c r="H9" s="4">
        <f t="shared" si="0"/>
        <v>1750</v>
      </c>
    </row>
    <row r="10" spans="1:8" ht="15" customHeight="1">
      <c r="A10" s="3" t="s">
        <v>83</v>
      </c>
      <c r="B10" s="3" t="s">
        <v>82</v>
      </c>
      <c r="C10" s="3" t="s">
        <v>17</v>
      </c>
      <c r="D10" s="3" t="s">
        <v>73</v>
      </c>
      <c r="E10" s="3">
        <v>35</v>
      </c>
      <c r="F10" s="3">
        <v>240</v>
      </c>
      <c r="G10" s="3">
        <v>10</v>
      </c>
      <c r="H10" s="5">
        <f t="shared" si="0"/>
        <v>7560</v>
      </c>
    </row>
    <row r="11" spans="1:8" ht="15" customHeight="1">
      <c r="A11" s="2" t="s">
        <v>84</v>
      </c>
      <c r="B11" s="2" t="s">
        <v>85</v>
      </c>
      <c r="C11" s="2" t="s">
        <v>42</v>
      </c>
      <c r="D11" s="2" t="s">
        <v>71</v>
      </c>
      <c r="E11" s="2">
        <v>20</v>
      </c>
      <c r="F11" s="2">
        <v>295</v>
      </c>
      <c r="G11" s="2">
        <v>5</v>
      </c>
      <c r="H11" s="4">
        <f t="shared" si="0"/>
        <v>5605</v>
      </c>
    </row>
    <row r="12" spans="1:8" ht="15" customHeight="1">
      <c r="A12" s="3" t="s">
        <v>86</v>
      </c>
      <c r="B12" s="3" t="s">
        <v>85</v>
      </c>
      <c r="C12" s="3" t="s">
        <v>24</v>
      </c>
      <c r="D12" s="3" t="s">
        <v>77</v>
      </c>
      <c r="E12" s="3">
        <v>90</v>
      </c>
      <c r="F12" s="3">
        <v>75</v>
      </c>
      <c r="G12" s="3">
        <v>0</v>
      </c>
      <c r="H12" s="5">
        <f t="shared" si="0"/>
        <v>6750</v>
      </c>
    </row>
    <row r="13" spans="1:8" ht="15" customHeight="1">
      <c r="A13" s="2" t="s">
        <v>87</v>
      </c>
      <c r="B13" s="2" t="s">
        <v>88</v>
      </c>
      <c r="C13" s="2" t="s">
        <v>36</v>
      </c>
      <c r="D13" s="2" t="s">
        <v>73</v>
      </c>
      <c r="E13" s="2">
        <v>150</v>
      </c>
      <c r="F13" s="2">
        <v>45</v>
      </c>
      <c r="G13" s="2">
        <v>0</v>
      </c>
      <c r="H13" s="4">
        <f t="shared" si="0"/>
        <v>6750</v>
      </c>
    </row>
    <row r="14" spans="1:8" ht="15" customHeight="1">
      <c r="A14" s="3" t="s">
        <v>89</v>
      </c>
      <c r="B14" s="3" t="s">
        <v>88</v>
      </c>
      <c r="C14" s="3" t="s">
        <v>30</v>
      </c>
      <c r="D14" s="3" t="s">
        <v>71</v>
      </c>
      <c r="E14" s="3">
        <v>45</v>
      </c>
      <c r="F14" s="3">
        <v>90</v>
      </c>
      <c r="G14" s="3">
        <v>5</v>
      </c>
      <c r="H14" s="5">
        <f t="shared" si="0"/>
        <v>3847.5</v>
      </c>
    </row>
    <row r="15" spans="1:8" ht="15" customHeight="1">
      <c r="A15" s="2" t="s">
        <v>90</v>
      </c>
      <c r="B15" s="2" t="s">
        <v>91</v>
      </c>
      <c r="C15" s="2" t="s">
        <v>7</v>
      </c>
      <c r="D15" s="2" t="s">
        <v>77</v>
      </c>
      <c r="E15" s="2">
        <v>70</v>
      </c>
      <c r="F15" s="2">
        <v>310</v>
      </c>
      <c r="G15" s="2">
        <v>5</v>
      </c>
      <c r="H15" s="4">
        <f t="shared" si="0"/>
        <v>20615</v>
      </c>
    </row>
    <row r="16" spans="1:8" ht="15" customHeight="1">
      <c r="A16" s="3" t="s">
        <v>92</v>
      </c>
      <c r="B16" s="3" t="s">
        <v>91</v>
      </c>
      <c r="C16" s="3" t="s">
        <v>13</v>
      </c>
      <c r="D16" s="3" t="s">
        <v>71</v>
      </c>
      <c r="E16" s="3">
        <v>25</v>
      </c>
      <c r="F16" s="3">
        <v>195</v>
      </c>
      <c r="G16" s="3">
        <v>0</v>
      </c>
      <c r="H16" s="5">
        <f t="shared" si="0"/>
        <v>4875</v>
      </c>
    </row>
    <row r="17" spans="1:8" ht="15" customHeight="1">
      <c r="A17" s="2" t="s">
        <v>93</v>
      </c>
      <c r="B17" s="2" t="s">
        <v>94</v>
      </c>
      <c r="C17" s="2" t="s">
        <v>11</v>
      </c>
      <c r="D17" s="2" t="s">
        <v>73</v>
      </c>
      <c r="E17" s="2">
        <v>55</v>
      </c>
      <c r="F17" s="2">
        <v>155</v>
      </c>
      <c r="G17" s="2">
        <v>5</v>
      </c>
      <c r="H17" s="4">
        <f t="shared" si="0"/>
        <v>8098.75</v>
      </c>
    </row>
    <row r="18" spans="1:8" ht="15" customHeight="1">
      <c r="A18" s="3" t="s">
        <v>95</v>
      </c>
      <c r="B18" s="3" t="s">
        <v>94</v>
      </c>
      <c r="C18" s="3" t="s">
        <v>38</v>
      </c>
      <c r="D18" s="3" t="s">
        <v>77</v>
      </c>
      <c r="E18" s="3">
        <v>30</v>
      </c>
      <c r="F18" s="3">
        <v>180</v>
      </c>
      <c r="G18" s="3">
        <v>8</v>
      </c>
      <c r="H18" s="5">
        <f t="shared" si="0"/>
        <v>4968</v>
      </c>
    </row>
    <row r="19" spans="1:8" ht="15" customHeight="1">
      <c r="A19" s="2" t="s">
        <v>96</v>
      </c>
      <c r="B19" s="2" t="s">
        <v>97</v>
      </c>
      <c r="C19" s="2" t="s">
        <v>20</v>
      </c>
      <c r="D19" s="2" t="s">
        <v>71</v>
      </c>
      <c r="E19" s="2">
        <v>65</v>
      </c>
      <c r="F19" s="2">
        <v>95</v>
      </c>
      <c r="G19" s="2">
        <v>10</v>
      </c>
      <c r="H19" s="4">
        <f t="shared" si="0"/>
        <v>5557.5</v>
      </c>
    </row>
    <row r="20" spans="1:8" ht="15" customHeight="1">
      <c r="A20" s="3" t="s">
        <v>98</v>
      </c>
      <c r="B20" s="3" t="s">
        <v>97</v>
      </c>
      <c r="C20" s="3" t="s">
        <v>32</v>
      </c>
      <c r="D20" s="3" t="s">
        <v>73</v>
      </c>
      <c r="E20" s="3">
        <v>200</v>
      </c>
      <c r="F20" s="3">
        <v>50</v>
      </c>
      <c r="G20" s="3">
        <v>0</v>
      </c>
      <c r="H20" s="5">
        <f t="shared" si="0"/>
        <v>10000</v>
      </c>
    </row>
    <row r="21" spans="1:8" ht="15" customHeight="1">
      <c r="A21" s="2" t="s">
        <v>99</v>
      </c>
      <c r="B21" s="2" t="s">
        <v>100</v>
      </c>
      <c r="C21" s="2" t="s">
        <v>17</v>
      </c>
      <c r="D21" s="2" t="s">
        <v>77</v>
      </c>
      <c r="E21" s="2">
        <v>20</v>
      </c>
      <c r="F21" s="2">
        <v>240</v>
      </c>
      <c r="G21" s="2">
        <v>10</v>
      </c>
      <c r="H21" s="4">
        <f t="shared" si="0"/>
        <v>4320</v>
      </c>
    </row>
    <row r="22" spans="1:8" ht="15" customHeight="1">
      <c r="A22" s="3" t="s">
        <v>101</v>
      </c>
      <c r="B22" s="3" t="s">
        <v>100</v>
      </c>
      <c r="C22" s="3" t="s">
        <v>42</v>
      </c>
      <c r="D22" s="3" t="s">
        <v>71</v>
      </c>
      <c r="E22" s="3">
        <v>15</v>
      </c>
      <c r="F22" s="3">
        <v>295</v>
      </c>
      <c r="G22" s="3">
        <v>5</v>
      </c>
      <c r="H22" s="5">
        <f t="shared" si="0"/>
        <v>4203.75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zoomScaleNormal="100" workbookViewId="0">
      <pane ySplit="2" topLeftCell="A3" activePane="bottomLeft" state="frozen"/>
      <selection pane="bottomLeft" sqref="A1:G1"/>
    </sheetView>
  </sheetViews>
  <sheetFormatPr defaultColWidth="8.6328125" defaultRowHeight="14.5"/>
  <cols>
    <col min="1" max="1" width="14" customWidth="1"/>
    <col min="2" max="2" width="18" customWidth="1"/>
    <col min="3" max="4" width="16" customWidth="1"/>
    <col min="5" max="5" width="20" customWidth="1"/>
    <col min="6" max="7" width="18" customWidth="1"/>
  </cols>
  <sheetData>
    <row r="1" spans="1:7" ht="15.75" customHeight="1">
      <c r="A1" s="19" t="s">
        <v>102</v>
      </c>
      <c r="B1" s="19"/>
      <c r="C1" s="19"/>
      <c r="D1" s="19"/>
      <c r="E1" s="19"/>
      <c r="F1" s="19"/>
      <c r="G1" s="19"/>
    </row>
    <row r="2" spans="1:7" ht="15" customHeight="1">
      <c r="A2" s="1" t="s">
        <v>1</v>
      </c>
      <c r="B2" s="1" t="s">
        <v>103</v>
      </c>
      <c r="C2" s="1" t="s">
        <v>104</v>
      </c>
      <c r="D2" s="1" t="s">
        <v>105</v>
      </c>
      <c r="E2" s="1" t="s">
        <v>106</v>
      </c>
      <c r="F2" s="1" t="s">
        <v>107</v>
      </c>
      <c r="G2" s="1" t="s">
        <v>108</v>
      </c>
    </row>
    <row r="3" spans="1:7" ht="15" customHeight="1">
      <c r="A3" s="6" t="s">
        <v>7</v>
      </c>
      <c r="B3" s="6">
        <v>80</v>
      </c>
      <c r="C3" s="6">
        <v>50</v>
      </c>
      <c r="D3" s="6" t="s">
        <v>109</v>
      </c>
      <c r="E3" s="6" t="s">
        <v>110</v>
      </c>
      <c r="F3" s="6" t="s">
        <v>111</v>
      </c>
      <c r="G3" s="6">
        <v>180</v>
      </c>
    </row>
    <row r="4" spans="1:7" ht="15" customHeight="1">
      <c r="A4" s="7" t="s">
        <v>11</v>
      </c>
      <c r="B4" s="7">
        <v>30</v>
      </c>
      <c r="C4" s="7">
        <v>40</v>
      </c>
      <c r="D4" s="8" t="s">
        <v>112</v>
      </c>
      <c r="E4" s="7" t="s">
        <v>113</v>
      </c>
      <c r="F4" s="7" t="s">
        <v>114</v>
      </c>
      <c r="G4" s="7">
        <v>365</v>
      </c>
    </row>
    <row r="5" spans="1:7" ht="15" customHeight="1">
      <c r="A5" s="6" t="s">
        <v>13</v>
      </c>
      <c r="B5" s="6">
        <v>120</v>
      </c>
      <c r="C5" s="6">
        <v>60</v>
      </c>
      <c r="D5" s="6" t="s">
        <v>109</v>
      </c>
      <c r="E5" s="6" t="s">
        <v>115</v>
      </c>
      <c r="F5" s="6" t="s">
        <v>116</v>
      </c>
      <c r="G5" s="6">
        <v>270</v>
      </c>
    </row>
    <row r="6" spans="1:7" ht="15" customHeight="1">
      <c r="A6" s="7" t="s">
        <v>17</v>
      </c>
      <c r="B6" s="7">
        <v>25</v>
      </c>
      <c r="C6" s="7">
        <v>30</v>
      </c>
      <c r="D6" s="8" t="s">
        <v>112</v>
      </c>
      <c r="E6" s="7" t="s">
        <v>117</v>
      </c>
      <c r="F6" s="7" t="s">
        <v>118</v>
      </c>
      <c r="G6" s="7">
        <v>365</v>
      </c>
    </row>
    <row r="7" spans="1:7" ht="15" customHeight="1">
      <c r="A7" s="6" t="s">
        <v>20</v>
      </c>
      <c r="B7" s="6">
        <v>200</v>
      </c>
      <c r="C7" s="6">
        <v>80</v>
      </c>
      <c r="D7" s="6" t="s">
        <v>109</v>
      </c>
      <c r="E7" s="6" t="s">
        <v>119</v>
      </c>
      <c r="F7" s="6" t="s">
        <v>120</v>
      </c>
      <c r="G7" s="6">
        <v>730</v>
      </c>
    </row>
    <row r="8" spans="1:7" ht="15" customHeight="1">
      <c r="A8" s="6" t="s">
        <v>24</v>
      </c>
      <c r="B8" s="6">
        <v>150</v>
      </c>
      <c r="C8" s="6">
        <v>70</v>
      </c>
      <c r="D8" s="6" t="s">
        <v>109</v>
      </c>
      <c r="E8" s="6" t="s">
        <v>119</v>
      </c>
      <c r="F8" s="6" t="s">
        <v>120</v>
      </c>
      <c r="G8" s="6">
        <v>365</v>
      </c>
    </row>
    <row r="9" spans="1:7" ht="15" customHeight="1">
      <c r="A9" s="6" t="s">
        <v>26</v>
      </c>
      <c r="B9" s="6">
        <v>60</v>
      </c>
      <c r="C9" s="6">
        <v>50</v>
      </c>
      <c r="D9" s="6" t="s">
        <v>109</v>
      </c>
      <c r="E9" s="6" t="s">
        <v>121</v>
      </c>
      <c r="F9" s="6" t="s">
        <v>122</v>
      </c>
      <c r="G9" s="6">
        <v>1095</v>
      </c>
    </row>
    <row r="10" spans="1:7" ht="15" customHeight="1">
      <c r="A10" s="9" t="s">
        <v>30</v>
      </c>
      <c r="B10" s="9">
        <v>15</v>
      </c>
      <c r="C10" s="9">
        <v>25</v>
      </c>
      <c r="D10" s="10" t="s">
        <v>123</v>
      </c>
      <c r="E10" s="9" t="s">
        <v>121</v>
      </c>
      <c r="F10" s="9" t="s">
        <v>124</v>
      </c>
      <c r="G10" s="9">
        <v>1095</v>
      </c>
    </row>
    <row r="11" spans="1:7" ht="15" customHeight="1">
      <c r="A11" s="6" t="s">
        <v>32</v>
      </c>
      <c r="B11" s="6">
        <v>300</v>
      </c>
      <c r="C11" s="6">
        <v>100</v>
      </c>
      <c r="D11" s="6" t="s">
        <v>109</v>
      </c>
      <c r="E11" s="6" t="s">
        <v>125</v>
      </c>
      <c r="F11" s="6" t="s">
        <v>126</v>
      </c>
      <c r="G11" s="6">
        <v>90</v>
      </c>
    </row>
    <row r="12" spans="1:7" ht="15" customHeight="1">
      <c r="A12" s="6" t="s">
        <v>36</v>
      </c>
      <c r="B12" s="6">
        <v>400</v>
      </c>
      <c r="C12" s="6">
        <v>120</v>
      </c>
      <c r="D12" s="6" t="s">
        <v>109</v>
      </c>
      <c r="E12" s="6" t="s">
        <v>127</v>
      </c>
      <c r="F12" s="6" t="s">
        <v>126</v>
      </c>
      <c r="G12" s="6">
        <v>120</v>
      </c>
    </row>
    <row r="13" spans="1:7" ht="15" customHeight="1">
      <c r="A13" s="6" t="s">
        <v>38</v>
      </c>
      <c r="B13" s="6">
        <v>45</v>
      </c>
      <c r="C13" s="6">
        <v>40</v>
      </c>
      <c r="D13" s="6" t="s">
        <v>109</v>
      </c>
      <c r="E13" s="6" t="s">
        <v>128</v>
      </c>
      <c r="F13" s="6" t="s">
        <v>129</v>
      </c>
      <c r="G13" s="6">
        <v>730</v>
      </c>
    </row>
    <row r="14" spans="1:7" ht="15" customHeight="1">
      <c r="A14" s="9" t="s">
        <v>42</v>
      </c>
      <c r="B14" s="9">
        <v>10</v>
      </c>
      <c r="C14" s="9">
        <v>20</v>
      </c>
      <c r="D14" s="10" t="s">
        <v>123</v>
      </c>
      <c r="E14" s="9" t="s">
        <v>128</v>
      </c>
      <c r="F14" s="9" t="s">
        <v>130</v>
      </c>
      <c r="G14" s="9">
        <v>365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"/>
  <sheetViews>
    <sheetView tabSelected="1" zoomScaleNormal="100" workbookViewId="0">
      <pane ySplit="2" topLeftCell="A14" activePane="bottomLeft" state="frozen"/>
      <selection pane="bottomLeft" activeCell="G36" sqref="G36"/>
    </sheetView>
  </sheetViews>
  <sheetFormatPr defaultColWidth="8.6328125" defaultRowHeight="14.5"/>
  <cols>
    <col min="1" max="1" width="16" customWidth="1"/>
    <col min="2" max="2" width="17.7265625" bestFit="1" customWidth="1"/>
    <col min="3" max="3" width="26" customWidth="1"/>
    <col min="4" max="4" width="18" customWidth="1"/>
    <col min="5" max="5" width="22" customWidth="1"/>
    <col min="6" max="6" width="20" customWidth="1"/>
    <col min="7" max="7" width="16" customWidth="1"/>
  </cols>
  <sheetData>
    <row r="1" spans="1:9" ht="15" customHeight="1">
      <c r="A1" s="18" t="s">
        <v>131</v>
      </c>
      <c r="B1" s="18"/>
      <c r="C1" s="18"/>
      <c r="D1" s="18"/>
      <c r="E1" s="18"/>
      <c r="F1" s="18"/>
      <c r="G1" s="18"/>
      <c r="H1" s="18"/>
      <c r="I1" s="18"/>
    </row>
    <row r="3" spans="1:9" ht="15" customHeight="1">
      <c r="A3" s="16" t="s">
        <v>132</v>
      </c>
      <c r="B3" s="16"/>
      <c r="C3" s="16"/>
      <c r="D3" s="16"/>
      <c r="E3" s="16"/>
      <c r="F3" s="16"/>
      <c r="G3" s="16"/>
      <c r="H3" s="16"/>
      <c r="I3" s="16"/>
    </row>
    <row r="4" spans="1:9" ht="15" customHeight="1">
      <c r="A4" s="11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</row>
    <row r="5" spans="1:9" ht="15" customHeight="1">
      <c r="A5" s="12" t="s">
        <v>13</v>
      </c>
      <c r="B5" s="7" t="str">
        <f>VLOOKUP(A5, Product_Master!A3:F14, 2, TRUE)</f>
        <v>Sunflower Oil 1L</v>
      </c>
      <c r="C5" s="7" t="str">
        <f>VLOOKUP(A5, Product_Master!A3:F14, 3, TRUE)</f>
        <v>Edible Oils</v>
      </c>
      <c r="D5" s="7">
        <f>VLOOKUP(A5, Product_Master!A3:F14, 4, TRUE)</f>
        <v>145</v>
      </c>
      <c r="E5" s="7">
        <f>VLOOKUP(A5, Product_Master!A3:F14, 5, TRUE)</f>
        <v>195</v>
      </c>
      <c r="F5" s="7" t="str">
        <f>VLOOKUP(A5, Product_Master!A3:F14, 6, TRUE)</f>
        <v>S102</v>
      </c>
    </row>
    <row r="6" spans="1:9" ht="15" customHeight="1">
      <c r="A6" s="12" t="s">
        <v>26</v>
      </c>
      <c r="B6" s="7" t="str">
        <f>VLOOKUP(A6, Product_Master!A4:F15, 2, TRUE)</f>
        <v>Notebook 200 pages</v>
      </c>
      <c r="C6" s="7" t="str">
        <f>VLOOKUP(A6, Product_Master!A4:F15, 3, TRUE)</f>
        <v>Stationery</v>
      </c>
      <c r="D6" s="7">
        <f>VLOOKUP(A6, Product_Master!A4:F15, 4, TRUE)</f>
        <v>40</v>
      </c>
      <c r="E6" s="7">
        <f>VLOOKUP(A6, Product_Master!A4:F15, 5, TRUE)</f>
        <v>70</v>
      </c>
      <c r="F6" s="7" t="str">
        <f>VLOOKUP(A6, Product_Master!A4:F15, 6, TRUE)</f>
        <v>S105</v>
      </c>
    </row>
    <row r="7" spans="1:9" ht="15" customHeight="1">
      <c r="A7" s="12" t="s">
        <v>36</v>
      </c>
      <c r="B7" s="7" t="str">
        <f>VLOOKUP(A7, Product_Master!A5:F16, 2, TRUE)</f>
        <v>Chips 150g</v>
      </c>
      <c r="C7" s="7" t="str">
        <f>VLOOKUP(A7, Product_Master!A5:F16, 3, TRUE)</f>
        <v>Snacks</v>
      </c>
      <c r="D7" s="7">
        <f>VLOOKUP(A7, Product_Master!A5:F16, 4, TRUE)</f>
        <v>25</v>
      </c>
      <c r="E7" s="7">
        <f>VLOOKUP(A7, Product_Master!A5:F16, 5, TRUE)</f>
        <v>45</v>
      </c>
      <c r="F7" s="7" t="str">
        <f>VLOOKUP(A7, Product_Master!A5:F16, 6, TRUE)</f>
        <v>S106</v>
      </c>
    </row>
    <row r="8" spans="1:9" ht="15" customHeight="1">
      <c r="A8" s="12" t="s">
        <v>42</v>
      </c>
      <c r="B8" s="7" t="str">
        <f>VLOOKUP(A8, Product_Master!A6:F17, 2, TRUE)</f>
        <v>Instant Coffee 100g</v>
      </c>
      <c r="C8" s="7" t="str">
        <f>VLOOKUP(A8, Product_Master!A6:F17, 3, TRUE)</f>
        <v>Beverages</v>
      </c>
      <c r="D8" s="7">
        <f>VLOOKUP(A8, Product_Master!A6:F17, 4, TRUE)</f>
        <v>210</v>
      </c>
      <c r="E8" s="7">
        <f>VLOOKUP(A8, Product_Master!A6:F17, 5, TRUE)</f>
        <v>295</v>
      </c>
      <c r="F8" s="7" t="str">
        <f>VLOOKUP(A8, Product_Master!A6:F17, 6, TRUE)</f>
        <v>S107</v>
      </c>
    </row>
    <row r="10" spans="1:9" ht="15" customHeight="1">
      <c r="A10" s="17" t="s">
        <v>133</v>
      </c>
      <c r="B10" s="17"/>
      <c r="C10" s="17"/>
      <c r="D10" s="17"/>
      <c r="E10" s="17"/>
      <c r="F10" s="17"/>
      <c r="G10" s="17"/>
      <c r="H10" s="17"/>
      <c r="I10" s="17"/>
    </row>
    <row r="12" spans="1:9" ht="15" customHeight="1">
      <c r="A12" s="16" t="s">
        <v>134</v>
      </c>
      <c r="B12" s="16"/>
      <c r="C12" s="16"/>
      <c r="D12" s="16"/>
      <c r="E12" s="16"/>
      <c r="F12" s="16"/>
      <c r="G12" s="16"/>
      <c r="H12" s="16"/>
      <c r="I12" s="16"/>
    </row>
    <row r="13" spans="1:9" ht="15" customHeight="1">
      <c r="A13" s="11" t="s">
        <v>1</v>
      </c>
      <c r="B13" s="11" t="s">
        <v>6</v>
      </c>
      <c r="C13" s="11" t="s">
        <v>45</v>
      </c>
      <c r="D13" s="11" t="s">
        <v>46</v>
      </c>
      <c r="E13" s="11" t="s">
        <v>47</v>
      </c>
      <c r="F13" s="11" t="s">
        <v>48</v>
      </c>
    </row>
    <row r="14" spans="1:9" ht="15" customHeight="1">
      <c r="A14" s="12" t="s">
        <v>7</v>
      </c>
      <c r="B14" s="7" t="str">
        <f>VLOOKUP(A14, Product_Master!A3:F14, 6, TRUE)</f>
        <v>S101</v>
      </c>
      <c r="C14" s="7" t="str">
        <f>INDEX(Supplier_Master!B3:B9, MATCH(B14, Supplier_Master!A3:A9, 0))</f>
        <v>AgroFresh Traders</v>
      </c>
      <c r="D14" s="7" t="str">
        <f>INDEX(Supplier_Master!C3:C9, MATCH(B14, Supplier_Master!A3:A9, 0))</f>
        <v>South India</v>
      </c>
      <c r="E14" s="7">
        <f>INDEX(Supplier_Master!D3:D9, MATCH(B14, Supplier_Master!A3:A9, 0))</f>
        <v>5</v>
      </c>
      <c r="F14" s="7">
        <f>INDEX(Supplier_Master!E3:E9, MATCH(C14, Supplier_Master!B3:B9, 0))</f>
        <v>8</v>
      </c>
    </row>
    <row r="15" spans="1:9" ht="15" customHeight="1">
      <c r="A15" s="12" t="s">
        <v>17</v>
      </c>
      <c r="B15" s="7" t="str">
        <f>VLOOKUP(A15, Product_Master!A4:F15, 6, TRUE)</f>
        <v>S103</v>
      </c>
      <c r="C15" s="7" t="str">
        <f>INDEX(Supplier_Master!B4:B10, MATCH(B15, Supplier_Master!A4:A10, 0))</f>
        <v>Kerala Naturals</v>
      </c>
      <c r="D15" s="7" t="str">
        <f>INDEX(Supplier_Master!C3:C9, MATCH(B15, Supplier_Master!A3:A9, 0))</f>
        <v>South India</v>
      </c>
      <c r="E15" s="7">
        <f>INDEX(Supplier_Master!D3:D9, MATCH(B15, Supplier_Master!A3:A9, 0))</f>
        <v>4</v>
      </c>
      <c r="F15" s="7">
        <f>INDEX(Supplier_Master!E3:E9, MATCH(C15, Supplier_Master!B3:B9, 0))</f>
        <v>10</v>
      </c>
    </row>
    <row r="16" spans="1:9" ht="15" customHeight="1">
      <c r="A16" s="12" t="s">
        <v>30</v>
      </c>
      <c r="B16" s="7" t="str">
        <f>VLOOKUP(A16, Product_Master!A5:F16, 6, TRUE)</f>
        <v>S105</v>
      </c>
      <c r="C16" s="7" t="str">
        <f>INDEX(Supplier_Master!B5:B11, MATCH(B16, Supplier_Master!A5:A11, 0))</f>
        <v>OfficeLine Supplies</v>
      </c>
      <c r="D16" s="7" t="str">
        <f>INDEX(Supplier_Master!C3:C9, MATCH(B16, Supplier_Master!A3:A9, 0))</f>
        <v>North India</v>
      </c>
      <c r="E16" s="7">
        <f>INDEX(Supplier_Master!D3:D9, MATCH(B16, Supplier_Master!A3:A9, 0))</f>
        <v>6</v>
      </c>
      <c r="F16" s="7">
        <f>INDEX(Supplier_Master!E3:E9, MATCH(C16, Supplier_Master!B3:B9, 0))</f>
        <v>4</v>
      </c>
    </row>
    <row r="17" spans="1:9" ht="15" customHeight="1">
      <c r="A17" s="12" t="s">
        <v>38</v>
      </c>
      <c r="B17" s="7" t="str">
        <f>VLOOKUP(A17, Product_Master!A6:F17, 6, TRUE)</f>
        <v>S107</v>
      </c>
      <c r="C17" s="7" t="str">
        <f>INDEX(Supplier_Master!B6:B12, MATCH(B17, Supplier_Master!A6:A12, 0))</f>
        <v>BevCraft India</v>
      </c>
      <c r="D17" s="7" t="str">
        <f>INDEX(Supplier_Master!C3:C9, MATCH(B17, Supplier_Master!A3:A9, 0))</f>
        <v>East India</v>
      </c>
      <c r="E17" s="7">
        <f>INDEX(Supplier_Master!D3:D9, MATCH(B17, Supplier_Master!A3:A9, 0))</f>
        <v>5</v>
      </c>
      <c r="F17" s="7">
        <f>INDEX(Supplier_Master!E3:E9, MATCH(C17, Supplier_Master!B3:B9, 0))</f>
        <v>9</v>
      </c>
    </row>
    <row r="19" spans="1:9" ht="15" customHeight="1">
      <c r="A19" s="17" t="s">
        <v>135</v>
      </c>
      <c r="B19" s="17"/>
      <c r="C19" s="17"/>
      <c r="D19" s="17"/>
      <c r="E19" s="17"/>
      <c r="F19" s="17"/>
      <c r="G19" s="17"/>
      <c r="H19" s="17"/>
      <c r="I19" s="17"/>
    </row>
    <row r="21" spans="1:9" ht="15" customHeight="1">
      <c r="A21" s="16" t="s">
        <v>136</v>
      </c>
      <c r="B21" s="16"/>
      <c r="C21" s="16"/>
      <c r="D21" s="16"/>
      <c r="E21" s="16"/>
      <c r="F21" s="16"/>
      <c r="G21" s="16"/>
      <c r="H21" s="16"/>
      <c r="I21" s="16"/>
    </row>
    <row r="22" spans="1:9" ht="15" customHeight="1">
      <c r="A22" s="11" t="s">
        <v>1</v>
      </c>
      <c r="B22" s="11" t="s">
        <v>2</v>
      </c>
      <c r="C22" s="11" t="s">
        <v>103</v>
      </c>
      <c r="D22" s="11" t="s">
        <v>104</v>
      </c>
      <c r="E22" s="11" t="s">
        <v>105</v>
      </c>
      <c r="F22" s="11" t="s">
        <v>106</v>
      </c>
    </row>
    <row r="23" spans="1:9" ht="15" customHeight="1">
      <c r="A23" s="12" t="s">
        <v>11</v>
      </c>
      <c r="B23" s="7" t="str">
        <f>_xlfn.XLOOKUP(A23, Product_Master!A3:A14, Product_Master!B3:B14, "not found",0)</f>
        <v>Toor Dal 1kg</v>
      </c>
      <c r="C23" s="7">
        <f>_xlfn.XLOOKUP(A23, Inventory_Status!A3:A14, Inventory_Status!B3:B14, "not found",0)</f>
        <v>30</v>
      </c>
      <c r="D23" s="7">
        <f>_xlfn.XLOOKUP(A23, Inventory_Status!A3:A14, Inventory_Status!C3:C14, "not found",0)</f>
        <v>40</v>
      </c>
      <c r="E23" s="7" t="str">
        <f>_xlfn.XLOOKUP(A23, Inventory_Status!A3:A14, Inventory_Status!D3:D14, "not found",0)</f>
        <v>Low</v>
      </c>
      <c r="F23" s="7" t="str">
        <f>_xlfn.XLOOKUP(A23, Inventory_Status!A3:A14, Inventory_Status!E3:E14, "not found",0)</f>
        <v>WH-A2</v>
      </c>
    </row>
    <row r="24" spans="1:9" ht="15" customHeight="1">
      <c r="A24" s="12" t="s">
        <v>24</v>
      </c>
      <c r="B24" s="7" t="str">
        <f>_xlfn.XLOOKUP(A24, Product_Master!A3:A14, Product_Master!B3:B14, "not found",0)</f>
        <v>Dove Soap 100g</v>
      </c>
      <c r="C24" s="7">
        <f>_xlfn.XLOOKUP(A24, Inventory_Status!A3:A14, Inventory_Status!B3:B14, "not found",0)</f>
        <v>150</v>
      </c>
      <c r="D24" s="7">
        <f>_xlfn.XLOOKUP(A24, Inventory_Status!A3:A14, Inventory_Status!C3:C14, "not found",0)</f>
        <v>70</v>
      </c>
      <c r="E24" s="7" t="str">
        <f>_xlfn.XLOOKUP(A24, Inventory_Status!A3:A14, Inventory_Status!D3:D14, "not found",0)</f>
        <v>Adequate</v>
      </c>
      <c r="F24" s="7" t="str">
        <f>_xlfn.XLOOKUP(A24, Inventory_Status!A3:A14, Inventory_Status!E3:E14, "not found",0)</f>
        <v>WH-C1</v>
      </c>
    </row>
    <row r="25" spans="1:9" ht="15" customHeight="1">
      <c r="A25" s="12" t="s">
        <v>30</v>
      </c>
      <c r="B25" s="7" t="str">
        <f>_xlfn.XLOOKUP(A25, Product_Master!A3:A14, Product_Master!B3:B14, "not found",0)</f>
        <v>Ball Pen Box (10pcs)</v>
      </c>
      <c r="C25" s="7">
        <f>_xlfn.XLOOKUP(A25, Inventory_Status!A3:A14, Inventory_Status!B3:B14, "not found",0)</f>
        <v>15</v>
      </c>
      <c r="D25" s="7">
        <f>_xlfn.XLOOKUP(A25, Inventory_Status!A3:A14, Inventory_Status!C3:C14, "not found",0)</f>
        <v>25</v>
      </c>
      <c r="E25" s="7" t="str">
        <f>_xlfn.XLOOKUP(A25, Inventory_Status!A3:A14, Inventory_Status!D3:D14, "not found",0)</f>
        <v>Critical</v>
      </c>
      <c r="F25" s="7" t="str">
        <f>_xlfn.XLOOKUP(A25, Inventory_Status!A3:A14, Inventory_Status!E3:E14, "not found",0)</f>
        <v>WH-D1</v>
      </c>
    </row>
    <row r="26" spans="1:9" ht="15" customHeight="1">
      <c r="A26" s="12" t="s">
        <v>42</v>
      </c>
      <c r="B26" s="7" t="str">
        <f>_xlfn.XLOOKUP(A26, Product_Master!A3:A14, Product_Master!B3:B14, "not found",0)</f>
        <v>Instant Coffee 100g</v>
      </c>
      <c r="C26" s="7">
        <f>_xlfn.XLOOKUP(A26, Inventory_Status!A3:A14, Inventory_Status!B3:B14, "not found",0)</f>
        <v>10</v>
      </c>
      <c r="D26" s="7">
        <f>_xlfn.XLOOKUP(A26, Inventory_Status!A3:A14, Inventory_Status!C3:C14, "not found",0)</f>
        <v>20</v>
      </c>
      <c r="E26" s="7" t="str">
        <f>_xlfn.XLOOKUP(A26, Inventory_Status!A3:A14, Inventory_Status!D3:D14, "not found",0)</f>
        <v>Critical</v>
      </c>
      <c r="F26" s="7" t="str">
        <f>_xlfn.XLOOKUP(A26, Inventory_Status!A3:A14, Inventory_Status!E3:E14, "not found",0)</f>
        <v>WH-F1</v>
      </c>
    </row>
    <row r="28" spans="1:9" ht="15" customHeight="1">
      <c r="A28" s="17" t="s">
        <v>137</v>
      </c>
      <c r="B28" s="17"/>
      <c r="C28" s="17"/>
      <c r="D28" s="17"/>
      <c r="E28" s="17"/>
      <c r="F28" s="17"/>
      <c r="G28" s="17"/>
      <c r="H28" s="17"/>
      <c r="I28" s="17"/>
    </row>
    <row r="30" spans="1:9" ht="15" customHeight="1">
      <c r="A30" s="16" t="s">
        <v>138</v>
      </c>
      <c r="B30" s="16"/>
      <c r="C30" s="16"/>
      <c r="D30" s="16"/>
      <c r="E30" s="16"/>
      <c r="F30" s="16"/>
      <c r="G30" s="16"/>
      <c r="H30" s="16"/>
      <c r="I30" s="16"/>
    </row>
    <row r="31" spans="1:9" ht="15" customHeight="1">
      <c r="A31" s="11" t="s">
        <v>62</v>
      </c>
      <c r="B31" s="11" t="s">
        <v>1</v>
      </c>
      <c r="C31" s="11" t="s">
        <v>2</v>
      </c>
      <c r="D31" s="11" t="s">
        <v>3</v>
      </c>
      <c r="E31" s="11" t="s">
        <v>45</v>
      </c>
      <c r="F31" s="11" t="s">
        <v>68</v>
      </c>
      <c r="G31" s="11" t="s">
        <v>105</v>
      </c>
    </row>
    <row r="32" spans="1:9" ht="15" customHeight="1">
      <c r="A32" s="12" t="s">
        <v>69</v>
      </c>
      <c r="B32" s="21" t="str">
        <f>_xlfn.XLOOKUP(A32, Sales_Transactions!A3:A22, Sales_Transactions!C3:C22, "not found",0)</f>
        <v>P001</v>
      </c>
      <c r="C32" s="7" t="str">
        <f>_xlfn.XLOOKUP(B32, Product_Master!A3:A14, Product_Master!B3:B14, "not found",0)</f>
        <v>Basmati Rice 5kg</v>
      </c>
      <c r="D32" s="7" t="str">
        <f>_xlfn.XLOOKUP(B32, Product_Master!A3:A14, Product_Master!C3:C14, "not found",0)</f>
        <v>Staples</v>
      </c>
      <c r="E32" s="7" t="str">
        <f>_xlfn.XLOOKUP(_xlfn.XLOOKUP(B32, Product_Master!A:A, Product_Master!F:F, "not found", 0),Supplier_Master!A:A,Supplier_Master!B:B,"not found",0)</f>
        <v>AgroFresh Traders</v>
      </c>
      <c r="F32" s="13">
        <f>_xlfn.XLOOKUP(A32, Sales_Transactions!A3:A22, Sales_Transactions!H3:H22, "not found",0)</f>
        <v>14725</v>
      </c>
      <c r="G32" s="7" t="str">
        <f>_xlfn.XLOOKUP(B32, Inventory_Status!A3:A14, Inventory_Status!D3:D14, "not found",0)</f>
        <v>Adequate</v>
      </c>
    </row>
    <row r="33" spans="1:7" ht="15" customHeight="1">
      <c r="A33" s="12" t="s">
        <v>76</v>
      </c>
      <c r="B33" s="21" t="str">
        <f>_xlfn.XLOOKUP(A33, Sales_Transactions!A3:A22, Sales_Transactions!C3:C22, "not found",0)</f>
        <v>P009</v>
      </c>
      <c r="C33" s="7" t="str">
        <f>_xlfn.XLOOKUP(B33, Product_Master!A3:A14, Product_Master!B3:B14, "not found",0)</f>
        <v>Biscuit Pack 250g</v>
      </c>
      <c r="D33" s="7" t="str">
        <f>_xlfn.XLOOKUP(B33, Product_Master!A3:A14, Product_Master!C3:C14, "not found",0)</f>
        <v>Snacks</v>
      </c>
      <c r="E33" s="7" t="str">
        <f>_xlfn.XLOOKUP(_xlfn.XLOOKUP(B33, Product_Master!A:A, Product_Master!F:F, "not found", 0),Supplier_Master!A:A,Supplier_Master!B:B,"not found",0)</f>
        <v>SnackWave Co.</v>
      </c>
      <c r="F33" s="13">
        <f>_xlfn.XLOOKUP(A33, Sales_Transactions!A3:A22, Sales_Transactions!H3:H22, "not found",0)</f>
        <v>6000</v>
      </c>
      <c r="G33" s="7" t="str">
        <f>_xlfn.XLOOKUP(B33, Inventory_Status!A3:A14, Inventory_Status!D3:D14, "not found",0)</f>
        <v>Adequate</v>
      </c>
    </row>
    <row r="34" spans="1:7" ht="15" customHeight="1">
      <c r="A34" s="12" t="s">
        <v>83</v>
      </c>
      <c r="B34" s="21" t="str">
        <f>_xlfn.XLOOKUP(A34, Sales_Transactions!A3:A22, Sales_Transactions!C3:C22, "not found",0)</f>
        <v>P004</v>
      </c>
      <c r="C34" s="7" t="str">
        <f>_xlfn.XLOOKUP(B34, Product_Master!A3:A14, Product_Master!B3:B14, "not found",0)</f>
        <v>Coconut Oil 500ml</v>
      </c>
      <c r="D34" s="7" t="str">
        <f>_xlfn.XLOOKUP(B34, Product_Master!A3:A14, Product_Master!C3:C14, "not found",0)</f>
        <v>Edible Oils</v>
      </c>
      <c r="E34" s="7" t="str">
        <f>_xlfn.XLOOKUP(_xlfn.XLOOKUP(B34, Product_Master!A:A, Product_Master!F:F, "not found", 0),Supplier_Master!A:A,Supplier_Master!B:B,"not found",0)</f>
        <v>Kerala Naturals</v>
      </c>
      <c r="F34" s="13">
        <f>_xlfn.XLOOKUP(A34, Sales_Transactions!A3:A22, Sales_Transactions!H3:H22, "not found",0)</f>
        <v>7560</v>
      </c>
      <c r="G34" s="7" t="str">
        <f>_xlfn.XLOOKUP(B34, Inventory_Status!A3:A14, Inventory_Status!D3:D14, "not found",0)</f>
        <v>Low</v>
      </c>
    </row>
    <row r="35" spans="1:7" ht="15" customHeight="1">
      <c r="A35" s="12" t="s">
        <v>89</v>
      </c>
      <c r="B35" s="21" t="str">
        <f>_xlfn.XLOOKUP(A35, Sales_Transactions!A3:A22, Sales_Transactions!C3:C22, "not found",0)</f>
        <v>P008</v>
      </c>
      <c r="C35" s="7" t="str">
        <f>_xlfn.XLOOKUP(B35, Product_Master!A3:A14, Product_Master!B3:B14, "not found",0)</f>
        <v>Ball Pen Box (10pcs)</v>
      </c>
      <c r="D35" s="7" t="str">
        <f>_xlfn.XLOOKUP(B35, Product_Master!A3:A14, Product_Master!C3:C14, "not found",0)</f>
        <v>Stationery</v>
      </c>
      <c r="E35" s="7" t="str">
        <f>_xlfn.XLOOKUP(_xlfn.XLOOKUP(B35, Product_Master!A:A, Product_Master!F:F, "not found", 0),Supplier_Master!A:A,Supplier_Master!B:B,"not found",0)</f>
        <v>OfficeLine Supplies</v>
      </c>
      <c r="F35" s="13">
        <f>_xlfn.XLOOKUP(A35, Sales_Transactions!A3:A22, Sales_Transactions!H3:H22, "not found",0)</f>
        <v>3847.5</v>
      </c>
      <c r="G35" s="7" t="str">
        <f>_xlfn.XLOOKUP(B35, Inventory_Status!A3:A14, Inventory_Status!D3:D14, "not found",0)</f>
        <v>Critical</v>
      </c>
    </row>
    <row r="36" spans="1:7" ht="15" customHeight="1">
      <c r="A36" s="12" t="s">
        <v>101</v>
      </c>
      <c r="B36" s="21" t="str">
        <f>_xlfn.XLOOKUP(A36, Sales_Transactions!A3:A22, Sales_Transactions!C3:C22, "not found",0)</f>
        <v>P012</v>
      </c>
      <c r="C36" s="7" t="str">
        <f>_xlfn.XLOOKUP(B36, Product_Master!A3:A14, Product_Master!B3:B14, "not found",0)</f>
        <v>Instant Coffee 100g</v>
      </c>
      <c r="D36" s="7" t="str">
        <f>_xlfn.XLOOKUP(B36, Product_Master!A3:A14, Product_Master!C3:C14, "not found",0)</f>
        <v>Beverages</v>
      </c>
      <c r="E36" s="7" t="str">
        <f>_xlfn.XLOOKUP(_xlfn.XLOOKUP(B36, Product_Master!A:A, Product_Master!F:F, "not found", 0),Supplier_Master!A:A,Supplier_Master!B:B,"not found",0)</f>
        <v>BevCraft India</v>
      </c>
      <c r="F36" s="13">
        <f>_xlfn.XLOOKUP(A36, Sales_Transactions!A3:A22, Sales_Transactions!H3:H22, "not found",0)</f>
        <v>4203.75</v>
      </c>
      <c r="G36" s="7" t="str">
        <f>_xlfn.XLOOKUP(B36, Inventory_Status!A3:A14, Inventory_Status!D3:D14, "not found",0)</f>
        <v>Critical</v>
      </c>
    </row>
  </sheetData>
  <mergeCells count="8">
    <mergeCell ref="A21:I21"/>
    <mergeCell ref="A28:I28"/>
    <mergeCell ref="A30:I30"/>
    <mergeCell ref="A1:I1"/>
    <mergeCell ref="A3:I3"/>
    <mergeCell ref="A10:I10"/>
    <mergeCell ref="A12:I12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Product_Master</vt:lpstr>
      <vt:lpstr>Supplier_Master</vt:lpstr>
      <vt:lpstr>Sales_Transactions</vt:lpstr>
      <vt:lpstr>Inventory_Status</vt:lpstr>
      <vt:lpstr>Lookup_Practice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Naman Jain</cp:lastModifiedBy>
  <cp:revision>0</cp:revision>
  <dcterms:created xsi:type="dcterms:W3CDTF">2026-05-05T02:36:24Z</dcterms:created>
  <dcterms:modified xsi:type="dcterms:W3CDTF">2026-05-25T14:57:00Z</dcterms:modified>
  <dc:language>en-US</dc:language>
</cp:coreProperties>
</file>