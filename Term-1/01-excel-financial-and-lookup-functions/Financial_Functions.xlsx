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EFF9354-B608-4604-A12D-35F445DB1BA6}" xr6:coauthVersionLast="47" xr6:coauthVersionMax="47" xr10:uidLastSave="{00000000-0000-0000-0000-000000000000}"/>
  <bookViews>
    <workbookView xWindow="-90" yWindow="0" windowWidth="12980" windowHeight="15370" tabRatio="821" activeTab="3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state="hidden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6" l="1"/>
  <c r="F14" i="6"/>
  <c r="E13" i="10"/>
  <c r="E11" i="16"/>
  <c r="E14" i="14"/>
  <c r="E14" i="12"/>
  <c r="D14" i="9"/>
  <c r="D16" i="8"/>
  <c r="E13" i="7"/>
  <c r="E11" i="2"/>
  <c r="E12" i="15" l="1"/>
  <c r="E11" i="15"/>
  <c r="E14" i="13"/>
  <c r="E12" i="11"/>
  <c r="D16" i="5"/>
  <c r="D15" i="5"/>
  <c r="D14" i="5"/>
  <c r="E12" i="4"/>
  <c r="F10" i="3"/>
  <c r="B12" i="1"/>
</calcChain>
</file>

<file path=xl/sharedStrings.xml><?xml version="1.0" encoding="utf-8"?>
<sst xmlns="http://schemas.openxmlformats.org/spreadsheetml/2006/main" count="131" uniqueCount="53">
  <si>
    <t>Sarah wants to buy a car for $35,000. The dealer offers a 5-year loan at 4.8% APR. Calculate her monthly payment.</t>
  </si>
  <si>
    <t>rate</t>
  </si>
  <si>
    <t>nper</t>
  </si>
  <si>
    <t>pv</t>
  </si>
  <si>
    <t>fv</t>
  </si>
  <si>
    <t>type</t>
  </si>
  <si>
    <t>pmt</t>
  </si>
  <si>
    <t>Use Case 2 (The Early Bird Variation): Sarah discovers her credit union requires payments at the beginning of the month. How does this change the payment?
Formula: =PMT(4.8%/12, 5*12, 35000, 0, 1)</t>
  </si>
  <si>
    <t>Use Case 3 (The investment): Sarah sets a goal to have $100,000 in her investment account in 15 years. She starts with her $10,000 bonus as the initial balance. If she expects an average annual return of 8%, how much must she contribute at the beginning of every month to hit her target?</t>
  </si>
  <si>
    <t>Use Case 1 (The Home Equity Check): 
David has a $300,000 mortgage at 4% interest for 30 years. By first years, how much of his payment actually goes toward the house?</t>
  </si>
  <si>
    <t>per</t>
  </si>
  <si>
    <t xml:space="preserve">Note: </t>
  </si>
  <si>
    <t>Why is it slightly less than before?</t>
  </si>
  <si>
    <t>End of Month (Type=0)</t>
  </si>
  <si>
    <t>Beginning of Month (Type=1)</t>
  </si>
  <si>
    <t>Monthly Payment</t>
  </si>
  <si>
    <t>Total Paid (×60)</t>
  </si>
  <si>
    <t>Total Interest</t>
  </si>
  <si>
    <t>Savings</t>
  </si>
  <si>
    <t>—</t>
  </si>
  <si>
    <t>The Logic Behind It:</t>
  </si>
  <si>
    <r>
      <t xml:space="preserve">When Sarah pays at the </t>
    </r>
    <r>
      <rPr>
        <b/>
        <sz val="11"/>
        <color theme="1"/>
        <rFont val="Calibri"/>
        <family val="2"/>
        <scheme val="minor"/>
      </rPr>
      <t>beginning</t>
    </r>
    <r>
      <rPr>
        <sz val="11"/>
        <color theme="1"/>
        <rFont val="Calibri"/>
        <family val="2"/>
        <scheme val="minor"/>
      </rPr>
      <t xml:space="preserve"> of the month, her payment reaches the bank </t>
    </r>
    <r>
      <rPr>
        <b/>
        <sz val="11"/>
        <color theme="1"/>
        <rFont val="Calibri"/>
        <family val="2"/>
        <scheme val="minor"/>
      </rPr>
      <t>earlier</t>
    </r>
    <r>
      <rPr>
        <sz val="11"/>
        <color theme="1"/>
        <rFont val="Calibri"/>
        <family val="2"/>
        <scheme val="minor"/>
      </rPr>
      <t>, meaning:</t>
    </r>
  </si>
  <si>
    <r>
      <t xml:space="preserve">The bank receives money </t>
    </r>
    <r>
      <rPr>
        <b/>
        <sz val="11"/>
        <color theme="1"/>
        <rFont val="Calibri"/>
        <family val="2"/>
        <scheme val="minor"/>
      </rPr>
      <t>sooner</t>
    </r>
  </si>
  <si>
    <r>
      <t xml:space="preserve">Less interest </t>
    </r>
    <r>
      <rPr>
        <b/>
        <sz val="11"/>
        <color theme="1"/>
        <rFont val="Calibri"/>
        <family val="2"/>
        <scheme val="minor"/>
      </rPr>
      <t>accumulates</t>
    </r>
    <r>
      <rPr>
        <sz val="11"/>
        <color theme="1"/>
        <rFont val="Calibri"/>
        <family val="2"/>
        <scheme val="minor"/>
      </rPr>
      <t xml:space="preserve"> on the remaining balance</t>
    </r>
  </si>
  <si>
    <r>
      <t xml:space="preserve">Therefore, each payment can be </t>
    </r>
    <r>
      <rPr>
        <b/>
        <sz val="11"/>
        <color theme="1"/>
        <rFont val="Calibri"/>
        <family val="2"/>
        <scheme val="minor"/>
      </rPr>
      <t>slightly smaller</t>
    </r>
    <r>
      <rPr>
        <sz val="11"/>
        <color theme="1"/>
        <rFont val="Calibri"/>
        <family val="2"/>
        <scheme val="minor"/>
      </rPr>
      <t xml:space="preserve"> and still clear the loan</t>
    </r>
  </si>
  <si>
    <r>
      <t xml:space="preserve">Think of it this way — paying early is like giving the bank a </t>
    </r>
    <r>
      <rPr>
        <b/>
        <sz val="11"/>
        <color theme="1"/>
        <rFont val="Calibri"/>
        <family val="2"/>
        <scheme val="minor"/>
      </rPr>
      <t>head start</t>
    </r>
    <r>
      <rPr>
        <sz val="11"/>
        <color theme="1"/>
        <rFont val="Calibri"/>
        <family val="2"/>
        <scheme val="minor"/>
      </rPr>
      <t>, so they charge you a little less for it.</t>
    </r>
  </si>
  <si>
    <t>The One-Line Takeaway:</t>
  </si>
  <si>
    <r>
      <t xml:space="preserve">Paying at the </t>
    </r>
    <r>
      <rPr>
        <b/>
        <sz val="11"/>
        <color theme="1"/>
        <rFont val="Calibri"/>
        <family val="2"/>
        <scheme val="minor"/>
      </rPr>
      <t>start</t>
    </r>
    <r>
      <rPr>
        <sz val="11"/>
        <color theme="1"/>
        <rFont val="Calibri"/>
        <family val="2"/>
        <scheme val="minor"/>
      </rPr>
      <t xml:space="preserve"> of the month saves Sarah </t>
    </r>
    <r>
      <rPr>
        <b/>
        <sz val="11"/>
        <color theme="1"/>
        <rFont val="Calibri"/>
        <family val="2"/>
        <scheme val="minor"/>
      </rPr>
      <t>₹157.20</t>
    </r>
    <r>
      <rPr>
        <sz val="11"/>
        <color theme="1"/>
        <rFont val="Calibri"/>
        <family val="2"/>
        <scheme val="minor"/>
      </rPr>
      <t xml:space="preserve"> over the life of the loan — same loan, same rate, just a </t>
    </r>
    <r>
      <rPr>
        <b/>
        <sz val="11"/>
        <color theme="1"/>
        <rFont val="Calibri"/>
        <family val="2"/>
        <scheme val="minor"/>
      </rPr>
      <t>timing difference</t>
    </r>
    <r>
      <rPr>
        <sz val="11"/>
        <color theme="1"/>
        <rFont val="Calibri"/>
        <family val="2"/>
        <scheme val="minor"/>
      </rPr>
      <t>.</t>
    </r>
  </si>
  <si>
    <t>Use Case 2 (The Wealth Builder):
David wants to have $100,000 in 10 years. He is using a savings plan where he contributes a fixed amount monthly at 6% annual interest. He wants to know: in the very last month (Month 120) of his plan, how much of the growth is coming from his own pocket versus the interest he has earned?</t>
  </si>
  <si>
    <t>Use Case 1 (The Wealth Builder):
David wants to have $100,000 in 10 years. He is using a savings plan where he contributes a fixed amount monthly at 6% annual interest. He wants to know: in the very last month (Month 120) of his plan, how much of the growth is coming from his own pocket versus the interest he has earned?</t>
  </si>
  <si>
    <t>Use Case 2 (Tax Deduction Prep): 
A landlord has a $500,000 commercial loan at 5.5% for 20 years. Interest is tax-deductible. What is the interest cost in Month 1?</t>
  </si>
  <si>
    <t>Use Case 3 (Tax Deduction Prep): 
A landlord has a $500,000 commercial loan at 5.5% for 20 years. Interest is tax-deductible. What is the interest cost after 10 years ?</t>
  </si>
  <si>
    <t>Use Case 1 (The Habitual Saver): 
Leo starts a retirement fund. He saves $400 every month for 35 years. He expects an average annual return of 8%. He starts with $0.</t>
  </si>
  <si>
    <t>Use Case 2 (The Head Start): 
Leo’s grandmother gives him $10,000 to start the account (pv). How much will he have in 35 years now?</t>
  </si>
  <si>
    <t>FV</t>
  </si>
  <si>
    <t>Use Case 1 (The Lottery Choice): 
Maya wins a small lottery. She can either take a lump sum today or receive $5,000 every month for 10 years. If she can earn 5% interest elsewhere, what is the minimum lump sum she should accept today?</t>
  </si>
  <si>
    <t xml:space="preserve">Use Case 2 (The Target Goal): 
Maya wants to have exactly $100,000 in 10 years (fv). She won't make any monthly payments (pmt=0). How much does she need to invest today at 5%?
</t>
  </si>
  <si>
    <t>Use Case 1 (The Tax Year): 
A business takes a $100,000 loan at 7% interest for 5 years. The owner needs to know the total interest paid in the first year (Months 1 to 12) for tax purposes.</t>
  </si>
  <si>
    <t>start_period</t>
  </si>
  <si>
    <t>end_period</t>
  </si>
  <si>
    <t xml:space="preserve">Use Case 2 (The Late-Stage Interest): 
The owner wants to compare the first year's interest to the final year's interest (Months 49 to 60) to see how much less they are paying as the loan matures.
</t>
  </si>
  <si>
    <t>Use Case 1 (The Construction Loan): 
An engineering firm borrows $50,000 at 6% interest for 4 years. The loan is structured so they pay exactly the same amount of principal each month. What is the interest for the first month?
(Note the '0' for the first month).</t>
  </si>
  <si>
    <t>Use Case 2 (The End Point Variation): 
Calculate the interest for the last month (per = 47) to see how the declining balance reduces the interest charge.</t>
  </si>
  <si>
    <t xml:space="preserve">a part of this will go towards the principal and part will go to the interest as well. </t>
  </si>
  <si>
    <t>he has contributed/ actual payment he made</t>
  </si>
  <si>
    <t>actual amount plus the interest amount</t>
  </si>
  <si>
    <t>interest momentum from previous payments</t>
  </si>
  <si>
    <t>starts with isse</t>
  </si>
  <si>
    <t>cause he is paying</t>
  </si>
  <si>
    <t>wealth accumulated</t>
  </si>
  <si>
    <t>interest paid for the first month</t>
  </si>
  <si>
    <t>PMT</t>
  </si>
  <si>
    <t>PPMT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</si>
</sst>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0" fontId="0" fillId="0" borderId="0" xfId="0" applyNumberFormat="1"/>
    <xf numFmtId="8" fontId="0" fillId="0" borderId="0" xfId="0" applyNumberFormat="1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9" fontId="0" fillId="0" borderId="0" xfId="1" applyFont="1"/>
    <xf numFmtId="164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 applyAlignment="1">
      <alignment wrapText="1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B12" sqref="B12"/>
    </sheetView>
  </sheetViews>
  <sheetFormatPr defaultRowHeight="14.5" x14ac:dyDescent="0.35"/>
  <cols>
    <col min="2" max="2" width="12.36328125" bestFit="1" customWidth="1"/>
    <col min="4" max="4" width="33.7265625" customWidth="1"/>
  </cols>
  <sheetData>
    <row r="1" spans="1:7" x14ac:dyDescent="0.35">
      <c r="A1" s="16" t="s">
        <v>0</v>
      </c>
      <c r="B1" s="16"/>
      <c r="C1" s="16"/>
      <c r="D1" s="16"/>
      <c r="E1" s="16"/>
      <c r="F1" s="16"/>
      <c r="G1" s="16"/>
    </row>
    <row r="2" spans="1:7" x14ac:dyDescent="0.35">
      <c r="A2" s="16"/>
      <c r="B2" s="16"/>
      <c r="C2" s="16"/>
      <c r="D2" s="16"/>
      <c r="E2" s="16"/>
      <c r="F2" s="16"/>
      <c r="G2" s="16"/>
    </row>
    <row r="5" spans="1:7" x14ac:dyDescent="0.35">
      <c r="B5" t="s">
        <v>1</v>
      </c>
      <c r="C5" s="1">
        <v>4.8000000000000001E-2</v>
      </c>
    </row>
    <row r="6" spans="1:7" x14ac:dyDescent="0.35">
      <c r="B6" t="s">
        <v>2</v>
      </c>
      <c r="C6">
        <v>5</v>
      </c>
    </row>
    <row r="7" spans="1:7" x14ac:dyDescent="0.35">
      <c r="B7" t="s">
        <v>3</v>
      </c>
      <c r="C7">
        <v>35000</v>
      </c>
    </row>
    <row r="8" spans="1:7" x14ac:dyDescent="0.35">
      <c r="B8" t="s">
        <v>4</v>
      </c>
      <c r="C8">
        <v>0</v>
      </c>
    </row>
    <row r="9" spans="1:7" x14ac:dyDescent="0.35">
      <c r="B9" t="s">
        <v>5</v>
      </c>
      <c r="C9">
        <v>0</v>
      </c>
    </row>
    <row r="12" spans="1:7" ht="159.5" x14ac:dyDescent="0.35">
      <c r="B12" s="2">
        <f>PMT(4.8/12, 60, 35000)</f>
        <v>-14000.000023902639</v>
      </c>
      <c r="C12" s="2"/>
      <c r="D12" s="14" t="s">
        <v>43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8FB2-6205-4805-8098-4B2EA6B52060}">
  <dimension ref="A1:H46"/>
  <sheetViews>
    <sheetView workbookViewId="0">
      <selection activeCell="E11" sqref="E11"/>
    </sheetView>
  </sheetViews>
  <sheetFormatPr defaultRowHeight="14.5" x14ac:dyDescent="0.35"/>
  <cols>
    <col min="4" max="4" width="10.54296875" customWidth="1"/>
    <col min="5" max="5" width="11.08984375" customWidth="1"/>
    <col min="7" max="7" width="13.7265625" customWidth="1"/>
  </cols>
  <sheetData>
    <row r="1" spans="1:7" x14ac:dyDescent="0.35">
      <c r="A1" s="16" t="s">
        <v>7</v>
      </c>
      <c r="B1" s="16"/>
      <c r="C1" s="16"/>
      <c r="D1" s="16"/>
      <c r="E1" s="16"/>
      <c r="F1" s="16"/>
      <c r="G1" s="16"/>
    </row>
    <row r="2" spans="1:7" ht="45.5" customHeight="1" x14ac:dyDescent="0.35">
      <c r="A2" s="16"/>
      <c r="B2" s="16"/>
      <c r="C2" s="16"/>
      <c r="D2" s="16"/>
      <c r="E2" s="16"/>
      <c r="F2" s="16"/>
      <c r="G2" s="16"/>
    </row>
    <row r="5" spans="1:7" x14ac:dyDescent="0.35">
      <c r="B5" t="s">
        <v>1</v>
      </c>
      <c r="C5" s="1">
        <v>4.8000000000000001E-2</v>
      </c>
    </row>
    <row r="6" spans="1:7" x14ac:dyDescent="0.35">
      <c r="B6" t="s">
        <v>2</v>
      </c>
      <c r="C6">
        <v>5</v>
      </c>
    </row>
    <row r="7" spans="1:7" x14ac:dyDescent="0.35">
      <c r="B7" t="s">
        <v>3</v>
      </c>
      <c r="C7">
        <v>35000</v>
      </c>
    </row>
    <row r="8" spans="1:7" x14ac:dyDescent="0.35">
      <c r="B8" t="s">
        <v>4</v>
      </c>
      <c r="C8">
        <v>0</v>
      </c>
    </row>
    <row r="9" spans="1:7" x14ac:dyDescent="0.35">
      <c r="B9" t="s">
        <v>5</v>
      </c>
      <c r="C9">
        <v>1</v>
      </c>
    </row>
    <row r="11" spans="1:7" x14ac:dyDescent="0.35">
      <c r="E11" s="2">
        <f>PMT(4.8/12, 5*12, 35000, 0, 1)</f>
        <v>-10000.000017073315</v>
      </c>
    </row>
    <row r="12" spans="1:7" x14ac:dyDescent="0.35">
      <c r="C12" s="2"/>
    </row>
    <row r="23" spans="2:8" ht="15.5" x14ac:dyDescent="0.35">
      <c r="B23" t="s">
        <v>11</v>
      </c>
      <c r="C23" s="3" t="s">
        <v>12</v>
      </c>
      <c r="F23" s="3" t="s">
        <v>12</v>
      </c>
      <c r="G23" s="3" t="s">
        <v>12</v>
      </c>
    </row>
    <row r="25" spans="2:8" ht="43.5" x14ac:dyDescent="0.35">
      <c r="C25" s="5"/>
      <c r="D25" s="5" t="s">
        <v>13</v>
      </c>
      <c r="E25" s="5" t="s">
        <v>14</v>
      </c>
      <c r="F25" s="5"/>
      <c r="G25" s="5"/>
      <c r="H25" s="5"/>
    </row>
    <row r="26" spans="2:8" ht="29" x14ac:dyDescent="0.35">
      <c r="C26" s="6" t="s">
        <v>15</v>
      </c>
      <c r="D26" s="7">
        <v>657.29</v>
      </c>
      <c r="E26" s="7">
        <v>654.66999999999996</v>
      </c>
      <c r="F26" s="6"/>
      <c r="G26" s="6"/>
      <c r="H26" s="7"/>
    </row>
    <row r="27" spans="2:8" ht="43.5" x14ac:dyDescent="0.35">
      <c r="C27" s="6" t="s">
        <v>16</v>
      </c>
      <c r="D27" s="7">
        <v>39437.4</v>
      </c>
      <c r="E27" s="7">
        <v>39280.199999999997</v>
      </c>
      <c r="F27" s="6"/>
      <c r="G27" s="6"/>
      <c r="H27" s="7"/>
    </row>
    <row r="28" spans="2:8" ht="29" x14ac:dyDescent="0.35">
      <c r="C28" s="6" t="s">
        <v>17</v>
      </c>
      <c r="D28" s="7">
        <v>4437.3999999999996</v>
      </c>
      <c r="E28" s="7">
        <v>4280.2</v>
      </c>
      <c r="F28" s="6"/>
      <c r="G28" s="6"/>
      <c r="H28" s="7"/>
    </row>
    <row r="29" spans="2:8" x14ac:dyDescent="0.35">
      <c r="C29" s="8" t="s">
        <v>18</v>
      </c>
      <c r="D29" s="6" t="s">
        <v>19</v>
      </c>
      <c r="E29" s="9">
        <v>157.19999999999999</v>
      </c>
      <c r="F29" s="8"/>
      <c r="G29" s="8"/>
      <c r="H29" s="6"/>
    </row>
    <row r="32" spans="2:8" ht="15.5" x14ac:dyDescent="0.35">
      <c r="C32" s="3" t="s">
        <v>20</v>
      </c>
      <c r="F32" s="3"/>
      <c r="G32" s="3"/>
    </row>
    <row r="34" spans="3:7" x14ac:dyDescent="0.35">
      <c r="C34" t="s">
        <v>21</v>
      </c>
    </row>
    <row r="35" spans="3:7" x14ac:dyDescent="0.35">
      <c r="C35" s="10"/>
      <c r="F35" s="10"/>
      <c r="G35" s="10"/>
    </row>
    <row r="36" spans="3:7" x14ac:dyDescent="0.35">
      <c r="C36" s="10" t="s">
        <v>22</v>
      </c>
      <c r="F36" s="10"/>
      <c r="G36" s="10"/>
    </row>
    <row r="37" spans="3:7" x14ac:dyDescent="0.35">
      <c r="C37" s="10" t="s">
        <v>23</v>
      </c>
      <c r="F37" s="10"/>
      <c r="G37" s="10"/>
    </row>
    <row r="38" spans="3:7" x14ac:dyDescent="0.35">
      <c r="C38" s="10" t="s">
        <v>24</v>
      </c>
      <c r="F38" s="10"/>
      <c r="G38" s="10"/>
    </row>
    <row r="40" spans="3:7" x14ac:dyDescent="0.35">
      <c r="C40" t="s">
        <v>25</v>
      </c>
    </row>
    <row r="44" spans="3:7" ht="15.5" x14ac:dyDescent="0.35">
      <c r="C44" s="3" t="s">
        <v>26</v>
      </c>
      <c r="F44" s="3"/>
      <c r="G44" s="3"/>
    </row>
    <row r="45" spans="3:7" x14ac:dyDescent="0.35">
      <c r="C45" s="10"/>
      <c r="F45" s="10"/>
      <c r="G45" s="10"/>
    </row>
    <row r="46" spans="3:7" x14ac:dyDescent="0.35">
      <c r="C46" s="10" t="s">
        <v>27</v>
      </c>
      <c r="F46" s="10"/>
      <c r="G46" s="10"/>
    </row>
  </sheetData>
  <mergeCells count="1">
    <mergeCell ref="A1:G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E913-F87A-4F95-B733-A1F854BF708E}">
  <dimension ref="A1:G12"/>
  <sheetViews>
    <sheetView workbookViewId="0">
      <selection activeCell="F10" sqref="F10"/>
    </sheetView>
  </sheetViews>
  <sheetFormatPr defaultRowHeight="14.5" x14ac:dyDescent="0.35"/>
  <cols>
    <col min="6" max="6" width="9.26953125" bestFit="1" customWidth="1"/>
    <col min="7" max="7" width="13.7265625" customWidth="1"/>
  </cols>
  <sheetData>
    <row r="1" spans="1:7" x14ac:dyDescent="0.35">
      <c r="A1" s="16" t="s">
        <v>8</v>
      </c>
      <c r="B1" s="16"/>
      <c r="C1" s="16"/>
      <c r="D1" s="16"/>
      <c r="E1" s="16"/>
      <c r="F1" s="16"/>
      <c r="G1" s="16"/>
    </row>
    <row r="2" spans="1:7" ht="55" customHeight="1" x14ac:dyDescent="0.35">
      <c r="A2" s="16"/>
      <c r="B2" s="16"/>
      <c r="C2" s="16"/>
      <c r="D2" s="16"/>
      <c r="E2" s="16"/>
      <c r="F2" s="16"/>
      <c r="G2" s="16"/>
    </row>
    <row r="5" spans="1:7" x14ac:dyDescent="0.35">
      <c r="B5" t="s">
        <v>1</v>
      </c>
      <c r="C5" s="1">
        <v>0.08</v>
      </c>
    </row>
    <row r="6" spans="1:7" x14ac:dyDescent="0.35">
      <c r="B6" t="s">
        <v>2</v>
      </c>
      <c r="C6">
        <v>15</v>
      </c>
    </row>
    <row r="7" spans="1:7" x14ac:dyDescent="0.35">
      <c r="B7" t="s">
        <v>3</v>
      </c>
      <c r="C7">
        <v>-10000</v>
      </c>
    </row>
    <row r="8" spans="1:7" x14ac:dyDescent="0.35">
      <c r="B8" t="s">
        <v>4</v>
      </c>
      <c r="C8">
        <v>100000</v>
      </c>
    </row>
    <row r="9" spans="1:7" x14ac:dyDescent="0.35">
      <c r="B9" t="s">
        <v>5</v>
      </c>
      <c r="C9">
        <v>1</v>
      </c>
    </row>
    <row r="10" spans="1:7" x14ac:dyDescent="0.35">
      <c r="F10" s="2">
        <f>PMT(8/12, 15*12, -10000, 100000, 1)</f>
        <v>4000</v>
      </c>
    </row>
    <row r="12" spans="1:7" x14ac:dyDescent="0.35">
      <c r="C12" s="2"/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8A43-A1D5-40F0-AF6D-E11AE61046A3}">
  <dimension ref="A1:G13"/>
  <sheetViews>
    <sheetView tabSelected="1" workbookViewId="0">
      <selection activeCell="E12" sqref="E12"/>
    </sheetView>
  </sheetViews>
  <sheetFormatPr defaultRowHeight="14.5" x14ac:dyDescent="0.35"/>
  <cols>
    <col min="3" max="3" width="9.90625" bestFit="1" customWidth="1"/>
    <col min="7" max="7" width="13.7265625" customWidth="1"/>
  </cols>
  <sheetData>
    <row r="1" spans="1:7" x14ac:dyDescent="0.35">
      <c r="A1" s="16" t="s">
        <v>9</v>
      </c>
      <c r="B1" s="16"/>
      <c r="C1" s="16"/>
      <c r="D1" s="16"/>
      <c r="E1" s="16"/>
      <c r="F1" s="16"/>
      <c r="G1" s="16"/>
    </row>
    <row r="2" spans="1:7" ht="55" customHeight="1" x14ac:dyDescent="0.35">
      <c r="A2" s="16"/>
      <c r="B2" s="16"/>
      <c r="C2" s="16"/>
      <c r="D2" s="16"/>
      <c r="E2" s="16"/>
      <c r="F2" s="16"/>
      <c r="G2" s="16"/>
    </row>
    <row r="5" spans="1:7" x14ac:dyDescent="0.35">
      <c r="B5" t="s">
        <v>1</v>
      </c>
      <c r="C5" s="1">
        <v>0.04</v>
      </c>
    </row>
    <row r="6" spans="1:7" x14ac:dyDescent="0.35">
      <c r="B6" t="s">
        <v>10</v>
      </c>
      <c r="C6" s="1">
        <v>12</v>
      </c>
    </row>
    <row r="7" spans="1:7" x14ac:dyDescent="0.35">
      <c r="B7" t="s">
        <v>2</v>
      </c>
      <c r="C7">
        <v>30</v>
      </c>
    </row>
    <row r="8" spans="1:7" x14ac:dyDescent="0.35">
      <c r="B8" t="s">
        <v>3</v>
      </c>
      <c r="C8">
        <v>300000</v>
      </c>
    </row>
    <row r="9" spans="1:7" x14ac:dyDescent="0.35">
      <c r="B9" t="s">
        <v>4</v>
      </c>
      <c r="C9">
        <v>0</v>
      </c>
    </row>
    <row r="10" spans="1:7" x14ac:dyDescent="0.35">
      <c r="B10" t="s">
        <v>5</v>
      </c>
      <c r="C10">
        <v>0</v>
      </c>
    </row>
    <row r="12" spans="1:7" x14ac:dyDescent="0.35">
      <c r="C12" s="2"/>
      <c r="E12" s="2">
        <f>PPMT(C5/12, C6, C7*12, C8, C9, C10)</f>
        <v>-448.36171168993258</v>
      </c>
    </row>
    <row r="13" spans="1:7" x14ac:dyDescent="0.35">
      <c r="C13" s="2"/>
    </row>
  </sheetData>
  <mergeCells count="1">
    <mergeCell ref="A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251B-D474-4F19-8D02-B7ED12229407}">
  <dimension ref="A1:I30"/>
  <sheetViews>
    <sheetView workbookViewId="0">
      <selection activeCell="C16" sqref="C16"/>
    </sheetView>
  </sheetViews>
  <sheetFormatPr defaultRowHeight="14.5" x14ac:dyDescent="0.35"/>
  <cols>
    <col min="3" max="3" width="9.90625" bestFit="1" customWidth="1"/>
    <col min="4" max="4" width="16.1796875" customWidth="1"/>
    <col min="5" max="5" width="17.453125" customWidth="1"/>
  </cols>
  <sheetData>
    <row r="1" spans="1:9" x14ac:dyDescent="0.35">
      <c r="A1" s="16" t="s">
        <v>28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9" ht="33.5" customHeight="1" x14ac:dyDescent="0.35">
      <c r="A4" s="16"/>
      <c r="B4" s="16"/>
      <c r="C4" s="16"/>
      <c r="D4" s="16"/>
      <c r="E4" s="16"/>
      <c r="F4" s="16"/>
      <c r="G4" s="16"/>
      <c r="H4" s="16"/>
      <c r="I4" s="16"/>
    </row>
    <row r="7" spans="1:9" x14ac:dyDescent="0.35">
      <c r="B7" t="s">
        <v>1</v>
      </c>
      <c r="C7" s="1">
        <v>0.06</v>
      </c>
    </row>
    <row r="8" spans="1:9" x14ac:dyDescent="0.35">
      <c r="B8" t="s">
        <v>10</v>
      </c>
      <c r="C8" s="1">
        <v>120</v>
      </c>
    </row>
    <row r="9" spans="1:9" x14ac:dyDescent="0.35">
      <c r="B9" t="s">
        <v>2</v>
      </c>
      <c r="C9">
        <v>10</v>
      </c>
    </row>
    <row r="10" spans="1:9" x14ac:dyDescent="0.35">
      <c r="B10" t="s">
        <v>3</v>
      </c>
      <c r="C10">
        <v>0</v>
      </c>
    </row>
    <row r="11" spans="1:9" x14ac:dyDescent="0.35">
      <c r="B11" t="s">
        <v>4</v>
      </c>
      <c r="C11">
        <v>100000</v>
      </c>
    </row>
    <row r="12" spans="1:9" x14ac:dyDescent="0.35">
      <c r="B12" t="s">
        <v>5</v>
      </c>
      <c r="C12">
        <v>0</v>
      </c>
    </row>
    <row r="13" spans="1:9" x14ac:dyDescent="0.35">
      <c r="D13" s="14"/>
      <c r="E13" s="14"/>
      <c r="F13" s="14"/>
    </row>
    <row r="14" spans="1:9" ht="43.5" x14ac:dyDescent="0.35">
      <c r="C14" s="2"/>
      <c r="D14" s="15">
        <f>PPMT(C7/12, 120, C9*12, C11, C12, C10)</f>
        <v>-1104.681611359696</v>
      </c>
      <c r="E14" s="14" t="s">
        <v>45</v>
      </c>
      <c r="F14" s="14"/>
    </row>
    <row r="15" spans="1:9" ht="43.5" x14ac:dyDescent="0.35">
      <c r="C15" s="2"/>
      <c r="D15" s="15">
        <f>PMT(C7/12, C9*12, 0, 100000, 0)</f>
        <v>-610.20501941649445</v>
      </c>
      <c r="E15" s="14" t="s">
        <v>44</v>
      </c>
      <c r="F15" s="14"/>
    </row>
    <row r="16" spans="1:9" ht="43.5" x14ac:dyDescent="0.35">
      <c r="D16" s="15">
        <f>IPMT(C7/12, 120, C9*12, C10, C11, C12)</f>
        <v>494.47659194320153</v>
      </c>
      <c r="E16" s="14" t="s">
        <v>46</v>
      </c>
      <c r="F16" s="14"/>
    </row>
    <row r="17" spans="3:6" x14ac:dyDescent="0.35">
      <c r="D17" s="14"/>
      <c r="E17" s="14"/>
      <c r="F17" s="14"/>
    </row>
    <row r="18" spans="3:6" x14ac:dyDescent="0.35">
      <c r="D18" s="14"/>
      <c r="E18" s="14"/>
      <c r="F18" s="14"/>
    </row>
    <row r="19" spans="3:6" x14ac:dyDescent="0.35">
      <c r="D19" s="14"/>
      <c r="E19" s="14"/>
      <c r="F19" s="14"/>
    </row>
    <row r="23" spans="3:6" ht="15.5" x14ac:dyDescent="0.35">
      <c r="C23" s="3"/>
    </row>
    <row r="27" spans="3:6" x14ac:dyDescent="0.35">
      <c r="C27" s="5"/>
      <c r="D27" s="5"/>
      <c r="E27" s="5"/>
    </row>
    <row r="28" spans="3:6" x14ac:dyDescent="0.35">
      <c r="C28" s="8"/>
      <c r="D28" s="6"/>
      <c r="E28" s="6"/>
    </row>
    <row r="29" spans="3:6" x14ac:dyDescent="0.35">
      <c r="C29" s="8"/>
      <c r="D29" s="6"/>
      <c r="E29" s="6"/>
    </row>
    <row r="30" spans="3:6" x14ac:dyDescent="0.35">
      <c r="C30" s="8"/>
      <c r="D30" s="6"/>
      <c r="E30" s="8"/>
    </row>
  </sheetData>
  <mergeCells count="1">
    <mergeCell ref="A1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8A3D-740A-43D5-BD4D-8BCBEE888046}">
  <dimension ref="A1:K25"/>
  <sheetViews>
    <sheetView workbookViewId="0">
      <selection activeCell="K5" sqref="K5"/>
    </sheetView>
  </sheetViews>
  <sheetFormatPr defaultRowHeight="14.5" x14ac:dyDescent="0.35"/>
  <cols>
    <col min="2" max="2" width="12.54296875" customWidth="1"/>
    <col min="3" max="3" width="9.90625" bestFit="1" customWidth="1"/>
    <col min="6" max="6" width="10.90625" bestFit="1" customWidth="1"/>
    <col min="11" max="11" width="67.54296875" customWidth="1"/>
  </cols>
  <sheetData>
    <row r="1" spans="1:11" x14ac:dyDescent="0.35">
      <c r="A1" s="16" t="s">
        <v>29</v>
      </c>
      <c r="B1" s="16"/>
      <c r="C1" s="16"/>
      <c r="D1" s="16"/>
      <c r="E1" s="16"/>
      <c r="F1" s="16"/>
      <c r="G1" s="16"/>
      <c r="H1" s="16"/>
      <c r="I1" s="16"/>
    </row>
    <row r="2" spans="1:11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11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11" x14ac:dyDescent="0.35">
      <c r="A4" s="16"/>
      <c r="B4" s="16"/>
      <c r="C4" s="16"/>
      <c r="D4" s="16"/>
      <c r="E4" s="16"/>
      <c r="F4" s="16"/>
      <c r="G4" s="16"/>
      <c r="H4" s="16"/>
      <c r="I4" s="16"/>
    </row>
    <row r="5" spans="1:11" ht="232" customHeight="1" x14ac:dyDescent="0.35">
      <c r="A5" s="16"/>
      <c r="B5" s="16"/>
      <c r="C5" s="16"/>
      <c r="D5" s="16"/>
      <c r="E5" s="16"/>
      <c r="F5" s="16"/>
      <c r="G5" s="16"/>
      <c r="H5" s="16"/>
      <c r="I5" s="16"/>
      <c r="K5" s="14" t="s">
        <v>28</v>
      </c>
    </row>
    <row r="9" spans="1:11" x14ac:dyDescent="0.35">
      <c r="B9" t="s">
        <v>1</v>
      </c>
      <c r="C9" s="1">
        <v>0.06</v>
      </c>
    </row>
    <row r="10" spans="1:11" x14ac:dyDescent="0.35">
      <c r="B10" t="s">
        <v>10</v>
      </c>
      <c r="C10">
        <v>120</v>
      </c>
    </row>
    <row r="11" spans="1:11" x14ac:dyDescent="0.35">
      <c r="B11" t="s">
        <v>2</v>
      </c>
      <c r="C11">
        <v>10</v>
      </c>
    </row>
    <row r="12" spans="1:11" x14ac:dyDescent="0.35">
      <c r="B12" t="s">
        <v>3</v>
      </c>
      <c r="C12">
        <v>0</v>
      </c>
    </row>
    <row r="13" spans="1:11" x14ac:dyDescent="0.35">
      <c r="B13" t="s">
        <v>4</v>
      </c>
      <c r="C13">
        <v>100000</v>
      </c>
    </row>
    <row r="14" spans="1:11" x14ac:dyDescent="0.35">
      <c r="B14" t="s">
        <v>5</v>
      </c>
      <c r="C14">
        <v>0</v>
      </c>
      <c r="F14" s="2">
        <f>PMT(6%/12, 120, 0, 100000, 0)</f>
        <v>-610.20501941649445</v>
      </c>
      <c r="G14" t="s">
        <v>51</v>
      </c>
    </row>
    <row r="15" spans="1:11" x14ac:dyDescent="0.35">
      <c r="J15" s="2"/>
    </row>
    <row r="16" spans="1:11" x14ac:dyDescent="0.35">
      <c r="C16" s="2"/>
      <c r="F16" s="2">
        <f>PPMT(C9/12, C10, C11*12, 0, C13, 0)</f>
        <v>-1104.681611359696</v>
      </c>
      <c r="G16" t="s">
        <v>52</v>
      </c>
    </row>
    <row r="17" spans="3:3" x14ac:dyDescent="0.35">
      <c r="C17" s="2"/>
    </row>
    <row r="18" spans="3:3" x14ac:dyDescent="0.35">
      <c r="C18" s="2"/>
    </row>
    <row r="21" spans="3:3" x14ac:dyDescent="0.35">
      <c r="C21" s="11"/>
    </row>
    <row r="22" spans="3:3" x14ac:dyDescent="0.35">
      <c r="C22" s="10"/>
    </row>
    <row r="23" spans="3:3" x14ac:dyDescent="0.35">
      <c r="C23" s="11"/>
    </row>
    <row r="24" spans="3:3" x14ac:dyDescent="0.35">
      <c r="C24" s="10"/>
    </row>
    <row r="25" spans="3:3" x14ac:dyDescent="0.35">
      <c r="C25" s="11"/>
    </row>
  </sheetData>
  <mergeCells count="1">
    <mergeCell ref="A1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37D5-08A8-4097-B895-41B4C276E05C}">
  <dimension ref="A1:I25"/>
  <sheetViews>
    <sheetView workbookViewId="0">
      <selection activeCell="E13" sqref="E13"/>
    </sheetView>
  </sheetViews>
  <sheetFormatPr defaultRowHeight="14.5" x14ac:dyDescent="0.35"/>
  <cols>
    <col min="2" max="2" width="12.54296875" customWidth="1"/>
    <col min="3" max="3" width="9.90625" bestFit="1" customWidth="1"/>
    <col min="5" max="5" width="9.90625" bestFit="1" customWidth="1"/>
  </cols>
  <sheetData>
    <row r="1" spans="1:9" x14ac:dyDescent="0.35">
      <c r="A1" s="16" t="s">
        <v>30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35">
      <c r="A4" s="16"/>
      <c r="B4" s="16"/>
      <c r="C4" s="16"/>
      <c r="D4" s="16"/>
      <c r="E4" s="16"/>
      <c r="F4" s="16"/>
      <c r="G4" s="16"/>
      <c r="H4" s="16"/>
      <c r="I4" s="16"/>
    </row>
    <row r="5" spans="1:9" ht="33.5" customHeight="1" x14ac:dyDescent="0.35">
      <c r="A5" s="16"/>
      <c r="B5" s="16"/>
      <c r="C5" s="16"/>
      <c r="D5" s="16"/>
      <c r="E5" s="16"/>
      <c r="F5" s="16"/>
      <c r="G5" s="16"/>
      <c r="H5" s="16"/>
      <c r="I5" s="16"/>
    </row>
    <row r="9" spans="1:9" x14ac:dyDescent="0.35">
      <c r="B9" t="s">
        <v>1</v>
      </c>
      <c r="C9" s="1">
        <v>5.5E-2</v>
      </c>
    </row>
    <row r="10" spans="1:9" x14ac:dyDescent="0.35">
      <c r="B10" t="s">
        <v>10</v>
      </c>
      <c r="C10">
        <v>1</v>
      </c>
    </row>
    <row r="11" spans="1:9" x14ac:dyDescent="0.35">
      <c r="B11" t="s">
        <v>2</v>
      </c>
      <c r="C11">
        <v>20</v>
      </c>
    </row>
    <row r="12" spans="1:9" x14ac:dyDescent="0.35">
      <c r="B12" t="s">
        <v>3</v>
      </c>
      <c r="C12">
        <v>500000</v>
      </c>
    </row>
    <row r="13" spans="1:9" x14ac:dyDescent="0.35">
      <c r="B13" t="s">
        <v>4</v>
      </c>
      <c r="C13">
        <v>0</v>
      </c>
      <c r="E13" s="2">
        <f>IPMT(5.5%/12, 1, 20*12, 500000, 0, 0)</f>
        <v>-2291.6666666666665</v>
      </c>
    </row>
    <row r="14" spans="1:9" x14ac:dyDescent="0.35">
      <c r="B14" t="s">
        <v>5</v>
      </c>
      <c r="C14">
        <v>0</v>
      </c>
    </row>
    <row r="16" spans="1:9" x14ac:dyDescent="0.35">
      <c r="C16" s="2"/>
    </row>
    <row r="17" spans="3:3" x14ac:dyDescent="0.35">
      <c r="C17" s="2"/>
    </row>
    <row r="18" spans="3:3" x14ac:dyDescent="0.35">
      <c r="C18" s="2"/>
    </row>
    <row r="21" spans="3:3" x14ac:dyDescent="0.35">
      <c r="C21" s="11"/>
    </row>
    <row r="22" spans="3:3" x14ac:dyDescent="0.35">
      <c r="C22" s="10"/>
    </row>
    <row r="23" spans="3:3" x14ac:dyDescent="0.35">
      <c r="C23" s="11"/>
    </row>
    <row r="24" spans="3:3" x14ac:dyDescent="0.35">
      <c r="C24" s="10"/>
    </row>
    <row r="25" spans="3:3" x14ac:dyDescent="0.35">
      <c r="C25" s="11"/>
    </row>
  </sheetData>
  <mergeCells count="1">
    <mergeCell ref="A1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0906-489D-4C51-ABBA-33AC838D9874}">
  <dimension ref="A1:I30"/>
  <sheetViews>
    <sheetView topLeftCell="A4" workbookViewId="0">
      <selection activeCell="D16" sqref="D16"/>
    </sheetView>
  </sheetViews>
  <sheetFormatPr defaultRowHeight="14.5" x14ac:dyDescent="0.35"/>
  <cols>
    <col min="2" max="2" width="12.54296875" customWidth="1"/>
    <col min="3" max="3" width="9.90625" bestFit="1" customWidth="1"/>
    <col min="4" max="4" width="34" bestFit="1" customWidth="1"/>
    <col min="5" max="5" width="13.36328125" customWidth="1"/>
  </cols>
  <sheetData>
    <row r="1" spans="1:9" x14ac:dyDescent="0.35">
      <c r="A1" s="16" t="s">
        <v>31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35">
      <c r="A4" s="16"/>
      <c r="B4" s="16"/>
      <c r="C4" s="16"/>
      <c r="D4" s="16"/>
      <c r="E4" s="16"/>
      <c r="F4" s="16"/>
      <c r="G4" s="16"/>
      <c r="H4" s="16"/>
      <c r="I4" s="16"/>
    </row>
    <row r="5" spans="1:9" x14ac:dyDescent="0.35">
      <c r="A5" s="16"/>
      <c r="B5" s="16"/>
      <c r="C5" s="16"/>
      <c r="D5" s="16"/>
      <c r="E5" s="16"/>
      <c r="F5" s="16"/>
      <c r="G5" s="16"/>
      <c r="H5" s="16"/>
      <c r="I5" s="16"/>
    </row>
    <row r="9" spans="1:9" x14ac:dyDescent="0.35">
      <c r="B9" t="s">
        <v>1</v>
      </c>
      <c r="C9" s="1">
        <v>5.5E-2</v>
      </c>
    </row>
    <row r="10" spans="1:9" x14ac:dyDescent="0.35">
      <c r="B10" t="s">
        <v>10</v>
      </c>
      <c r="C10">
        <v>120</v>
      </c>
    </row>
    <row r="11" spans="1:9" x14ac:dyDescent="0.35">
      <c r="B11" t="s">
        <v>2</v>
      </c>
      <c r="C11">
        <v>20</v>
      </c>
    </row>
    <row r="12" spans="1:9" x14ac:dyDescent="0.35">
      <c r="B12" t="s">
        <v>3</v>
      </c>
      <c r="C12">
        <v>500000</v>
      </c>
    </row>
    <row r="13" spans="1:9" x14ac:dyDescent="0.35">
      <c r="B13" t="s">
        <v>4</v>
      </c>
      <c r="C13">
        <v>0</v>
      </c>
    </row>
    <row r="14" spans="1:9" x14ac:dyDescent="0.35">
      <c r="B14" t="s">
        <v>5</v>
      </c>
      <c r="C14">
        <v>0</v>
      </c>
    </row>
    <row r="16" spans="1:9" x14ac:dyDescent="0.35">
      <c r="C16" s="2"/>
      <c r="D16" s="2">
        <f>IPMT(5.5%/12, 121, 20*12, 500000, 0, 0)</f>
        <v>-1452.5591805683496</v>
      </c>
    </row>
    <row r="17" spans="2:5" x14ac:dyDescent="0.35">
      <c r="C17" s="2"/>
    </row>
    <row r="18" spans="2:5" x14ac:dyDescent="0.35">
      <c r="C18" s="2"/>
    </row>
    <row r="21" spans="2:5" x14ac:dyDescent="0.35">
      <c r="C21" s="11"/>
    </row>
    <row r="22" spans="2:5" x14ac:dyDescent="0.35">
      <c r="C22" s="10"/>
    </row>
    <row r="23" spans="2:5" x14ac:dyDescent="0.35">
      <c r="C23" s="11"/>
    </row>
    <row r="24" spans="2:5" ht="43" customHeight="1" x14ac:dyDescent="0.35">
      <c r="C24" s="11"/>
    </row>
    <row r="25" spans="2:5" ht="15.5" x14ac:dyDescent="0.35">
      <c r="B25" s="3"/>
    </row>
    <row r="26" spans="2:5" x14ac:dyDescent="0.35">
      <c r="B26" s="5"/>
      <c r="C26" s="5"/>
      <c r="D26" s="5"/>
      <c r="E26" s="5"/>
    </row>
    <row r="27" spans="2:5" x14ac:dyDescent="0.35">
      <c r="B27" s="8"/>
      <c r="C27" s="6"/>
      <c r="D27" s="6"/>
      <c r="E27" s="6"/>
    </row>
    <row r="28" spans="2:5" x14ac:dyDescent="0.35">
      <c r="B28" s="8"/>
      <c r="C28" s="6"/>
      <c r="D28" s="6"/>
      <c r="E28" s="6"/>
    </row>
    <row r="29" spans="2:5" x14ac:dyDescent="0.35">
      <c r="B29" s="8"/>
      <c r="C29" s="6"/>
      <c r="D29" s="6"/>
      <c r="E29" s="6"/>
    </row>
    <row r="30" spans="2:5" x14ac:dyDescent="0.35">
      <c r="B30" s="8"/>
      <c r="C30" s="6"/>
      <c r="D30" s="8"/>
      <c r="E30" s="6"/>
    </row>
  </sheetData>
  <mergeCells count="1">
    <mergeCell ref="A1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5E79-3CE7-4511-A1C3-8C494FE0190D}">
  <dimension ref="A1:I16"/>
  <sheetViews>
    <sheetView workbookViewId="0">
      <selection sqref="A1:I4"/>
    </sheetView>
  </sheetViews>
  <sheetFormatPr defaultRowHeight="14.5" x14ac:dyDescent="0.35"/>
  <cols>
    <col min="1" max="1" width="17.7265625" bestFit="1" customWidth="1"/>
    <col min="3" max="3" width="11.7265625" bestFit="1" customWidth="1"/>
    <col min="4" max="4" width="125.36328125" bestFit="1" customWidth="1"/>
  </cols>
  <sheetData>
    <row r="1" spans="1:9" x14ac:dyDescent="0.35">
      <c r="A1" s="16" t="s">
        <v>32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35">
      <c r="A4" s="16"/>
      <c r="B4" s="16"/>
      <c r="C4" s="16"/>
      <c r="D4" s="16"/>
      <c r="E4" s="16"/>
      <c r="F4" s="16"/>
      <c r="G4" s="16"/>
      <c r="H4" s="16"/>
      <c r="I4" s="16"/>
    </row>
    <row r="8" spans="1:9" x14ac:dyDescent="0.35">
      <c r="B8" t="s">
        <v>1</v>
      </c>
      <c r="C8" s="12">
        <v>0.08</v>
      </c>
    </row>
    <row r="9" spans="1:9" x14ac:dyDescent="0.35">
      <c r="B9" t="s">
        <v>2</v>
      </c>
      <c r="C9">
        <v>35</v>
      </c>
    </row>
    <row r="10" spans="1:9" x14ac:dyDescent="0.35">
      <c r="B10" t="s">
        <v>6</v>
      </c>
      <c r="C10">
        <v>-400</v>
      </c>
    </row>
    <row r="11" spans="1:9" x14ac:dyDescent="0.35">
      <c r="B11" t="s">
        <v>3</v>
      </c>
      <c r="C11">
        <v>0</v>
      </c>
      <c r="D11" t="s">
        <v>47</v>
      </c>
    </row>
    <row r="12" spans="1:9" x14ac:dyDescent="0.35">
      <c r="B12" t="s">
        <v>5</v>
      </c>
      <c r="C12">
        <v>0</v>
      </c>
    </row>
    <row r="14" spans="1:9" x14ac:dyDescent="0.35">
      <c r="C14" s="2" t="s">
        <v>48</v>
      </c>
      <c r="D14" s="2">
        <f>FV(8%/12, 35*12, -400, 0, 0)</f>
        <v>917552.99386522803</v>
      </c>
    </row>
    <row r="16" spans="1:9" x14ac:dyDescent="0.35">
      <c r="B16" s="4"/>
    </row>
  </sheetData>
  <mergeCells count="1">
    <mergeCell ref="A1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6989-C2FD-4680-BE20-B4840BE9E5EC}">
  <dimension ref="A1:I16"/>
  <sheetViews>
    <sheetView topLeftCell="E1" workbookViewId="0">
      <selection activeCell="E13" sqref="E13"/>
    </sheetView>
  </sheetViews>
  <sheetFormatPr defaultRowHeight="14.5" x14ac:dyDescent="0.35"/>
  <cols>
    <col min="1" max="1" width="17.7265625" bestFit="1" customWidth="1"/>
    <col min="3" max="3" width="12.7265625" bestFit="1" customWidth="1"/>
    <col min="5" max="5" width="127.1796875" bestFit="1" customWidth="1"/>
  </cols>
  <sheetData>
    <row r="1" spans="1:9" x14ac:dyDescent="0.35">
      <c r="A1" s="16" t="s">
        <v>33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35">
      <c r="A4" s="16"/>
      <c r="B4" s="16"/>
      <c r="C4" s="16"/>
      <c r="D4" s="16"/>
      <c r="E4" s="16"/>
      <c r="F4" s="16"/>
      <c r="G4" s="16"/>
      <c r="H4" s="16"/>
      <c r="I4" s="16"/>
    </row>
    <row r="8" spans="1:9" x14ac:dyDescent="0.35">
      <c r="B8" t="s">
        <v>1</v>
      </c>
      <c r="C8" s="12">
        <v>0.08</v>
      </c>
    </row>
    <row r="9" spans="1:9" x14ac:dyDescent="0.35">
      <c r="B9" t="s">
        <v>2</v>
      </c>
      <c r="C9">
        <v>35</v>
      </c>
    </row>
    <row r="10" spans="1:9" x14ac:dyDescent="0.35">
      <c r="B10" t="s">
        <v>6</v>
      </c>
      <c r="C10">
        <v>-400</v>
      </c>
    </row>
    <row r="11" spans="1:9" x14ac:dyDescent="0.35">
      <c r="B11" t="s">
        <v>3</v>
      </c>
      <c r="C11">
        <v>-10000</v>
      </c>
      <c r="E11" s="2"/>
    </row>
    <row r="12" spans="1:9" x14ac:dyDescent="0.35">
      <c r="B12" t="s">
        <v>5</v>
      </c>
      <c r="C12">
        <v>0</v>
      </c>
    </row>
    <row r="13" spans="1:9" x14ac:dyDescent="0.35">
      <c r="E13" s="2">
        <f>FV(C8/12, C9*12, C10, C11, C12)</f>
        <v>1080478.492842766</v>
      </c>
    </row>
    <row r="14" spans="1:9" x14ac:dyDescent="0.35">
      <c r="C14" s="2"/>
    </row>
    <row r="16" spans="1:9" x14ac:dyDescent="0.35">
      <c r="B16" s="4"/>
    </row>
  </sheetData>
  <mergeCells count="1">
    <mergeCell ref="A1: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8B70-770B-4C97-88D4-67074BB45636}">
  <dimension ref="A1:I16"/>
  <sheetViews>
    <sheetView workbookViewId="0">
      <selection activeCell="E12" sqref="E12"/>
    </sheetView>
  </sheetViews>
  <sheetFormatPr defaultRowHeight="14.5" x14ac:dyDescent="0.35"/>
  <cols>
    <col min="1" max="1" width="17.7265625" bestFit="1" customWidth="1"/>
    <col min="3" max="3" width="11.7265625" bestFit="1" customWidth="1"/>
    <col min="5" max="5" width="11.7265625" bestFit="1" customWidth="1"/>
  </cols>
  <sheetData>
    <row r="1" spans="1:9" x14ac:dyDescent="0.35">
      <c r="A1" s="16" t="s">
        <v>35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35">
      <c r="A4" s="16"/>
      <c r="B4" s="16"/>
      <c r="C4" s="16"/>
      <c r="D4" s="16"/>
      <c r="E4" s="16"/>
      <c r="F4" s="16"/>
      <c r="G4" s="16"/>
      <c r="H4" s="16"/>
      <c r="I4" s="16"/>
    </row>
    <row r="8" spans="1:9" x14ac:dyDescent="0.35">
      <c r="B8" t="s">
        <v>1</v>
      </c>
      <c r="C8" s="12">
        <v>0.05</v>
      </c>
    </row>
    <row r="9" spans="1:9" x14ac:dyDescent="0.35">
      <c r="B9" t="s">
        <v>2</v>
      </c>
      <c r="C9">
        <v>10</v>
      </c>
    </row>
    <row r="10" spans="1:9" x14ac:dyDescent="0.35">
      <c r="B10" t="s">
        <v>6</v>
      </c>
      <c r="C10">
        <v>-5000</v>
      </c>
    </row>
    <row r="11" spans="1:9" x14ac:dyDescent="0.35">
      <c r="B11" t="s">
        <v>34</v>
      </c>
      <c r="C11">
        <v>0</v>
      </c>
    </row>
    <row r="12" spans="1:9" x14ac:dyDescent="0.35">
      <c r="B12" t="s">
        <v>5</v>
      </c>
      <c r="C12">
        <v>0</v>
      </c>
      <c r="E12" s="2">
        <f>PV(C8/12, C9*12, C10, C11, C12)</f>
        <v>471406.75164117635</v>
      </c>
      <c r="F12" t="s">
        <v>49</v>
      </c>
    </row>
    <row r="14" spans="1:9" x14ac:dyDescent="0.35">
      <c r="C14" s="2"/>
    </row>
    <row r="16" spans="1:9" x14ac:dyDescent="0.35">
      <c r="B16" s="4"/>
    </row>
  </sheetData>
  <mergeCells count="1">
    <mergeCell ref="A1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4B98-123A-4B9E-9D50-B2389D961235}">
  <dimension ref="A1:J15"/>
  <sheetViews>
    <sheetView workbookViewId="0">
      <selection activeCell="E14" sqref="E14"/>
    </sheetView>
  </sheetViews>
  <sheetFormatPr defaultRowHeight="14.5" x14ac:dyDescent="0.35"/>
  <cols>
    <col min="3" max="3" width="11.7265625" bestFit="1" customWidth="1"/>
    <col min="5" max="5" width="10.90625" bestFit="1" customWidth="1"/>
  </cols>
  <sheetData>
    <row r="1" spans="1:10" x14ac:dyDescent="0.35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</row>
    <row r="9" spans="1:10" x14ac:dyDescent="0.35">
      <c r="B9" t="s">
        <v>1</v>
      </c>
      <c r="C9" s="12">
        <v>0.05</v>
      </c>
    </row>
    <row r="10" spans="1:10" x14ac:dyDescent="0.35">
      <c r="B10" t="s">
        <v>2</v>
      </c>
      <c r="C10">
        <v>10</v>
      </c>
    </row>
    <row r="11" spans="1:10" x14ac:dyDescent="0.35">
      <c r="B11" t="s">
        <v>6</v>
      </c>
      <c r="C11">
        <v>0</v>
      </c>
    </row>
    <row r="12" spans="1:10" x14ac:dyDescent="0.35">
      <c r="B12" t="s">
        <v>34</v>
      </c>
      <c r="C12">
        <v>100000</v>
      </c>
    </row>
    <row r="13" spans="1:10" x14ac:dyDescent="0.35">
      <c r="B13" t="s">
        <v>5</v>
      </c>
      <c r="C13">
        <v>0</v>
      </c>
    </row>
    <row r="14" spans="1:10" x14ac:dyDescent="0.35">
      <c r="E14" s="2">
        <f>PV(C9/12, C10*12, C11, C12, C13)</f>
        <v>-60716.104029901973</v>
      </c>
    </row>
    <row r="15" spans="1:10" x14ac:dyDescent="0.35">
      <c r="C15" s="2"/>
    </row>
  </sheetData>
  <mergeCells count="1">
    <mergeCell ref="A1:J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4B48-C3E8-4EB0-8C51-53F11D6426C7}">
  <dimension ref="A1:J18"/>
  <sheetViews>
    <sheetView workbookViewId="0">
      <selection activeCell="E14" sqref="E14"/>
    </sheetView>
  </sheetViews>
  <sheetFormatPr defaultRowHeight="14.5" x14ac:dyDescent="0.35"/>
  <cols>
    <col min="2" max="2" width="11.08984375" bestFit="1" customWidth="1"/>
  </cols>
  <sheetData>
    <row r="1" spans="1:10" x14ac:dyDescent="0.35">
      <c r="A1" s="16" t="s">
        <v>37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</row>
    <row r="9" spans="1:10" x14ac:dyDescent="0.35">
      <c r="B9" t="s">
        <v>1</v>
      </c>
      <c r="C9" s="12">
        <v>7.0000000000000007E-2</v>
      </c>
    </row>
    <row r="10" spans="1:10" x14ac:dyDescent="0.35">
      <c r="B10" t="s">
        <v>2</v>
      </c>
      <c r="C10">
        <v>5</v>
      </c>
    </row>
    <row r="11" spans="1:10" x14ac:dyDescent="0.35">
      <c r="B11" t="s">
        <v>3</v>
      </c>
      <c r="C11">
        <v>100000</v>
      </c>
    </row>
    <row r="12" spans="1:10" x14ac:dyDescent="0.35">
      <c r="B12" t="s">
        <v>38</v>
      </c>
      <c r="C12">
        <v>1</v>
      </c>
    </row>
    <row r="13" spans="1:10" x14ac:dyDescent="0.35">
      <c r="B13" t="s">
        <v>39</v>
      </c>
      <c r="C13">
        <v>12</v>
      </c>
    </row>
    <row r="14" spans="1:10" x14ac:dyDescent="0.35">
      <c r="B14" t="s">
        <v>5</v>
      </c>
      <c r="C14">
        <v>0</v>
      </c>
      <c r="E14">
        <f>CUMIPMT(C9/12, C10*12, C11, C12, C13, C14)</f>
        <v>-6451.6421592045481</v>
      </c>
    </row>
    <row r="18" spans="3:3" x14ac:dyDescent="0.35">
      <c r="C18" s="4"/>
    </row>
  </sheetData>
  <mergeCells count="1">
    <mergeCell ref="A1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F87F-F88D-4D32-BE71-BAB036BA4A1A}">
  <dimension ref="A1:J18"/>
  <sheetViews>
    <sheetView workbookViewId="0">
      <selection activeCell="E14" sqref="E14"/>
    </sheetView>
  </sheetViews>
  <sheetFormatPr defaultRowHeight="14.5" x14ac:dyDescent="0.35"/>
  <cols>
    <col min="2" max="2" width="11.08984375" bestFit="1" customWidth="1"/>
  </cols>
  <sheetData>
    <row r="1" spans="1:10" x14ac:dyDescent="0.3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</row>
    <row r="9" spans="1:10" x14ac:dyDescent="0.35">
      <c r="B9" t="s">
        <v>1</v>
      </c>
      <c r="C9" s="12">
        <v>7.0000000000000007E-2</v>
      </c>
    </row>
    <row r="10" spans="1:10" x14ac:dyDescent="0.35">
      <c r="B10" t="s">
        <v>2</v>
      </c>
      <c r="C10">
        <v>5</v>
      </c>
    </row>
    <row r="11" spans="1:10" x14ac:dyDescent="0.35">
      <c r="B11" t="s">
        <v>3</v>
      </c>
      <c r="C11">
        <v>100000</v>
      </c>
    </row>
    <row r="12" spans="1:10" x14ac:dyDescent="0.35">
      <c r="B12" t="s">
        <v>38</v>
      </c>
      <c r="C12">
        <v>49</v>
      </c>
    </row>
    <row r="13" spans="1:10" x14ac:dyDescent="0.35">
      <c r="B13" t="s">
        <v>39</v>
      </c>
      <c r="C13">
        <v>60</v>
      </c>
    </row>
    <row r="14" spans="1:10" x14ac:dyDescent="0.35">
      <c r="B14" t="s">
        <v>5</v>
      </c>
      <c r="C14">
        <v>0</v>
      </c>
      <c r="E14">
        <f>CUMIPMT(C9/12, C10*12, C11, C12, C13, C14)</f>
        <v>-876.95520326812402</v>
      </c>
    </row>
    <row r="18" spans="3:3" x14ac:dyDescent="0.35">
      <c r="C18" s="4"/>
    </row>
  </sheetData>
  <mergeCells count="1">
    <mergeCell ref="A1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A8B8-3094-4561-BCEF-5E69FECE3DA2}">
  <dimension ref="A1:I18"/>
  <sheetViews>
    <sheetView workbookViewId="0">
      <selection activeCell="E11" sqref="E11"/>
    </sheetView>
  </sheetViews>
  <sheetFormatPr defaultRowHeight="14.5" x14ac:dyDescent="0.35"/>
  <cols>
    <col min="3" max="3" width="9.90625" bestFit="1" customWidth="1"/>
    <col min="5" max="5" width="9.90625" bestFit="1" customWidth="1"/>
  </cols>
  <sheetData>
    <row r="1" spans="1:9" x14ac:dyDescent="0.35">
      <c r="A1" s="16" t="s">
        <v>41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35">
      <c r="A4" s="16"/>
      <c r="B4" s="16"/>
      <c r="C4" s="16"/>
      <c r="D4" s="16"/>
      <c r="E4" s="16"/>
      <c r="F4" s="16"/>
      <c r="G4" s="16"/>
      <c r="H4" s="16"/>
      <c r="I4" s="16"/>
    </row>
    <row r="7" spans="1:9" x14ac:dyDescent="0.35">
      <c r="B7" t="s">
        <v>1</v>
      </c>
      <c r="C7" s="12">
        <v>0.06</v>
      </c>
    </row>
    <row r="8" spans="1:9" x14ac:dyDescent="0.35">
      <c r="B8" t="s">
        <v>10</v>
      </c>
      <c r="C8">
        <v>0</v>
      </c>
    </row>
    <row r="9" spans="1:9" x14ac:dyDescent="0.35">
      <c r="B9" t="s">
        <v>2</v>
      </c>
      <c r="C9">
        <v>48</v>
      </c>
    </row>
    <row r="10" spans="1:9" x14ac:dyDescent="0.35">
      <c r="B10" t="s">
        <v>3</v>
      </c>
      <c r="C10">
        <v>50000</v>
      </c>
    </row>
    <row r="11" spans="1:9" x14ac:dyDescent="0.35">
      <c r="E11">
        <f>ISPMT(C7/12, C8, C9, C10)</f>
        <v>-250</v>
      </c>
      <c r="F11" t="s">
        <v>50</v>
      </c>
    </row>
    <row r="12" spans="1:9" x14ac:dyDescent="0.35">
      <c r="E12" s="2">
        <f>PMT(C7/12, C9, C10)</f>
        <v>-1174.2514523967809</v>
      </c>
    </row>
    <row r="13" spans="1:9" x14ac:dyDescent="0.35">
      <c r="C13" s="2"/>
    </row>
    <row r="16" spans="1:9" x14ac:dyDescent="0.35">
      <c r="B16" s="11"/>
    </row>
    <row r="17" spans="2:2" x14ac:dyDescent="0.35">
      <c r="B17" s="10"/>
    </row>
    <row r="18" spans="2:2" x14ac:dyDescent="0.35">
      <c r="B18" s="11"/>
    </row>
  </sheetData>
  <mergeCells count="1">
    <mergeCell ref="A1:I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BA5D-EA11-46F6-B848-A180924FEA72}">
  <dimension ref="A1:I18"/>
  <sheetViews>
    <sheetView workbookViewId="0">
      <selection activeCell="E11" sqref="E11"/>
    </sheetView>
  </sheetViews>
  <sheetFormatPr defaultRowHeight="14.5" x14ac:dyDescent="0.35"/>
  <cols>
    <col min="3" max="3" width="9.90625" bestFit="1" customWidth="1"/>
  </cols>
  <sheetData>
    <row r="1" spans="1:9" x14ac:dyDescent="0.35">
      <c r="A1" s="16" t="s">
        <v>42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35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35">
      <c r="A4" s="16"/>
      <c r="B4" s="16"/>
      <c r="C4" s="16"/>
      <c r="D4" s="16"/>
      <c r="E4" s="16"/>
      <c r="F4" s="16"/>
      <c r="G4" s="16"/>
      <c r="H4" s="16"/>
      <c r="I4" s="16"/>
    </row>
    <row r="7" spans="1:9" x14ac:dyDescent="0.35">
      <c r="B7" t="s">
        <v>1</v>
      </c>
      <c r="C7" s="12">
        <v>0.06</v>
      </c>
    </row>
    <row r="8" spans="1:9" x14ac:dyDescent="0.35">
      <c r="B8" t="s">
        <v>10</v>
      </c>
      <c r="C8">
        <v>47</v>
      </c>
    </row>
    <row r="9" spans="1:9" x14ac:dyDescent="0.35">
      <c r="B9" t="s">
        <v>2</v>
      </c>
      <c r="C9">
        <v>48</v>
      </c>
    </row>
    <row r="10" spans="1:9" x14ac:dyDescent="0.35">
      <c r="B10" t="s">
        <v>3</v>
      </c>
      <c r="C10">
        <v>50000</v>
      </c>
    </row>
    <row r="11" spans="1:9" x14ac:dyDescent="0.35">
      <c r="E11">
        <f>ISPMT(C7/12, C8, 4*12, C10)</f>
        <v>-5.208333333333333</v>
      </c>
    </row>
    <row r="12" spans="1:9" x14ac:dyDescent="0.35">
      <c r="C12" s="13"/>
    </row>
    <row r="13" spans="1:9" x14ac:dyDescent="0.35">
      <c r="C13" s="2"/>
    </row>
    <row r="16" spans="1:9" x14ac:dyDescent="0.35">
      <c r="B16" s="11"/>
    </row>
    <row r="17" spans="2:2" x14ac:dyDescent="0.35">
      <c r="B17" s="10"/>
    </row>
    <row r="18" spans="2:2" x14ac:dyDescent="0.35">
      <c r="B18" s="11"/>
    </row>
  </sheetData>
  <mergeCells count="1">
    <mergeCell ref="A1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</dc:creator>
  <cp:lastModifiedBy>Naman Jain</cp:lastModifiedBy>
  <dcterms:created xsi:type="dcterms:W3CDTF">2015-06-05T18:17:20Z</dcterms:created>
  <dcterms:modified xsi:type="dcterms:W3CDTF">2026-05-28T16:15:55Z</dcterms:modified>
</cp:coreProperties>
</file>