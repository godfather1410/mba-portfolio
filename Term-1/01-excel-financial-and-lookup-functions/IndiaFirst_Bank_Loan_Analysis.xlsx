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911E6ED6-317B-4D0F-A335-18DE51C9013D}" xr6:coauthVersionLast="47" xr6:coauthVersionMax="47" xr10:uidLastSave="{00000000-0000-0000-0000-000000000000}"/>
  <bookViews>
    <workbookView xWindow="-110" yWindow="-110" windowWidth="25820" windowHeight="15500" activeTab="1" xr2:uid="{00000000-000D-0000-FFFF-FFFF00000000}"/>
  </bookViews>
  <sheets>
    <sheet name="Loan_Portfolio" sheetId="1" r:id="rId1"/>
    <sheet name="Analysis_Workspace" sheetId="2" r:id="rId2"/>
    <sheet name="Data_Dictionary" sheetId="3" r:id="rId3"/>
  </sheets>
  <definedNames>
    <definedName name="_xlnm._FilterDatabase" localSheetId="0" hidden="1">Loan_Portfolio!$A$1:$O$51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5" i="2" l="1"/>
  <c r="E34" i="2"/>
  <c r="E33" i="2"/>
  <c r="E32" i="2"/>
  <c r="E31" i="2"/>
  <c r="D31" i="2"/>
  <c r="D35" i="2"/>
  <c r="D34" i="2"/>
  <c r="D33" i="2"/>
  <c r="D32" i="2"/>
  <c r="C35" i="2"/>
  <c r="C34" i="2"/>
  <c r="C33" i="2"/>
  <c r="C32" i="2"/>
  <c r="C31" i="2"/>
  <c r="B35" i="2"/>
  <c r="B34" i="2"/>
  <c r="B33" i="2"/>
  <c r="B32" i="2"/>
  <c r="B31" i="2"/>
  <c r="C26" i="2"/>
  <c r="P2" i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2" i="1"/>
  <c r="P43" i="1"/>
  <c r="P44" i="1"/>
  <c r="P45" i="1"/>
  <c r="P46" i="1"/>
  <c r="P47" i="1"/>
  <c r="P48" i="1"/>
  <c r="P49" i="1"/>
  <c r="P50" i="1"/>
  <c r="P51" i="1"/>
  <c r="P18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2" i="1"/>
  <c r="C20" i="2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2" i="1"/>
  <c r="U3" i="1"/>
  <c r="U4" i="1"/>
  <c r="U5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2" i="1"/>
  <c r="R3" i="1" a="1"/>
  <c r="R3" i="1" s="1"/>
  <c r="R4" i="1" a="1"/>
  <c r="R4" i="1" s="1"/>
  <c r="R5" i="1" a="1"/>
  <c r="R5" i="1" s="1"/>
  <c r="R6" i="1" a="1"/>
  <c r="R6" i="1"/>
  <c r="R7" i="1" a="1"/>
  <c r="R7" i="1"/>
  <c r="R8" i="1" a="1"/>
  <c r="R8" i="1" s="1"/>
  <c r="R9" i="1" a="1"/>
  <c r="R9" i="1"/>
  <c r="R10" i="1" a="1"/>
  <c r="R10" i="1" s="1"/>
  <c r="R11" i="1" a="1"/>
  <c r="R11" i="1"/>
  <c r="R12" i="1" a="1"/>
  <c r="R12" i="1" s="1"/>
  <c r="R13" i="1" a="1"/>
  <c r="R13" i="1"/>
  <c r="R14" i="1" a="1"/>
  <c r="R14" i="1"/>
  <c r="R15" i="1" a="1"/>
  <c r="R15" i="1" s="1"/>
  <c r="R16" i="1" a="1"/>
  <c r="R16" i="1" s="1"/>
  <c r="R17" i="1" a="1"/>
  <c r="R17" i="1"/>
  <c r="R18" i="1" a="1"/>
  <c r="R18" i="1"/>
  <c r="R19" i="1" a="1"/>
  <c r="R19" i="1"/>
  <c r="R20" i="1" a="1"/>
  <c r="R20" i="1"/>
  <c r="R21" i="1" a="1"/>
  <c r="R21" i="1"/>
  <c r="R22" i="1" a="1"/>
  <c r="R22" i="1"/>
  <c r="R23" i="1" a="1"/>
  <c r="R23" i="1"/>
  <c r="R24" i="1" a="1"/>
  <c r="R24" i="1"/>
  <c r="R25" i="1" a="1"/>
  <c r="R25" i="1"/>
  <c r="R26" i="1" a="1"/>
  <c r="R26" i="1"/>
  <c r="R27" i="1" a="1"/>
  <c r="R27" i="1" s="1"/>
  <c r="R28" i="1" a="1"/>
  <c r="R28" i="1" s="1"/>
  <c r="R29" i="1" a="1"/>
  <c r="R29" i="1" s="1"/>
  <c r="R30" i="1" a="1"/>
  <c r="R30" i="1"/>
  <c r="R31" i="1" a="1"/>
  <c r="R31" i="1" s="1"/>
  <c r="R32" i="1" a="1"/>
  <c r="R32" i="1"/>
  <c r="R33" i="1" a="1"/>
  <c r="R33" i="1"/>
  <c r="R34" i="1" a="1"/>
  <c r="R34" i="1"/>
  <c r="R35" i="1" a="1"/>
  <c r="R35" i="1"/>
  <c r="R36" i="1" a="1"/>
  <c r="R36" i="1"/>
  <c r="R37" i="1" a="1"/>
  <c r="R37" i="1"/>
  <c r="R38" i="1" a="1"/>
  <c r="R38" i="1"/>
  <c r="R39" i="1" a="1"/>
  <c r="R39" i="1" s="1"/>
  <c r="R40" i="1" a="1"/>
  <c r="R40" i="1" s="1"/>
  <c r="R41" i="1" a="1"/>
  <c r="R41" i="1"/>
  <c r="R42" i="1" a="1"/>
  <c r="R42" i="1"/>
  <c r="R43" i="1" a="1"/>
  <c r="R43" i="1"/>
  <c r="R44" i="1" a="1"/>
  <c r="R44" i="1"/>
  <c r="R45" i="1" a="1"/>
  <c r="R45" i="1"/>
  <c r="R46" i="1" a="1"/>
  <c r="R46" i="1"/>
  <c r="R47" i="1" a="1"/>
  <c r="R47" i="1"/>
  <c r="R48" i="1" a="1"/>
  <c r="R48" i="1"/>
  <c r="R49" i="1" a="1"/>
  <c r="R49" i="1"/>
  <c r="R50" i="1" a="1"/>
  <c r="R50" i="1" s="1"/>
  <c r="R51" i="1" a="1"/>
  <c r="R51" i="1" s="1"/>
  <c r="R2" i="1" a="1"/>
  <c r="R2" i="1" s="1"/>
  <c r="Q3" i="1" a="1"/>
  <c r="Q3" i="1" s="1"/>
  <c r="Q4" i="1" a="1"/>
  <c r="Q4" i="1" s="1"/>
  <c r="Q5" i="1" a="1"/>
  <c r="Q5" i="1" s="1"/>
  <c r="Q6" i="1" a="1"/>
  <c r="Q6" i="1" s="1"/>
  <c r="Q7" i="1" a="1"/>
  <c r="Q7" i="1"/>
  <c r="Q8" i="1" a="1"/>
  <c r="Q8" i="1"/>
  <c r="Q9" i="1" a="1"/>
  <c r="Q9" i="1"/>
  <c r="Q10" i="1" a="1"/>
  <c r="Q10" i="1"/>
  <c r="Q11" i="1" a="1"/>
  <c r="Q11" i="1" s="1"/>
  <c r="Q12" i="1" a="1"/>
  <c r="Q12" i="1"/>
  <c r="Q13" i="1" a="1"/>
  <c r="Q13" i="1" s="1"/>
  <c r="Q14" i="1" a="1"/>
  <c r="Q14" i="1"/>
  <c r="Q15" i="1" a="1"/>
  <c r="Q15" i="1" s="1"/>
  <c r="Q16" i="1" a="1"/>
  <c r="Q16" i="1" s="1"/>
  <c r="Q17" i="1" a="1"/>
  <c r="Q17" i="1" s="1"/>
  <c r="Q18" i="1" a="1"/>
  <c r="Q18" i="1" s="1"/>
  <c r="Q19" i="1" a="1"/>
  <c r="Q19" i="1"/>
  <c r="Q20" i="1" a="1"/>
  <c r="Q20" i="1" s="1"/>
  <c r="Q21" i="1" a="1"/>
  <c r="Q21" i="1"/>
  <c r="Q22" i="1" a="1"/>
  <c r="Q22" i="1"/>
  <c r="Q23" i="1" a="1"/>
  <c r="Q23" i="1"/>
  <c r="Q24" i="1" a="1"/>
  <c r="Q24" i="1"/>
  <c r="Q25" i="1" a="1"/>
  <c r="Q25" i="1" s="1"/>
  <c r="Q26" i="1" a="1"/>
  <c r="Q26" i="1"/>
  <c r="Q27" i="1" a="1"/>
  <c r="Q27" i="1" s="1"/>
  <c r="Q28" i="1" a="1"/>
  <c r="Q28" i="1" s="1"/>
  <c r="Q29" i="1" a="1"/>
  <c r="Q29" i="1" s="1"/>
  <c r="Q30" i="1" a="1"/>
  <c r="Q30" i="1"/>
  <c r="Q31" i="1" a="1"/>
  <c r="Q31" i="1"/>
  <c r="Q32" i="1" a="1"/>
  <c r="Q32" i="1"/>
  <c r="Q33" i="1" a="1"/>
  <c r="Q33" i="1"/>
  <c r="Q34" i="1" a="1"/>
  <c r="Q34" i="1"/>
  <c r="Q35" i="1" a="1"/>
  <c r="Q35" i="1"/>
  <c r="Q36" i="1" a="1"/>
  <c r="Q36" i="1"/>
  <c r="Q37" i="1" a="1"/>
  <c r="Q37" i="1" s="1"/>
  <c r="Q38" i="1" a="1"/>
  <c r="Q38" i="1"/>
  <c r="Q39" i="1" a="1"/>
  <c r="Q39" i="1" s="1"/>
  <c r="Q40" i="1" a="1"/>
  <c r="Q40" i="1" s="1"/>
  <c r="Q41" i="1" a="1"/>
  <c r="Q41" i="1" s="1"/>
  <c r="Q42" i="1" a="1"/>
  <c r="Q42" i="1"/>
  <c r="Q43" i="1" a="1"/>
  <c r="Q43" i="1"/>
  <c r="Q44" i="1" a="1"/>
  <c r="Q44" i="1" s="1"/>
  <c r="Q45" i="1" a="1"/>
  <c r="Q45" i="1" s="1"/>
  <c r="Q46" i="1" a="1"/>
  <c r="Q46" i="1"/>
  <c r="Q47" i="1" a="1"/>
  <c r="Q47" i="1"/>
  <c r="Q48" i="1" a="1"/>
  <c r="Q48" i="1"/>
  <c r="Q49" i="1" a="1"/>
  <c r="Q49" i="1" s="1"/>
  <c r="Q50" i="1" a="1"/>
  <c r="Q50" i="1"/>
  <c r="Q51" i="1" a="1"/>
  <c r="Q51" i="1" s="1"/>
  <c r="Q2" i="1" a="1"/>
  <c r="Q2" i="1" s="1"/>
  <c r="C14" i="2"/>
  <c r="C13" i="2"/>
  <c r="C10" i="2"/>
  <c r="C12" i="2"/>
  <c r="C11" i="2"/>
  <c r="C8" i="2"/>
  <c r="C7" i="2"/>
  <c r="C6" i="2"/>
  <c r="C5" i="2"/>
  <c r="C4" i="2"/>
  <c r="B37" i="2"/>
  <c r="D8" i="2"/>
  <c r="C37" i="2"/>
  <c r="D20" i="2"/>
  <c r="D7" i="2"/>
  <c r="D13" i="2"/>
  <c r="D37" i="2"/>
  <c r="D12" i="2"/>
  <c r="D18" i="2"/>
  <c r="D5" i="2"/>
  <c r="D6" i="2"/>
  <c r="D14" i="2"/>
  <c r="D21" i="2"/>
  <c r="D4" i="2"/>
  <c r="D22" i="2"/>
  <c r="D24" i="2"/>
  <c r="D11" i="2"/>
  <c r="D16" i="2"/>
  <c r="D17" i="2"/>
  <c r="D10" i="2"/>
  <c r="E37" i="2"/>
  <c r="D27" i="2"/>
  <c r="D26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<sst xmlns="http://schemas.openxmlformats.org/spreadsheetml/2006/main" count="552" uniqueCount="206">
  <si>
    <t>Loan_ID</t>
  </si>
  <si>
    <t>Branch</t>
  </si>
  <si>
    <t>Region</t>
  </si>
  <si>
    <t>Product_Type</t>
  </si>
  <si>
    <t>Borrower_Segment</t>
  </si>
  <si>
    <t>Loan_Amount (₹)</t>
  </si>
  <si>
    <t>Loan_Tenor (months)</t>
  </si>
  <si>
    <t>Interest_Rate (%)</t>
  </si>
  <si>
    <t>EMI (₹)</t>
  </si>
  <si>
    <t>Outstanding_Balance (₹)</t>
  </si>
  <si>
    <t>Months_Overdue</t>
  </si>
  <si>
    <t>Credit_Score</t>
  </si>
  <si>
    <t>Collateral_Type</t>
  </si>
  <si>
    <t>Relationship_Manager</t>
  </si>
  <si>
    <t>Disbursement_Month</t>
  </si>
  <si>
    <t>L001</t>
  </si>
  <si>
    <t>Mumbai Central</t>
  </si>
  <si>
    <t>West</t>
  </si>
  <si>
    <t>Home Loan</t>
  </si>
  <si>
    <t>Salaried</t>
  </si>
  <si>
    <t>Property</t>
  </si>
  <si>
    <t>Ravi Sharma</t>
  </si>
  <si>
    <t>Apr-23</t>
  </si>
  <si>
    <t>L002</t>
  </si>
  <si>
    <t>Chennai South</t>
  </si>
  <si>
    <t>South</t>
  </si>
  <si>
    <t>Personal Loan</t>
  </si>
  <si>
    <t>None</t>
  </si>
  <si>
    <t>Priya Nair</t>
  </si>
  <si>
    <t>May-23</t>
  </si>
  <si>
    <t>L003</t>
  </si>
  <si>
    <t>Delhi North</t>
  </si>
  <si>
    <t>North</t>
  </si>
  <si>
    <t>Business Loan</t>
  </si>
  <si>
    <t>Self-Emp</t>
  </si>
  <si>
    <t>Machinery</t>
  </si>
  <si>
    <t>Amit Gupta</t>
  </si>
  <si>
    <t>Jun-23</t>
  </si>
  <si>
    <t>L004</t>
  </si>
  <si>
    <t>Kolkata East</t>
  </si>
  <si>
    <t>East</t>
  </si>
  <si>
    <t>Sneha Das</t>
  </si>
  <si>
    <t>L005</t>
  </si>
  <si>
    <t>Auto Loan</t>
  </si>
  <si>
    <t>Vehicle</t>
  </si>
  <si>
    <t>Jul-23</t>
  </si>
  <si>
    <t>L006</t>
  </si>
  <si>
    <t>Hyderabad</t>
  </si>
  <si>
    <t>Kiran Reddy</t>
  </si>
  <si>
    <t>Aug-23</t>
  </si>
  <si>
    <t>L007</t>
  </si>
  <si>
    <t>Sep-23</t>
  </si>
  <si>
    <t>L008</t>
  </si>
  <si>
    <t>Bangalore</t>
  </si>
  <si>
    <t>Meena Iyer</t>
  </si>
  <si>
    <t>L009</t>
  </si>
  <si>
    <t>Oct-23</t>
  </si>
  <si>
    <t>L010</t>
  </si>
  <si>
    <t>Nov-23</t>
  </si>
  <si>
    <t>L011</t>
  </si>
  <si>
    <t>L012</t>
  </si>
  <si>
    <t>L013</t>
  </si>
  <si>
    <t>Dec-23</t>
  </si>
  <si>
    <t>L014</t>
  </si>
  <si>
    <t>L015</t>
  </si>
  <si>
    <t>L016</t>
  </si>
  <si>
    <t>L017</t>
  </si>
  <si>
    <t>L018</t>
  </si>
  <si>
    <t>L019</t>
  </si>
  <si>
    <t>L020</t>
  </si>
  <si>
    <t>L021</t>
  </si>
  <si>
    <t>L022</t>
  </si>
  <si>
    <t>L023</t>
  </si>
  <si>
    <t>L024</t>
  </si>
  <si>
    <t>Jan-24</t>
  </si>
  <si>
    <t>L025</t>
  </si>
  <si>
    <t>Feb-24</t>
  </si>
  <si>
    <t>L026</t>
  </si>
  <si>
    <t>L027</t>
  </si>
  <si>
    <t>L028</t>
  </si>
  <si>
    <t>L029</t>
  </si>
  <si>
    <t>L030</t>
  </si>
  <si>
    <t>L031</t>
  </si>
  <si>
    <t>L032</t>
  </si>
  <si>
    <t>L033</t>
  </si>
  <si>
    <t>L034</t>
  </si>
  <si>
    <t>L035</t>
  </si>
  <si>
    <t>L036</t>
  </si>
  <si>
    <t>L037</t>
  </si>
  <si>
    <t>L038</t>
  </si>
  <si>
    <t>Mar-24</t>
  </si>
  <si>
    <t>L039</t>
  </si>
  <si>
    <t>L040</t>
  </si>
  <si>
    <t>L041</t>
  </si>
  <si>
    <t>L042</t>
  </si>
  <si>
    <t>L043</t>
  </si>
  <si>
    <t>L044</t>
  </si>
  <si>
    <t>L045</t>
  </si>
  <si>
    <t>L046</t>
  </si>
  <si>
    <t>L047</t>
  </si>
  <si>
    <t>L048</t>
  </si>
  <si>
    <t>L049</t>
  </si>
  <si>
    <t>L050</t>
  </si>
  <si>
    <t>IndiaFirst Commercial Bank — Analysis Workspace (Students complete this sheet)</t>
  </si>
  <si>
    <t>Q#</t>
  </si>
  <si>
    <t>Metric / Question</t>
  </si>
  <si>
    <t>Your Formula / Answer</t>
  </si>
  <si>
    <t>── PART A: Basic Conditional Counting &amp; Summation ──</t>
  </si>
  <si>
    <t>Q1</t>
  </si>
  <si>
    <t>Count the total number of Home Loan accounts in the portfolio.</t>
  </si>
  <si>
    <t>Q2</t>
  </si>
  <si>
    <t>Calculate the total outstanding balance of all loans disbursed from the South region.</t>
  </si>
  <si>
    <t>Q3</t>
  </si>
  <si>
    <t>Find the average interest rate applicable to Self-Employed borrowers only.</t>
  </si>
  <si>
    <t>Q4</t>
  </si>
  <si>
    <t>Count the number of loans where the borrower has a Credit Score above 750.</t>
  </si>
  <si>
    <t>Q5</t>
  </si>
  <si>
    <t>Calculate the total Loan Amount sanctioned by Relationship Manager 'Ravi Sharma'.</t>
  </si>
  <si>
    <t>── PART B: Multi-Condition Analysis (SUMIFS / COUNTIFS / AVERAGEIFS) ──</t>
  </si>
  <si>
    <t>Q6</t>
  </si>
  <si>
    <t>How many Business Loans were sanctioned to Self-Employed borrowers in the North or West region? (Hint: may need two formulas combined)</t>
  </si>
  <si>
    <t>Q7</t>
  </si>
  <si>
    <t>What is the total outstanding balance of Home Loans where the borrower is Salaried AND the credit score is 750 or above?</t>
  </si>
  <si>
    <t>Q8</t>
  </si>
  <si>
    <t>Find the average EMI for Auto Loans disbursed in the West region.</t>
  </si>
  <si>
    <t>Q9</t>
  </si>
  <si>
    <t>How many loans have an outstanding balance greater than ₹50,00,000 AND have zero months overdue?</t>
  </si>
  <si>
    <t>Q10</t>
  </si>
  <si>
    <t>What is the total loan amount sanctioned for Personal Loans with a credit score between 700 and 750 (inclusive)?</t>
  </si>
  <si>
    <t>── PART C: Nested IF &amp; IFS — Risk Classification ──</t>
  </si>
  <si>
    <t>Q11</t>
  </si>
  <si>
    <t>Q12</t>
  </si>
  <si>
    <t>In column Q of the Loan_Portfolio sheet (header: Risk_Band), write a formula using IFS to assign a Risk Band based on Credit_Score: 'Prime' (≥780), 'Near-Prime' (700–779), 'Sub-Prime' (640–699), 'High-Risk' (&lt;640).</t>
  </si>
  <si>
    <t>Q13</t>
  </si>
  <si>
    <t>Using the IFS / nested IF logic, write a formula in column R (header: RM_Commission_Rate) of Loan_Portfolio to assign commission rates: Home Loan = 0.50%, Business Loan = 0.75%, Auto Loan = 0.40%, Personal Loan = 0.60%.</t>
  </si>
  <si>
    <t>── PART D: AND / OR Logic ──</t>
  </si>
  <si>
    <t>Q14</t>
  </si>
  <si>
    <t>Count loans where the borrower is Salaried AND the product type is Home Loan AND the credit score exceeds 760. Use COUNTIFS.</t>
  </si>
  <si>
    <t>Q15</t>
  </si>
  <si>
    <t>A loan qualifies for a 'Priority Review' if EITHER the Months_Overdue ≥ 3 OR the Credit Score is below 650. In column S (header: Priority_Review) of Loan_Portfolio, write a formula using IF and OR to flag these loans as 'Yes' or 'No'.</t>
  </si>
  <si>
    <t>Q16</t>
  </si>
  <si>
    <t>A loan is eligible for an interest rate concession only if: the borrower is Salaried AND the Credit Score is ≥ 750 AND the product is either Home Loan or Auto Loan. In column T (header: Rate_Concession_Eligible), write IF + AND + OR to output 'Eligible' or 'Not Eligible'.</t>
  </si>
  <si>
    <t>── PART E: IFERROR &amp; Robust Formula Design ──</t>
  </si>
  <si>
    <t>Q17</t>
  </si>
  <si>
    <t>Calculate the 'Loan Coverage Ratio' (Outstanding Balance ÷ Original Loan Amount) for each loan. In column U (header: Coverage_Ratio) of Loan_Portfolio, write a formula with IFERROR to handle any division errors — display 'N/A' if an error occurs.</t>
  </si>
  <si>
    <t>── PART F: Integrative / Dashboard Metrics ──</t>
  </si>
  <si>
    <t>Q19</t>
  </si>
  <si>
    <t>Calculate the Gross NPA Ratio: Total Outstanding Balance of NPA loans ÷ Total Outstanding Balance of all loans. Express as a percentage. (Use your NPA_Flag column from Q11.)</t>
  </si>
  <si>
    <t>Q20</t>
  </si>
  <si>
    <t>Build a mini Branch Performance Summary table (below) showing: for each of the 5 branches — (a) Total Loan Amount, (b) Count of Loans, (c) Average Credit Score, (d) Total Outstanding Balance of NPA loans only.</t>
  </si>
  <si>
    <t>Total Loan Amount (₹)</t>
  </si>
  <si>
    <t>No. of Loans</t>
  </si>
  <si>
    <t>Avg. Credit Score</t>
  </si>
  <si>
    <t>NPA Outstanding Balance (₹)</t>
  </si>
  <si>
    <t>Data Dictionary — Loan_Portfolio Sheet</t>
  </si>
  <si>
    <t>Column Name</t>
  </si>
  <si>
    <t>Data Type</t>
  </si>
  <si>
    <t>Description</t>
  </si>
  <si>
    <t>Possible Values / Range</t>
  </si>
  <si>
    <t>Text</t>
  </si>
  <si>
    <t>Unique identifier for each loan account</t>
  </si>
  <si>
    <t>L001 – L050</t>
  </si>
  <si>
    <t>Branch where the loan was originated</t>
  </si>
  <si>
    <t>Mumbai Central, Chennai South, Delhi North, Kolkata East, Hyderabad</t>
  </si>
  <si>
    <t>Geographic region of the branch</t>
  </si>
  <si>
    <t>North, South, East, West</t>
  </si>
  <si>
    <t>Category of loan product</t>
  </si>
  <si>
    <t>Home Loan, Business Loan, Auto Loan, Personal Loan</t>
  </si>
  <si>
    <t>Employment profile of the borrower</t>
  </si>
  <si>
    <t>Salaried, Self-Emp</t>
  </si>
  <si>
    <t>Number</t>
  </si>
  <si>
    <t>Original principal amount sanctioned</t>
  </si>
  <si>
    <t>Varies — ₹2,50,000 to ₹1,20,00,000</t>
  </si>
  <si>
    <t>Total repayment period in months</t>
  </si>
  <si>
    <t>24 to 300 months</t>
  </si>
  <si>
    <t>Annual interest rate applicable</t>
  </si>
  <si>
    <t>8.25% to 16.00%</t>
  </si>
  <si>
    <t>Equated Monthly Instalment payable</t>
  </si>
  <si>
    <t>Calculated based on loan, rate, tenor</t>
  </si>
  <si>
    <t>Remaining principal as at March 2024</t>
  </si>
  <si>
    <t>Less than or equal to Loan_Amount</t>
  </si>
  <si>
    <t>Number of months EMI is overdue (0 = current)</t>
  </si>
  <si>
    <t>0 to 8</t>
  </si>
  <si>
    <t>CIBIL credit score of borrower</t>
  </si>
  <si>
    <t>591 to 812</t>
  </si>
  <si>
    <t>Asset pledged as security against the loan</t>
  </si>
  <si>
    <t>Property, Vehicle, Machinery, None</t>
  </si>
  <si>
    <t>Bank employee managing the account</t>
  </si>
  <si>
    <t>Ravi Sharma, Priya Nair, Amit Gupta, Sneha Das, Kiran Reddy, Meena Iyer</t>
  </si>
  <si>
    <t>Month-Year when loan was disbursed</t>
  </si>
  <si>
    <t>Apr-23 to Mar-24</t>
  </si>
  <si>
    <t>Formula</t>
  </si>
  <si>
    <t>Branch Performance Summary Table (Enter formulas in shaded cells)</t>
  </si>
  <si>
    <t>In column P of the Loan_Portfolio sheet (header: NPA_Flag), write a formula using IF to classify each loan: 'NPA' if Months_Overdue ≥ 6,else, 'Standard'</t>
  </si>
  <si>
    <t>NPA Flag</t>
  </si>
  <si>
    <t>Risk Behaviour</t>
  </si>
  <si>
    <t>Priority Review</t>
  </si>
  <si>
    <t>"=IF(K2&gt;=6, "Flagged", "Pass")"</t>
  </si>
  <si>
    <t>"=IFS(L2&gt;=780, "Prime", L2&gt;=700, "Near Prime", L2&gt;=640, "Sub Prime", L2&lt;640, "High Risk")"</t>
  </si>
  <si>
    <t>"=IFS(D2="Home Loan",F2*0.005,D2="Business Loan",F2*0.0075,D2="Auto Loan",F2*0.004,D2="Personal Loan",F2*0.006)"</t>
  </si>
  <si>
    <t>RM Commission Rate</t>
  </si>
  <si>
    <t>Loan Coverage Ratio</t>
  </si>
  <si>
    <t>"=IFERROR(J2/F2, "NA")"</t>
  </si>
  <si>
    <t>"=IF(OR(K2&gt;=3, L2&lt;650), "YES", "NO")"</t>
  </si>
  <si>
    <t>Rate Concession Eligible</t>
  </si>
  <si>
    <t>"=IF(AND(OR(D2="Home Loan", D2="Auto Loan"), E2="Salaried", L2&gt;=750), "Eligible", "Not Eligible")"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</si>
</sst>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"/>
    <numFmt numFmtId="165" formatCode="_ [$₹-4009]\ * #,##0.00_ ;_ [$₹-4009]\ * \-#,##0.00_ ;_ [$₹-4009]\ * &quot;-&quot;??_ ;_ @_ "/>
  </numFmts>
  <fonts count="9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2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name val="Arial"/>
      <family val="2"/>
    </font>
    <font>
      <sz val="10"/>
      <color rgb="FF0000CC"/>
      <name val="Arial"/>
      <family val="2"/>
    </font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6DA4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FFFF99"/>
      </patternFill>
    </fill>
    <fill>
      <patternFill patternType="solid">
        <fgColor rgb="FFC9A227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/>
      <bottom/>
      <diagonal/>
    </border>
    <border>
      <left style="thin">
        <color rgb="FFAAAAAA"/>
      </left>
      <right/>
      <top/>
      <bottom/>
      <diagonal/>
    </border>
  </borders>
  <cellStyleXfs count="2">
    <xf numFmtId="0" fontId="0" fillId="0" borderId="0"/>
    <xf numFmtId="9" fontId="7" fillId="0" borderId="0" applyFont="0" applyFill="0" applyBorder="0" applyAlignment="0" applyProtection="0"/>
  </cellStyleXfs>
  <cellXfs count="31">
    <xf numFmtId="0" fontId="0" fillId="0" borderId="0" xfId="0"/>
    <xf numFmtId="0" fontId="1" fillId="3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/>
    </xf>
    <xf numFmtId="164" fontId="6" fillId="6" borderId="1" xfId="0" applyNumberFormat="1" applyFont="1" applyFill="1" applyBorder="1"/>
    <xf numFmtId="3" fontId="6" fillId="6" borderId="1" xfId="0" applyNumberFormat="1" applyFont="1" applyFill="1" applyBorder="1"/>
    <xf numFmtId="0" fontId="2" fillId="5" borderId="1" xfId="0" applyFont="1" applyFill="1" applyBorder="1" applyAlignment="1">
      <alignment horizontal="left" vertical="center" wrapText="1"/>
    </xf>
    <xf numFmtId="0" fontId="2" fillId="4" borderId="1" xfId="0" applyFont="1" applyFill="1" applyBorder="1" applyAlignment="1">
      <alignment horizontal="left" vertical="center" wrapText="1"/>
    </xf>
    <xf numFmtId="165" fontId="6" fillId="6" borderId="1" xfId="0" applyNumberFormat="1" applyFont="1" applyFill="1" applyBorder="1" applyAlignment="1">
      <alignment horizontal="left" vertical="center"/>
    </xf>
    <xf numFmtId="2" fontId="6" fillId="6" borderId="1" xfId="1" applyNumberFormat="1" applyFont="1" applyFill="1" applyBorder="1" applyAlignment="1">
      <alignment horizontal="left" vertical="center"/>
    </xf>
    <xf numFmtId="0" fontId="8" fillId="0" borderId="0" xfId="0" applyFont="1" applyAlignment="1">
      <alignment wrapText="1"/>
    </xf>
    <xf numFmtId="0" fontId="4" fillId="3" borderId="2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1" fontId="6" fillId="6" borderId="1" xfId="0" applyNumberFormat="1" applyFont="1" applyFill="1" applyBorder="1" applyAlignment="1">
      <alignment wrapText="1"/>
    </xf>
    <xf numFmtId="9" fontId="6" fillId="6" borderId="1" xfId="1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0" fillId="0" borderId="0" xfId="0"/>
    <xf numFmtId="0" fontId="4" fillId="7" borderId="0" xfId="0" applyFont="1" applyFill="1" applyAlignment="1">
      <alignment horizontal="left" vertical="center"/>
    </xf>
    <xf numFmtId="0" fontId="4" fillId="3" borderId="0" xfId="0" applyFont="1" applyFill="1" applyAlignment="1">
      <alignment horizontal="left" vertical="center"/>
    </xf>
    <xf numFmtId="0" fontId="1" fillId="3" borderId="2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1" fillId="3" borderId="3" xfId="0" applyFont="1" applyFill="1" applyBorder="1" applyAlignment="1">
      <alignment horizontal="center" vertical="center" wrapText="1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51"/>
  <sheetViews>
    <sheetView topLeftCell="J1" zoomScale="96" workbookViewId="0">
      <pane ySplit="1" topLeftCell="A2" activePane="bottomLeft" state="frozen"/>
      <selection pane="bottomLeft" activeCell="P3" sqref="P3"/>
    </sheetView>
  </sheetViews>
  <sheetFormatPr defaultRowHeight="14.5" x14ac:dyDescent="0.35"/>
  <cols>
    <col min="1" max="1" width="9" customWidth="1"/>
    <col min="2" max="2" width="17" customWidth="1"/>
    <col min="3" max="3" width="9" customWidth="1"/>
    <col min="4" max="4" width="16" customWidth="1"/>
    <col min="5" max="5" width="12" customWidth="1"/>
    <col min="6" max="6" width="18" customWidth="1"/>
    <col min="7" max="9" width="14" customWidth="1"/>
    <col min="10" max="10" width="20" customWidth="1"/>
    <col min="11" max="12" width="12" customWidth="1"/>
    <col min="13" max="13" width="13.453125" bestFit="1" customWidth="1"/>
    <col min="14" max="14" width="18" customWidth="1"/>
    <col min="15" max="15" width="16" customWidth="1"/>
    <col min="17" max="17" width="12" customWidth="1"/>
  </cols>
  <sheetData>
    <row r="1" spans="1:21" ht="4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8" t="s">
        <v>194</v>
      </c>
      <c r="Q1" s="28" t="s">
        <v>195</v>
      </c>
      <c r="R1" s="28" t="s">
        <v>200</v>
      </c>
      <c r="S1" s="28" t="s">
        <v>196</v>
      </c>
      <c r="T1" s="28" t="s">
        <v>204</v>
      </c>
      <c r="U1" s="30" t="s">
        <v>201</v>
      </c>
    </row>
    <row r="2" spans="1:21" x14ac:dyDescent="0.35">
      <c r="A2" s="20" t="s">
        <v>15</v>
      </c>
      <c r="B2" s="21" t="s">
        <v>16</v>
      </c>
      <c r="C2" s="21" t="s">
        <v>17</v>
      </c>
      <c r="D2" s="21" t="s">
        <v>18</v>
      </c>
      <c r="E2" s="21" t="s">
        <v>19</v>
      </c>
      <c r="F2" s="22">
        <v>0</v>
      </c>
      <c r="G2" s="20">
        <v>240</v>
      </c>
      <c r="H2" s="23">
        <v>8.5</v>
      </c>
      <c r="I2" s="22">
        <v>65217</v>
      </c>
      <c r="J2" s="22">
        <v>6980000</v>
      </c>
      <c r="K2" s="20">
        <v>0</v>
      </c>
      <c r="L2" s="20">
        <v>762</v>
      </c>
      <c r="M2" s="21" t="s">
        <v>20</v>
      </c>
      <c r="N2" s="21" t="s">
        <v>21</v>
      </c>
      <c r="O2" s="20" t="s">
        <v>22</v>
      </c>
      <c r="P2" t="str">
        <f t="shared" ref="P2:P17" si="0">IF(K2&gt;=6, "Flagged", "")</f>
        <v/>
      </c>
      <c r="Q2" t="str" cm="1">
        <f t="array" ref="Q2">_xlfn.IFS(L2&gt;=780, "Prime", L2&gt;=700, "Near Prime", L2&gt;=640, "Sub Prime", L2&lt;640, "High Risk")</f>
        <v>Near Prime</v>
      </c>
      <c r="R2" cm="1">
        <f t="array" ref="R2">_xlfn.IFS(D2="Home Loan",F2*0.005,D2="Business Loan",F2*0.0075,D2="Auto Loan",F2*0.004,D2="Personal Loan",F2*0.006)</f>
        <v>0</v>
      </c>
      <c r="S2" t="str">
        <f>IF(OR(K2&gt;=3, L2&lt;650), "YES", "NO")</f>
        <v>NO</v>
      </c>
      <c r="T2" t="str">
        <f>IF(AND(OR(D2="Home Loan", D2="Auto Loan"), E2="Salaried", L2&gt;=750), "Eligible", "Not Eligible")</f>
        <v>Eligible</v>
      </c>
      <c r="U2" t="str">
        <f>IFERROR(J2/F2, "NA")</f>
        <v>NA</v>
      </c>
    </row>
    <row r="3" spans="1:21" x14ac:dyDescent="0.35">
      <c r="A3" s="20" t="s">
        <v>23</v>
      </c>
      <c r="B3" s="21" t="s">
        <v>24</v>
      </c>
      <c r="C3" s="21" t="s">
        <v>25</v>
      </c>
      <c r="D3" s="21" t="s">
        <v>26</v>
      </c>
      <c r="E3" s="21" t="s">
        <v>19</v>
      </c>
      <c r="F3" s="22">
        <v>450000</v>
      </c>
      <c r="G3" s="20">
        <v>36</v>
      </c>
      <c r="H3" s="23">
        <v>14</v>
      </c>
      <c r="I3" s="22">
        <v>15364</v>
      </c>
      <c r="J3" s="22">
        <v>312000</v>
      </c>
      <c r="K3" s="20">
        <v>0</v>
      </c>
      <c r="L3" s="20">
        <v>710</v>
      </c>
      <c r="M3" s="21" t="s">
        <v>27</v>
      </c>
      <c r="N3" s="21" t="s">
        <v>28</v>
      </c>
      <c r="O3" s="20" t="s">
        <v>29</v>
      </c>
      <c r="P3" t="str">
        <f t="shared" si="0"/>
        <v/>
      </c>
      <c r="Q3" t="str" cm="1">
        <f t="array" ref="Q3">_xlfn.IFS(L3&gt;=780, "Prime", L3&gt;=700, "Near Prime", L3&gt;=640, "Sub Prime", L3&lt;640, "High Risk")</f>
        <v>Near Prime</v>
      </c>
      <c r="R3" cm="1">
        <f t="array" ref="R3">_xlfn.IFS(D3="Home Loan",F3*0.005,D3="Business Loan",F3*0.0075,D3="Auto Loan",F3*0.004,D3="Personal Loan",F3*0.006)</f>
        <v>2700</v>
      </c>
      <c r="S3" t="str">
        <f t="shared" ref="S3:S51" si="1">IF(OR(K3&gt;=3, L3&lt;650), "YES", "NO")</f>
        <v>NO</v>
      </c>
      <c r="T3" t="str">
        <f t="shared" ref="T3:T51" si="2">IF(AND(OR(D3="Home Loan", D3="Auto Loan"), E3="Salaried", L3&gt;=750), "Eligible", "Not Eligible")</f>
        <v>Not Eligible</v>
      </c>
      <c r="U3">
        <f t="shared" ref="U3:U51" si="3">IFERROR(J3/F3, "NA")</f>
        <v>0.69333333333333336</v>
      </c>
    </row>
    <row r="4" spans="1:21" x14ac:dyDescent="0.35">
      <c r="A4" s="20" t="s">
        <v>30</v>
      </c>
      <c r="B4" s="21" t="s">
        <v>31</v>
      </c>
      <c r="C4" s="21" t="s">
        <v>32</v>
      </c>
      <c r="D4" s="21" t="s">
        <v>33</v>
      </c>
      <c r="E4" s="21" t="s">
        <v>34</v>
      </c>
      <c r="F4" s="22">
        <v>2500000</v>
      </c>
      <c r="G4" s="20">
        <v>60</v>
      </c>
      <c r="H4" s="23">
        <v>11.5</v>
      </c>
      <c r="I4" s="22">
        <v>54793</v>
      </c>
      <c r="J4" s="22">
        <v>1980000</v>
      </c>
      <c r="K4" s="20">
        <v>2</v>
      </c>
      <c r="L4" s="20">
        <v>684</v>
      </c>
      <c r="M4" s="21" t="s">
        <v>35</v>
      </c>
      <c r="N4" s="21" t="s">
        <v>36</v>
      </c>
      <c r="O4" s="20" t="s">
        <v>37</v>
      </c>
      <c r="P4" t="str">
        <f t="shared" si="0"/>
        <v/>
      </c>
      <c r="Q4" t="str" cm="1">
        <f t="array" ref="Q4">_xlfn.IFS(L4&gt;=780, "Prime", L4&gt;=700, "Near Prime", L4&gt;=640, "Sub Prime", L4&lt;640, "High Risk")</f>
        <v>Sub Prime</v>
      </c>
      <c r="R4" cm="1">
        <f t="array" ref="R4">_xlfn.IFS(D4="Home Loan",F4*0.005,D4="Business Loan",F4*0.0075,D4="Auto Loan",F4*0.004,D4="Personal Loan",F4*0.006)</f>
        <v>18750</v>
      </c>
      <c r="S4" t="str">
        <f t="shared" si="1"/>
        <v>NO</v>
      </c>
      <c r="T4" t="str">
        <f t="shared" si="2"/>
        <v>Not Eligible</v>
      </c>
      <c r="U4">
        <f t="shared" si="3"/>
        <v>0.79200000000000004</v>
      </c>
    </row>
    <row r="5" spans="1:21" x14ac:dyDescent="0.35">
      <c r="A5" s="20" t="s">
        <v>38</v>
      </c>
      <c r="B5" s="21" t="s">
        <v>39</v>
      </c>
      <c r="C5" s="21" t="s">
        <v>40</v>
      </c>
      <c r="D5" s="21" t="s">
        <v>18</v>
      </c>
      <c r="E5" s="21" t="s">
        <v>19</v>
      </c>
      <c r="F5" s="22">
        <v>5200000</v>
      </c>
      <c r="G5" s="20">
        <v>180</v>
      </c>
      <c r="H5" s="23">
        <v>8.75</v>
      </c>
      <c r="I5" s="22">
        <v>52019</v>
      </c>
      <c r="J5" s="22">
        <v>4870000</v>
      </c>
      <c r="K5" s="20">
        <v>0</v>
      </c>
      <c r="L5" s="20">
        <v>785</v>
      </c>
      <c r="M5" s="21" t="s">
        <v>20</v>
      </c>
      <c r="N5" s="21" t="s">
        <v>41</v>
      </c>
      <c r="O5" s="20" t="s">
        <v>22</v>
      </c>
      <c r="P5" t="str">
        <f t="shared" si="0"/>
        <v/>
      </c>
      <c r="Q5" t="str" cm="1">
        <f t="array" ref="Q5">_xlfn.IFS(L5&gt;=780, "Prime", L5&gt;=700, "Near Prime", L5&gt;=640, "Sub Prime", L5&lt;640, "High Risk")</f>
        <v>Prime</v>
      </c>
      <c r="R5" cm="1">
        <f t="array" ref="R5">_xlfn.IFS(D5="Home Loan",F5*0.005,D5="Business Loan",F5*0.0075,D5="Auto Loan",F5*0.004,D5="Personal Loan",F5*0.006)</f>
        <v>26000</v>
      </c>
      <c r="S5" t="str">
        <f t="shared" si="1"/>
        <v>NO</v>
      </c>
      <c r="T5" t="str">
        <f t="shared" si="2"/>
        <v>Eligible</v>
      </c>
      <c r="U5">
        <f t="shared" si="3"/>
        <v>0.93653846153846154</v>
      </c>
    </row>
    <row r="6" spans="1:21" x14ac:dyDescent="0.35">
      <c r="A6" s="20" t="s">
        <v>42</v>
      </c>
      <c r="B6" s="21" t="s">
        <v>16</v>
      </c>
      <c r="C6" s="21" t="s">
        <v>17</v>
      </c>
      <c r="D6" s="21" t="s">
        <v>43</v>
      </c>
      <c r="E6" s="21" t="s">
        <v>19</v>
      </c>
      <c r="F6" s="22">
        <v>800000</v>
      </c>
      <c r="G6" s="20">
        <v>60</v>
      </c>
      <c r="H6" s="23">
        <v>9.25</v>
      </c>
      <c r="I6" s="22">
        <v>16656</v>
      </c>
      <c r="J6" s="22">
        <v>620000</v>
      </c>
      <c r="K6" s="20">
        <v>1</v>
      </c>
      <c r="L6" s="20">
        <v>730</v>
      </c>
      <c r="M6" s="21" t="s">
        <v>44</v>
      </c>
      <c r="N6" s="21" t="s">
        <v>21</v>
      </c>
      <c r="O6" s="20" t="s">
        <v>45</v>
      </c>
      <c r="P6" t="str">
        <f t="shared" si="0"/>
        <v/>
      </c>
      <c r="Q6" t="str" cm="1">
        <f t="array" ref="Q6">_xlfn.IFS(L6&gt;=780, "Prime", L6&gt;=700, "Near Prime", L6&gt;=640, "Sub Prime", L6&lt;640, "High Risk")</f>
        <v>Near Prime</v>
      </c>
      <c r="R6" cm="1">
        <f t="array" ref="R6">_xlfn.IFS(D6="Home Loan",F6*0.005,D6="Business Loan",F6*0.0075,D6="Auto Loan",F6*0.004,D6="Personal Loan",F6*0.006)</f>
        <v>3200</v>
      </c>
      <c r="S6" t="str">
        <f t="shared" si="1"/>
        <v>NO</v>
      </c>
      <c r="T6" t="str">
        <f t="shared" si="2"/>
        <v>Not Eligible</v>
      </c>
      <c r="U6">
        <f t="shared" si="3"/>
        <v>0.77500000000000002</v>
      </c>
    </row>
    <row r="7" spans="1:21" x14ac:dyDescent="0.35">
      <c r="A7" s="20" t="s">
        <v>46</v>
      </c>
      <c r="B7" s="21" t="s">
        <v>47</v>
      </c>
      <c r="C7" s="21" t="s">
        <v>25</v>
      </c>
      <c r="D7" s="21" t="s">
        <v>26</v>
      </c>
      <c r="E7" s="21" t="s">
        <v>34</v>
      </c>
      <c r="F7" s="22">
        <v>350000</v>
      </c>
      <c r="G7" s="20">
        <v>24</v>
      </c>
      <c r="H7" s="23">
        <v>15.5</v>
      </c>
      <c r="I7" s="22">
        <v>17139</v>
      </c>
      <c r="J7" s="22">
        <v>89000</v>
      </c>
      <c r="K7" s="20">
        <v>0</v>
      </c>
      <c r="L7" s="20">
        <v>695</v>
      </c>
      <c r="M7" s="21" t="s">
        <v>27</v>
      </c>
      <c r="N7" s="21" t="s">
        <v>48</v>
      </c>
      <c r="O7" s="20" t="s">
        <v>49</v>
      </c>
      <c r="P7" t="str">
        <f t="shared" si="0"/>
        <v/>
      </c>
      <c r="Q7" t="str" cm="1">
        <f t="array" ref="Q7">_xlfn.IFS(L7&gt;=780, "Prime", L7&gt;=700, "Near Prime", L7&gt;=640, "Sub Prime", L7&lt;640, "High Risk")</f>
        <v>Sub Prime</v>
      </c>
      <c r="R7" cm="1">
        <f t="array" ref="R7">_xlfn.IFS(D7="Home Loan",F7*0.005,D7="Business Loan",F7*0.0075,D7="Auto Loan",F7*0.004,D7="Personal Loan",F7*0.006)</f>
        <v>2100</v>
      </c>
      <c r="S7" t="str">
        <f t="shared" si="1"/>
        <v>NO</v>
      </c>
      <c r="T7" t="str">
        <f t="shared" si="2"/>
        <v>Not Eligible</v>
      </c>
      <c r="U7">
        <f t="shared" si="3"/>
        <v>0.25428571428571428</v>
      </c>
    </row>
    <row r="8" spans="1:21" x14ac:dyDescent="0.35">
      <c r="A8" s="20" t="s">
        <v>50</v>
      </c>
      <c r="B8" s="21" t="s">
        <v>31</v>
      </c>
      <c r="C8" s="21" t="s">
        <v>32</v>
      </c>
      <c r="D8" s="21" t="s">
        <v>33</v>
      </c>
      <c r="E8" s="21" t="s">
        <v>34</v>
      </c>
      <c r="F8" s="22">
        <v>8000000</v>
      </c>
      <c r="G8" s="20">
        <v>84</v>
      </c>
      <c r="H8" s="23">
        <v>12</v>
      </c>
      <c r="I8" s="22">
        <v>133676</v>
      </c>
      <c r="J8" s="22">
        <v>6700000</v>
      </c>
      <c r="K8" s="20">
        <v>4</v>
      </c>
      <c r="L8" s="20">
        <v>641</v>
      </c>
      <c r="M8" s="21" t="s">
        <v>20</v>
      </c>
      <c r="N8" s="21" t="s">
        <v>36</v>
      </c>
      <c r="O8" s="20" t="s">
        <v>51</v>
      </c>
      <c r="P8" t="str">
        <f t="shared" si="0"/>
        <v/>
      </c>
      <c r="Q8" t="str" cm="1">
        <f t="array" ref="Q8">_xlfn.IFS(L8&gt;=780, "Prime", L8&gt;=700, "Near Prime", L8&gt;=640, "Sub Prime", L8&lt;640, "High Risk")</f>
        <v>Sub Prime</v>
      </c>
      <c r="R8" cm="1">
        <f t="array" ref="R8">_xlfn.IFS(D8="Home Loan",F8*0.005,D8="Business Loan",F8*0.0075,D8="Auto Loan",F8*0.004,D8="Personal Loan",F8*0.006)</f>
        <v>60000</v>
      </c>
      <c r="S8" t="str">
        <f t="shared" si="1"/>
        <v>YES</v>
      </c>
      <c r="T8" t="str">
        <f t="shared" si="2"/>
        <v>Not Eligible</v>
      </c>
      <c r="U8">
        <f t="shared" si="3"/>
        <v>0.83750000000000002</v>
      </c>
    </row>
    <row r="9" spans="1:21" x14ac:dyDescent="0.35">
      <c r="A9" s="20" t="s">
        <v>52</v>
      </c>
      <c r="B9" s="21" t="s">
        <v>53</v>
      </c>
      <c r="C9" s="21" t="s">
        <v>25</v>
      </c>
      <c r="D9" s="21" t="s">
        <v>18</v>
      </c>
      <c r="E9" s="21" t="s">
        <v>19</v>
      </c>
      <c r="F9" s="22">
        <v>6800000</v>
      </c>
      <c r="G9" s="20">
        <v>240</v>
      </c>
      <c r="H9" s="23">
        <v>8.25</v>
      </c>
      <c r="I9" s="22">
        <v>58012</v>
      </c>
      <c r="J9" s="22">
        <v>6540000</v>
      </c>
      <c r="K9" s="20">
        <v>0</v>
      </c>
      <c r="L9" s="20">
        <v>798</v>
      </c>
      <c r="M9" s="21" t="s">
        <v>20</v>
      </c>
      <c r="N9" s="21" t="s">
        <v>54</v>
      </c>
      <c r="O9" s="20" t="s">
        <v>22</v>
      </c>
      <c r="P9" t="str">
        <f t="shared" si="0"/>
        <v/>
      </c>
      <c r="Q9" t="str" cm="1">
        <f t="array" ref="Q9">_xlfn.IFS(L9&gt;=780, "Prime", L9&gt;=700, "Near Prime", L9&gt;=640, "Sub Prime", L9&lt;640, "High Risk")</f>
        <v>Prime</v>
      </c>
      <c r="R9" cm="1">
        <f t="array" ref="R9">_xlfn.IFS(D9="Home Loan",F9*0.005,D9="Business Loan",F9*0.0075,D9="Auto Loan",F9*0.004,D9="Personal Loan",F9*0.006)</f>
        <v>34000</v>
      </c>
      <c r="S9" t="str">
        <f t="shared" si="1"/>
        <v>NO</v>
      </c>
      <c r="T9" t="str">
        <f t="shared" si="2"/>
        <v>Eligible</v>
      </c>
      <c r="U9">
        <f t="shared" si="3"/>
        <v>0.96176470588235297</v>
      </c>
    </row>
    <row r="10" spans="1:21" x14ac:dyDescent="0.35">
      <c r="A10" s="20" t="s">
        <v>55</v>
      </c>
      <c r="B10" s="21" t="s">
        <v>16</v>
      </c>
      <c r="C10" s="21" t="s">
        <v>17</v>
      </c>
      <c r="D10" s="21" t="s">
        <v>26</v>
      </c>
      <c r="E10" s="21" t="s">
        <v>19</v>
      </c>
      <c r="F10" s="22">
        <v>600000</v>
      </c>
      <c r="G10" s="20">
        <v>48</v>
      </c>
      <c r="H10" s="23">
        <v>13.5</v>
      </c>
      <c r="I10" s="22">
        <v>17203</v>
      </c>
      <c r="J10" s="22">
        <v>410000</v>
      </c>
      <c r="K10" s="20">
        <v>0</v>
      </c>
      <c r="L10" s="20">
        <v>745</v>
      </c>
      <c r="M10" s="21" t="s">
        <v>27</v>
      </c>
      <c r="N10" s="21" t="s">
        <v>21</v>
      </c>
      <c r="O10" s="20" t="s">
        <v>56</v>
      </c>
      <c r="P10" t="str">
        <f t="shared" si="0"/>
        <v/>
      </c>
      <c r="Q10" t="str" cm="1">
        <f t="array" ref="Q10">_xlfn.IFS(L10&gt;=780, "Prime", L10&gt;=700, "Near Prime", L10&gt;=640, "Sub Prime", L10&lt;640, "High Risk")</f>
        <v>Near Prime</v>
      </c>
      <c r="R10" cm="1">
        <f t="array" ref="R10">_xlfn.IFS(D10="Home Loan",F10*0.005,D10="Business Loan",F10*0.0075,D10="Auto Loan",F10*0.004,D10="Personal Loan",F10*0.006)</f>
        <v>3600</v>
      </c>
      <c r="S10" t="str">
        <f t="shared" si="1"/>
        <v>NO</v>
      </c>
      <c r="T10" t="str">
        <f t="shared" si="2"/>
        <v>Not Eligible</v>
      </c>
      <c r="U10">
        <f t="shared" si="3"/>
        <v>0.68333333333333335</v>
      </c>
    </row>
    <row r="11" spans="1:21" x14ac:dyDescent="0.35">
      <c r="A11" s="20" t="s">
        <v>57</v>
      </c>
      <c r="B11" s="21" t="s">
        <v>39</v>
      </c>
      <c r="C11" s="21" t="s">
        <v>40</v>
      </c>
      <c r="D11" s="21" t="s">
        <v>43</v>
      </c>
      <c r="E11" s="21" t="s">
        <v>19</v>
      </c>
      <c r="F11" s="22">
        <v>950000</v>
      </c>
      <c r="G11" s="20">
        <v>60</v>
      </c>
      <c r="H11" s="23">
        <v>9.75</v>
      </c>
      <c r="I11" s="22">
        <v>20163</v>
      </c>
      <c r="J11" s="22">
        <v>760000</v>
      </c>
      <c r="K11" s="20">
        <v>3</v>
      </c>
      <c r="L11" s="20">
        <v>668</v>
      </c>
      <c r="M11" s="21" t="s">
        <v>44</v>
      </c>
      <c r="N11" s="21" t="s">
        <v>41</v>
      </c>
      <c r="O11" s="20" t="s">
        <v>58</v>
      </c>
      <c r="P11" t="str">
        <f t="shared" si="0"/>
        <v/>
      </c>
      <c r="Q11" t="str" cm="1">
        <f t="array" ref="Q11">_xlfn.IFS(L11&gt;=780, "Prime", L11&gt;=700, "Near Prime", L11&gt;=640, "Sub Prime", L11&lt;640, "High Risk")</f>
        <v>Sub Prime</v>
      </c>
      <c r="R11" cm="1">
        <f t="array" ref="R11">_xlfn.IFS(D11="Home Loan",F11*0.005,D11="Business Loan",F11*0.0075,D11="Auto Loan",F11*0.004,D11="Personal Loan",F11*0.006)</f>
        <v>3800</v>
      </c>
      <c r="S11" t="str">
        <f t="shared" si="1"/>
        <v>YES</v>
      </c>
      <c r="T11" t="str">
        <f t="shared" si="2"/>
        <v>Not Eligible</v>
      </c>
      <c r="U11">
        <f t="shared" si="3"/>
        <v>0.8</v>
      </c>
    </row>
    <row r="12" spans="1:21" x14ac:dyDescent="0.35">
      <c r="A12" s="20" t="s">
        <v>59</v>
      </c>
      <c r="B12" s="21" t="s">
        <v>24</v>
      </c>
      <c r="C12" s="21" t="s">
        <v>25</v>
      </c>
      <c r="D12" s="21" t="s">
        <v>33</v>
      </c>
      <c r="E12" s="21" t="s">
        <v>34</v>
      </c>
      <c r="F12" s="22">
        <v>3500000</v>
      </c>
      <c r="G12" s="20">
        <v>60</v>
      </c>
      <c r="H12" s="23">
        <v>12.5</v>
      </c>
      <c r="I12" s="22">
        <v>79066</v>
      </c>
      <c r="J12" s="22">
        <v>2900000</v>
      </c>
      <c r="K12" s="20">
        <v>0</v>
      </c>
      <c r="L12" s="20">
        <v>712</v>
      </c>
      <c r="M12" s="21" t="s">
        <v>35</v>
      </c>
      <c r="N12" s="21" t="s">
        <v>28</v>
      </c>
      <c r="O12" s="20" t="s">
        <v>22</v>
      </c>
      <c r="P12" t="str">
        <f t="shared" si="0"/>
        <v/>
      </c>
      <c r="Q12" t="str" cm="1">
        <f t="array" ref="Q12">_xlfn.IFS(L12&gt;=780, "Prime", L12&gt;=700, "Near Prime", L12&gt;=640, "Sub Prime", L12&lt;640, "High Risk")</f>
        <v>Near Prime</v>
      </c>
      <c r="R12" cm="1">
        <f t="array" ref="R12">_xlfn.IFS(D12="Home Loan",F12*0.005,D12="Business Loan",F12*0.0075,D12="Auto Loan",F12*0.004,D12="Personal Loan",F12*0.006)</f>
        <v>26250</v>
      </c>
      <c r="S12" t="str">
        <f t="shared" si="1"/>
        <v>NO</v>
      </c>
      <c r="T12" t="str">
        <f t="shared" si="2"/>
        <v>Not Eligible</v>
      </c>
      <c r="U12">
        <f t="shared" si="3"/>
        <v>0.82857142857142863</v>
      </c>
    </row>
    <row r="13" spans="1:21" x14ac:dyDescent="0.35">
      <c r="A13" s="20" t="s">
        <v>60</v>
      </c>
      <c r="B13" s="21" t="s">
        <v>47</v>
      </c>
      <c r="C13" s="21" t="s">
        <v>25</v>
      </c>
      <c r="D13" s="21" t="s">
        <v>18</v>
      </c>
      <c r="E13" s="21" t="s">
        <v>19</v>
      </c>
      <c r="F13" s="22">
        <v>4200000</v>
      </c>
      <c r="G13" s="20">
        <v>180</v>
      </c>
      <c r="H13" s="23">
        <v>8.9</v>
      </c>
      <c r="I13" s="22">
        <v>42471</v>
      </c>
      <c r="J13" s="22">
        <v>3950000</v>
      </c>
      <c r="K13" s="20">
        <v>0</v>
      </c>
      <c r="L13" s="20">
        <v>776</v>
      </c>
      <c r="M13" s="21" t="s">
        <v>20</v>
      </c>
      <c r="N13" s="21" t="s">
        <v>48</v>
      </c>
      <c r="O13" s="20" t="s">
        <v>29</v>
      </c>
      <c r="P13" t="str">
        <f t="shared" si="0"/>
        <v/>
      </c>
      <c r="Q13" t="str" cm="1">
        <f t="array" ref="Q13">_xlfn.IFS(L13&gt;=780, "Prime", L13&gt;=700, "Near Prime", L13&gt;=640, "Sub Prime", L13&lt;640, "High Risk")</f>
        <v>Near Prime</v>
      </c>
      <c r="R13" cm="1">
        <f t="array" ref="R13">_xlfn.IFS(D13="Home Loan",F13*0.005,D13="Business Loan",F13*0.0075,D13="Auto Loan",F13*0.004,D13="Personal Loan",F13*0.006)</f>
        <v>21000</v>
      </c>
      <c r="S13" t="str">
        <f t="shared" si="1"/>
        <v>NO</v>
      </c>
      <c r="T13" t="str">
        <f t="shared" si="2"/>
        <v>Eligible</v>
      </c>
      <c r="U13">
        <f t="shared" si="3"/>
        <v>0.94047619047619047</v>
      </c>
    </row>
    <row r="14" spans="1:21" x14ac:dyDescent="0.35">
      <c r="A14" s="20" t="s">
        <v>61</v>
      </c>
      <c r="B14" s="21" t="s">
        <v>31</v>
      </c>
      <c r="C14" s="21" t="s">
        <v>32</v>
      </c>
      <c r="D14" s="21" t="s">
        <v>26</v>
      </c>
      <c r="E14" s="21" t="s">
        <v>19</v>
      </c>
      <c r="F14" s="22">
        <v>250000</v>
      </c>
      <c r="G14" s="20">
        <v>24</v>
      </c>
      <c r="H14" s="23">
        <v>14.5</v>
      </c>
      <c r="I14" s="22">
        <v>12052</v>
      </c>
      <c r="J14" s="22">
        <v>85000</v>
      </c>
      <c r="K14" s="20">
        <v>0</v>
      </c>
      <c r="L14" s="20">
        <v>722</v>
      </c>
      <c r="M14" s="21" t="s">
        <v>27</v>
      </c>
      <c r="N14" s="21" t="s">
        <v>36</v>
      </c>
      <c r="O14" s="20" t="s">
        <v>62</v>
      </c>
      <c r="P14" t="str">
        <f t="shared" si="0"/>
        <v/>
      </c>
      <c r="Q14" t="str" cm="1">
        <f t="array" ref="Q14">_xlfn.IFS(L14&gt;=780, "Prime", L14&gt;=700, "Near Prime", L14&gt;=640, "Sub Prime", L14&lt;640, "High Risk")</f>
        <v>Near Prime</v>
      </c>
      <c r="R14" cm="1">
        <f t="array" ref="R14">_xlfn.IFS(D14="Home Loan",F14*0.005,D14="Business Loan",F14*0.0075,D14="Auto Loan",F14*0.004,D14="Personal Loan",F14*0.006)</f>
        <v>1500</v>
      </c>
      <c r="S14" t="str">
        <f t="shared" si="1"/>
        <v>NO</v>
      </c>
      <c r="T14" t="str">
        <f t="shared" si="2"/>
        <v>Not Eligible</v>
      </c>
      <c r="U14">
        <f t="shared" si="3"/>
        <v>0.34</v>
      </c>
    </row>
    <row r="15" spans="1:21" x14ac:dyDescent="0.35">
      <c r="A15" s="20" t="s">
        <v>63</v>
      </c>
      <c r="B15" s="21" t="s">
        <v>53</v>
      </c>
      <c r="C15" s="21" t="s">
        <v>25</v>
      </c>
      <c r="D15" s="21" t="s">
        <v>43</v>
      </c>
      <c r="E15" s="21" t="s">
        <v>34</v>
      </c>
      <c r="F15" s="22">
        <v>1200000</v>
      </c>
      <c r="G15" s="20">
        <v>60</v>
      </c>
      <c r="H15" s="23">
        <v>10.5</v>
      </c>
      <c r="I15" s="22">
        <v>25793</v>
      </c>
      <c r="J15" s="22">
        <v>980000</v>
      </c>
      <c r="K15" s="20">
        <v>6</v>
      </c>
      <c r="L15" s="20">
        <v>612</v>
      </c>
      <c r="M15" s="21" t="s">
        <v>44</v>
      </c>
      <c r="N15" s="21" t="s">
        <v>54</v>
      </c>
      <c r="O15" s="20" t="s">
        <v>37</v>
      </c>
      <c r="P15" t="str">
        <f t="shared" si="0"/>
        <v>Flagged</v>
      </c>
      <c r="Q15" t="str" cm="1">
        <f t="array" ref="Q15">_xlfn.IFS(L15&gt;=780, "Prime", L15&gt;=700, "Near Prime", L15&gt;=640, "Sub Prime", L15&lt;640, "High Risk")</f>
        <v>High Risk</v>
      </c>
      <c r="R15" cm="1">
        <f t="array" ref="R15">_xlfn.IFS(D15="Home Loan",F15*0.005,D15="Business Loan",F15*0.0075,D15="Auto Loan",F15*0.004,D15="Personal Loan",F15*0.006)</f>
        <v>4800</v>
      </c>
      <c r="S15" t="str">
        <f t="shared" si="1"/>
        <v>YES</v>
      </c>
      <c r="T15" t="str">
        <f t="shared" si="2"/>
        <v>Not Eligible</v>
      </c>
      <c r="U15">
        <f t="shared" si="3"/>
        <v>0.81666666666666665</v>
      </c>
    </row>
    <row r="16" spans="1:21" x14ac:dyDescent="0.35">
      <c r="A16" s="20" t="s">
        <v>64</v>
      </c>
      <c r="B16" s="21" t="s">
        <v>16</v>
      </c>
      <c r="C16" s="21" t="s">
        <v>17</v>
      </c>
      <c r="D16" s="21" t="s">
        <v>33</v>
      </c>
      <c r="E16" s="21" t="s">
        <v>34</v>
      </c>
      <c r="F16" s="22">
        <v>12000000</v>
      </c>
      <c r="G16" s="20">
        <v>84</v>
      </c>
      <c r="H16" s="23">
        <v>11.75</v>
      </c>
      <c r="I16" s="22">
        <v>199071</v>
      </c>
      <c r="J16" s="22">
        <v>10200000</v>
      </c>
      <c r="K16" s="20">
        <v>0</v>
      </c>
      <c r="L16" s="20">
        <v>758</v>
      </c>
      <c r="M16" s="21" t="s">
        <v>20</v>
      </c>
      <c r="N16" s="21" t="s">
        <v>21</v>
      </c>
      <c r="O16" s="20" t="s">
        <v>22</v>
      </c>
      <c r="P16" t="str">
        <f t="shared" si="0"/>
        <v/>
      </c>
      <c r="Q16" t="str" cm="1">
        <f t="array" ref="Q16">_xlfn.IFS(L16&gt;=780, "Prime", L16&gt;=700, "Near Prime", L16&gt;=640, "Sub Prime", L16&lt;640, "High Risk")</f>
        <v>Near Prime</v>
      </c>
      <c r="R16" cm="1">
        <f t="array" ref="R16">_xlfn.IFS(D16="Home Loan",F16*0.005,D16="Business Loan",F16*0.0075,D16="Auto Loan",F16*0.004,D16="Personal Loan",F16*0.006)</f>
        <v>90000</v>
      </c>
      <c r="S16" t="str">
        <f t="shared" si="1"/>
        <v>NO</v>
      </c>
      <c r="T16" t="str">
        <f t="shared" si="2"/>
        <v>Not Eligible</v>
      </c>
      <c r="U16">
        <f t="shared" si="3"/>
        <v>0.85</v>
      </c>
    </row>
    <row r="17" spans="1:21" x14ac:dyDescent="0.35">
      <c r="A17" s="20" t="s">
        <v>65</v>
      </c>
      <c r="B17" s="21" t="s">
        <v>39</v>
      </c>
      <c r="C17" s="21" t="s">
        <v>40</v>
      </c>
      <c r="D17" s="21" t="s">
        <v>18</v>
      </c>
      <c r="E17" s="21" t="s">
        <v>19</v>
      </c>
      <c r="F17" s="22">
        <v>3800000</v>
      </c>
      <c r="G17" s="20">
        <v>240</v>
      </c>
      <c r="H17" s="23">
        <v>8.6</v>
      </c>
      <c r="I17" s="22">
        <v>33491</v>
      </c>
      <c r="J17" s="22">
        <v>3610000</v>
      </c>
      <c r="K17" s="20">
        <v>0</v>
      </c>
      <c r="L17" s="20">
        <v>769</v>
      </c>
      <c r="M17" s="21" t="s">
        <v>20</v>
      </c>
      <c r="N17" s="21" t="s">
        <v>41</v>
      </c>
      <c r="O17" s="20" t="s">
        <v>45</v>
      </c>
      <c r="P17" t="str">
        <f t="shared" si="0"/>
        <v/>
      </c>
      <c r="Q17" t="str" cm="1">
        <f t="array" ref="Q17">_xlfn.IFS(L17&gt;=780, "Prime", L17&gt;=700, "Near Prime", L17&gt;=640, "Sub Prime", L17&lt;640, "High Risk")</f>
        <v>Near Prime</v>
      </c>
      <c r="R17" cm="1">
        <f t="array" ref="R17">_xlfn.IFS(D17="Home Loan",F17*0.005,D17="Business Loan",F17*0.0075,D17="Auto Loan",F17*0.004,D17="Personal Loan",F17*0.006)</f>
        <v>19000</v>
      </c>
      <c r="S17" t="str">
        <f t="shared" si="1"/>
        <v>NO</v>
      </c>
      <c r="T17" t="str">
        <f t="shared" si="2"/>
        <v>Eligible</v>
      </c>
      <c r="U17">
        <f t="shared" si="3"/>
        <v>0.95</v>
      </c>
    </row>
    <row r="18" spans="1:21" x14ac:dyDescent="0.35">
      <c r="A18" s="20" t="s">
        <v>66</v>
      </c>
      <c r="B18" s="21" t="s">
        <v>24</v>
      </c>
      <c r="C18" s="21" t="s">
        <v>25</v>
      </c>
      <c r="D18" s="21" t="s">
        <v>26</v>
      </c>
      <c r="E18" s="21" t="s">
        <v>19</v>
      </c>
      <c r="F18" s="22">
        <v>700000</v>
      </c>
      <c r="G18" s="20">
        <v>48</v>
      </c>
      <c r="H18" s="23">
        <v>13.75</v>
      </c>
      <c r="I18" s="22">
        <v>20122</v>
      </c>
      <c r="J18" s="22">
        <v>498000</v>
      </c>
      <c r="K18" s="20">
        <v>2</v>
      </c>
      <c r="L18" s="20">
        <v>691</v>
      </c>
      <c r="M18" s="21" t="s">
        <v>27</v>
      </c>
      <c r="N18" s="21" t="s">
        <v>28</v>
      </c>
      <c r="O18" s="20" t="s">
        <v>49</v>
      </c>
      <c r="P18" t="str">
        <f>IF(K18&gt;=6, "Flagged", "")</f>
        <v/>
      </c>
      <c r="Q18" t="str" cm="1">
        <f t="array" ref="Q18">_xlfn.IFS(L18&gt;=780, "Prime", L18&gt;=700, "Near Prime", L18&gt;=640, "Sub Prime", L18&lt;640, "High Risk")</f>
        <v>Sub Prime</v>
      </c>
      <c r="R18" cm="1">
        <f t="array" ref="R18">_xlfn.IFS(D18="Home Loan",F18*0.005,D18="Business Loan",F18*0.0075,D18="Auto Loan",F18*0.004,D18="Personal Loan",F18*0.006)</f>
        <v>4200</v>
      </c>
      <c r="S18" t="str">
        <f t="shared" si="1"/>
        <v>NO</v>
      </c>
      <c r="T18" t="str">
        <f t="shared" si="2"/>
        <v>Not Eligible</v>
      </c>
      <c r="U18">
        <f t="shared" si="3"/>
        <v>0.71142857142857141</v>
      </c>
    </row>
    <row r="19" spans="1:21" x14ac:dyDescent="0.35">
      <c r="A19" s="20" t="s">
        <v>67</v>
      </c>
      <c r="B19" s="21" t="s">
        <v>47</v>
      </c>
      <c r="C19" s="21" t="s">
        <v>25</v>
      </c>
      <c r="D19" s="21" t="s">
        <v>33</v>
      </c>
      <c r="E19" s="21" t="s">
        <v>34</v>
      </c>
      <c r="F19" s="22">
        <v>5500000</v>
      </c>
      <c r="G19" s="20">
        <v>72</v>
      </c>
      <c r="H19" s="23">
        <v>12.25</v>
      </c>
      <c r="I19" s="22">
        <v>104900</v>
      </c>
      <c r="J19" s="22">
        <v>4700000</v>
      </c>
      <c r="K19" s="20">
        <v>0</v>
      </c>
      <c r="L19" s="20">
        <v>733</v>
      </c>
      <c r="M19" s="21" t="s">
        <v>35</v>
      </c>
      <c r="N19" s="21" t="s">
        <v>48</v>
      </c>
      <c r="O19" s="20" t="s">
        <v>51</v>
      </c>
      <c r="P19" t="str">
        <f t="shared" ref="P19:P51" si="4">IF(K19&gt;=6, "Flagged", "")</f>
        <v/>
      </c>
      <c r="Q19" t="str" cm="1">
        <f t="array" ref="Q19">_xlfn.IFS(L19&gt;=780, "Prime", L19&gt;=700, "Near Prime", L19&gt;=640, "Sub Prime", L19&lt;640, "High Risk")</f>
        <v>Near Prime</v>
      </c>
      <c r="R19" cm="1">
        <f t="array" ref="R19">_xlfn.IFS(D19="Home Loan",F19*0.005,D19="Business Loan",F19*0.0075,D19="Auto Loan",F19*0.004,D19="Personal Loan",F19*0.006)</f>
        <v>41250</v>
      </c>
      <c r="S19" t="str">
        <f t="shared" si="1"/>
        <v>NO</v>
      </c>
      <c r="T19" t="str">
        <f t="shared" si="2"/>
        <v>Not Eligible</v>
      </c>
      <c r="U19">
        <f t="shared" si="3"/>
        <v>0.8545454545454545</v>
      </c>
    </row>
    <row r="20" spans="1:21" x14ac:dyDescent="0.35">
      <c r="A20" s="20" t="s">
        <v>68</v>
      </c>
      <c r="B20" s="21" t="s">
        <v>31</v>
      </c>
      <c r="C20" s="21" t="s">
        <v>32</v>
      </c>
      <c r="D20" s="21" t="s">
        <v>18</v>
      </c>
      <c r="E20" s="21" t="s">
        <v>19</v>
      </c>
      <c r="F20" s="22">
        <v>9200000</v>
      </c>
      <c r="G20" s="20">
        <v>300</v>
      </c>
      <c r="H20" s="23">
        <v>8.4</v>
      </c>
      <c r="I20" s="22">
        <v>77765</v>
      </c>
      <c r="J20" s="22">
        <v>8970000</v>
      </c>
      <c r="K20" s="20">
        <v>0</v>
      </c>
      <c r="L20" s="20">
        <v>801</v>
      </c>
      <c r="M20" s="21" t="s">
        <v>20</v>
      </c>
      <c r="N20" s="21" t="s">
        <v>36</v>
      </c>
      <c r="O20" s="20" t="s">
        <v>22</v>
      </c>
      <c r="P20" t="str">
        <f t="shared" si="4"/>
        <v/>
      </c>
      <c r="Q20" t="str" cm="1">
        <f t="array" ref="Q20">_xlfn.IFS(L20&gt;=780, "Prime", L20&gt;=700, "Near Prime", L20&gt;=640, "Sub Prime", L20&lt;640, "High Risk")</f>
        <v>Prime</v>
      </c>
      <c r="R20" cm="1">
        <f t="array" ref="R20">_xlfn.IFS(D20="Home Loan",F20*0.005,D20="Business Loan",F20*0.0075,D20="Auto Loan",F20*0.004,D20="Personal Loan",F20*0.006)</f>
        <v>46000</v>
      </c>
      <c r="S20" t="str">
        <f t="shared" si="1"/>
        <v>NO</v>
      </c>
      <c r="T20" t="str">
        <f t="shared" si="2"/>
        <v>Eligible</v>
      </c>
      <c r="U20">
        <f t="shared" si="3"/>
        <v>0.97499999999999998</v>
      </c>
    </row>
    <row r="21" spans="1:21" x14ac:dyDescent="0.35">
      <c r="A21" s="20" t="s">
        <v>69</v>
      </c>
      <c r="B21" s="21" t="s">
        <v>53</v>
      </c>
      <c r="C21" s="21" t="s">
        <v>25</v>
      </c>
      <c r="D21" s="21" t="s">
        <v>43</v>
      </c>
      <c r="E21" s="21" t="s">
        <v>19</v>
      </c>
      <c r="F21" s="22">
        <v>650000</v>
      </c>
      <c r="G21" s="20">
        <v>48</v>
      </c>
      <c r="H21" s="23">
        <v>9.5</v>
      </c>
      <c r="I21" s="22">
        <v>16419</v>
      </c>
      <c r="J21" s="22">
        <v>480000</v>
      </c>
      <c r="K21" s="20">
        <v>0</v>
      </c>
      <c r="L21" s="20">
        <v>754</v>
      </c>
      <c r="M21" s="21" t="s">
        <v>44</v>
      </c>
      <c r="N21" s="21" t="s">
        <v>54</v>
      </c>
      <c r="O21" s="20" t="s">
        <v>56</v>
      </c>
      <c r="P21" t="str">
        <f t="shared" si="4"/>
        <v/>
      </c>
      <c r="Q21" t="str" cm="1">
        <f t="array" ref="Q21">_xlfn.IFS(L21&gt;=780, "Prime", L21&gt;=700, "Near Prime", L21&gt;=640, "Sub Prime", L21&lt;640, "High Risk")</f>
        <v>Near Prime</v>
      </c>
      <c r="R21" cm="1">
        <f t="array" ref="R21">_xlfn.IFS(D21="Home Loan",F21*0.005,D21="Business Loan",F21*0.0075,D21="Auto Loan",F21*0.004,D21="Personal Loan",F21*0.006)</f>
        <v>2600</v>
      </c>
      <c r="S21" t="str">
        <f t="shared" si="1"/>
        <v>NO</v>
      </c>
      <c r="T21" t="str">
        <f t="shared" si="2"/>
        <v>Eligible</v>
      </c>
      <c r="U21">
        <f t="shared" si="3"/>
        <v>0.7384615384615385</v>
      </c>
    </row>
    <row r="22" spans="1:21" x14ac:dyDescent="0.35">
      <c r="A22" s="20" t="s">
        <v>70</v>
      </c>
      <c r="B22" s="21" t="s">
        <v>16</v>
      </c>
      <c r="C22" s="21" t="s">
        <v>17</v>
      </c>
      <c r="D22" s="21" t="s">
        <v>26</v>
      </c>
      <c r="E22" s="21" t="s">
        <v>34</v>
      </c>
      <c r="F22" s="22">
        <v>900000</v>
      </c>
      <c r="G22" s="20">
        <v>36</v>
      </c>
      <c r="H22" s="23">
        <v>16</v>
      </c>
      <c r="I22" s="22">
        <v>31620</v>
      </c>
      <c r="J22" s="22">
        <v>520000</v>
      </c>
      <c r="K22" s="20">
        <v>5</v>
      </c>
      <c r="L22" s="20">
        <v>622</v>
      </c>
      <c r="M22" s="21" t="s">
        <v>27</v>
      </c>
      <c r="N22" s="21" t="s">
        <v>21</v>
      </c>
      <c r="O22" s="20" t="s">
        <v>58</v>
      </c>
      <c r="P22" t="str">
        <f t="shared" si="4"/>
        <v/>
      </c>
      <c r="Q22" t="str" cm="1">
        <f t="array" ref="Q22">_xlfn.IFS(L22&gt;=780, "Prime", L22&gt;=700, "Near Prime", L22&gt;=640, "Sub Prime", L22&lt;640, "High Risk")</f>
        <v>High Risk</v>
      </c>
      <c r="R22" cm="1">
        <f t="array" ref="R22">_xlfn.IFS(D22="Home Loan",F22*0.005,D22="Business Loan",F22*0.0075,D22="Auto Loan",F22*0.004,D22="Personal Loan",F22*0.006)</f>
        <v>5400</v>
      </c>
      <c r="S22" t="str">
        <f t="shared" si="1"/>
        <v>YES</v>
      </c>
      <c r="T22" t="str">
        <f t="shared" si="2"/>
        <v>Not Eligible</v>
      </c>
      <c r="U22">
        <f t="shared" si="3"/>
        <v>0.57777777777777772</v>
      </c>
    </row>
    <row r="23" spans="1:21" x14ac:dyDescent="0.35">
      <c r="A23" s="20" t="s">
        <v>71</v>
      </c>
      <c r="B23" s="21" t="s">
        <v>24</v>
      </c>
      <c r="C23" s="21" t="s">
        <v>25</v>
      </c>
      <c r="D23" s="21" t="s">
        <v>18</v>
      </c>
      <c r="E23" s="21" t="s">
        <v>19</v>
      </c>
      <c r="F23" s="22">
        <v>5600000</v>
      </c>
      <c r="G23" s="20">
        <v>240</v>
      </c>
      <c r="H23" s="23">
        <v>8.65</v>
      </c>
      <c r="I23" s="22">
        <v>49550</v>
      </c>
      <c r="J23" s="22">
        <v>5320000</v>
      </c>
      <c r="K23" s="20">
        <v>0</v>
      </c>
      <c r="L23" s="20">
        <v>783</v>
      </c>
      <c r="M23" s="21" t="s">
        <v>20</v>
      </c>
      <c r="N23" s="21" t="s">
        <v>28</v>
      </c>
      <c r="O23" s="20" t="s">
        <v>22</v>
      </c>
      <c r="P23" t="str">
        <f t="shared" si="4"/>
        <v/>
      </c>
      <c r="Q23" t="str" cm="1">
        <f t="array" ref="Q23">_xlfn.IFS(L23&gt;=780, "Prime", L23&gt;=700, "Near Prime", L23&gt;=640, "Sub Prime", L23&lt;640, "High Risk")</f>
        <v>Prime</v>
      </c>
      <c r="R23" cm="1">
        <f t="array" ref="R23">_xlfn.IFS(D23="Home Loan",F23*0.005,D23="Business Loan",F23*0.0075,D23="Auto Loan",F23*0.004,D23="Personal Loan",F23*0.006)</f>
        <v>28000</v>
      </c>
      <c r="S23" t="str">
        <f t="shared" si="1"/>
        <v>NO</v>
      </c>
      <c r="T23" t="str">
        <f t="shared" si="2"/>
        <v>Eligible</v>
      </c>
      <c r="U23">
        <f t="shared" si="3"/>
        <v>0.95</v>
      </c>
    </row>
    <row r="24" spans="1:21" x14ac:dyDescent="0.35">
      <c r="A24" s="20" t="s">
        <v>72</v>
      </c>
      <c r="B24" s="21" t="s">
        <v>39</v>
      </c>
      <c r="C24" s="21" t="s">
        <v>40</v>
      </c>
      <c r="D24" s="21" t="s">
        <v>33</v>
      </c>
      <c r="E24" s="21" t="s">
        <v>34</v>
      </c>
      <c r="F24" s="22">
        <v>1800000</v>
      </c>
      <c r="G24" s="20">
        <v>60</v>
      </c>
      <c r="H24" s="23">
        <v>13</v>
      </c>
      <c r="I24" s="22">
        <v>41004</v>
      </c>
      <c r="J24" s="22">
        <v>1450000</v>
      </c>
      <c r="K24" s="20">
        <v>1</v>
      </c>
      <c r="L24" s="20">
        <v>672</v>
      </c>
      <c r="M24" s="21" t="s">
        <v>35</v>
      </c>
      <c r="N24" s="21" t="s">
        <v>41</v>
      </c>
      <c r="O24" s="20" t="s">
        <v>62</v>
      </c>
      <c r="P24" t="str">
        <f t="shared" si="4"/>
        <v/>
      </c>
      <c r="Q24" t="str" cm="1">
        <f t="array" ref="Q24">_xlfn.IFS(L24&gt;=780, "Prime", L24&gt;=700, "Near Prime", L24&gt;=640, "Sub Prime", L24&lt;640, "High Risk")</f>
        <v>Sub Prime</v>
      </c>
      <c r="R24" cm="1">
        <f t="array" ref="R24">_xlfn.IFS(D24="Home Loan",F24*0.005,D24="Business Loan",F24*0.0075,D24="Auto Loan",F24*0.004,D24="Personal Loan",F24*0.006)</f>
        <v>13500</v>
      </c>
      <c r="S24" t="str">
        <f t="shared" si="1"/>
        <v>NO</v>
      </c>
      <c r="T24" t="str">
        <f t="shared" si="2"/>
        <v>Not Eligible</v>
      </c>
      <c r="U24">
        <f t="shared" si="3"/>
        <v>0.80555555555555558</v>
      </c>
    </row>
    <row r="25" spans="1:21" x14ac:dyDescent="0.35">
      <c r="A25" s="20" t="s">
        <v>73</v>
      </c>
      <c r="B25" s="21" t="s">
        <v>47</v>
      </c>
      <c r="C25" s="21" t="s">
        <v>25</v>
      </c>
      <c r="D25" s="21" t="s">
        <v>43</v>
      </c>
      <c r="E25" s="21" t="s">
        <v>19</v>
      </c>
      <c r="F25" s="22">
        <v>750000</v>
      </c>
      <c r="G25" s="20">
        <v>60</v>
      </c>
      <c r="H25" s="23">
        <v>9.5</v>
      </c>
      <c r="I25" s="22">
        <v>15738</v>
      </c>
      <c r="J25" s="22">
        <v>600000</v>
      </c>
      <c r="K25" s="20">
        <v>0</v>
      </c>
      <c r="L25" s="20">
        <v>747</v>
      </c>
      <c r="M25" s="21" t="s">
        <v>44</v>
      </c>
      <c r="N25" s="21" t="s">
        <v>48</v>
      </c>
      <c r="O25" s="20" t="s">
        <v>74</v>
      </c>
      <c r="P25" t="str">
        <f t="shared" si="4"/>
        <v/>
      </c>
      <c r="Q25" t="str" cm="1">
        <f t="array" ref="Q25">_xlfn.IFS(L25&gt;=780, "Prime", L25&gt;=700, "Near Prime", L25&gt;=640, "Sub Prime", L25&lt;640, "High Risk")</f>
        <v>Near Prime</v>
      </c>
      <c r="R25" cm="1">
        <f t="array" ref="R25">_xlfn.IFS(D25="Home Loan",F25*0.005,D25="Business Loan",F25*0.0075,D25="Auto Loan",F25*0.004,D25="Personal Loan",F25*0.006)</f>
        <v>3000</v>
      </c>
      <c r="S25" t="str">
        <f t="shared" si="1"/>
        <v>NO</v>
      </c>
      <c r="T25" t="str">
        <f t="shared" si="2"/>
        <v>Not Eligible</v>
      </c>
      <c r="U25">
        <f t="shared" si="3"/>
        <v>0.8</v>
      </c>
    </row>
    <row r="26" spans="1:21" x14ac:dyDescent="0.35">
      <c r="A26" s="20" t="s">
        <v>75</v>
      </c>
      <c r="B26" s="21" t="s">
        <v>31</v>
      </c>
      <c r="C26" s="21" t="s">
        <v>32</v>
      </c>
      <c r="D26" s="21" t="s">
        <v>26</v>
      </c>
      <c r="E26" s="21" t="s">
        <v>34</v>
      </c>
      <c r="F26" s="22">
        <v>480000</v>
      </c>
      <c r="G26" s="20">
        <v>36</v>
      </c>
      <c r="H26" s="23">
        <v>15.75</v>
      </c>
      <c r="I26" s="22">
        <v>16926</v>
      </c>
      <c r="J26" s="22">
        <v>280000</v>
      </c>
      <c r="K26" s="20">
        <v>3</v>
      </c>
      <c r="L26" s="20">
        <v>655</v>
      </c>
      <c r="M26" s="21" t="s">
        <v>27</v>
      </c>
      <c r="N26" s="21" t="s">
        <v>36</v>
      </c>
      <c r="O26" s="20" t="s">
        <v>76</v>
      </c>
      <c r="P26" t="str">
        <f t="shared" si="4"/>
        <v/>
      </c>
      <c r="Q26" t="str" cm="1">
        <f t="array" ref="Q26">_xlfn.IFS(L26&gt;=780, "Prime", L26&gt;=700, "Near Prime", L26&gt;=640, "Sub Prime", L26&lt;640, "High Risk")</f>
        <v>Sub Prime</v>
      </c>
      <c r="R26" cm="1">
        <f t="array" ref="R26">_xlfn.IFS(D26="Home Loan",F26*0.005,D26="Business Loan",F26*0.0075,D26="Auto Loan",F26*0.004,D26="Personal Loan",F26*0.006)</f>
        <v>2880</v>
      </c>
      <c r="S26" t="str">
        <f t="shared" si="1"/>
        <v>YES</v>
      </c>
      <c r="T26" t="str">
        <f t="shared" si="2"/>
        <v>Not Eligible</v>
      </c>
      <c r="U26">
        <f t="shared" si="3"/>
        <v>0.58333333333333337</v>
      </c>
    </row>
    <row r="27" spans="1:21" x14ac:dyDescent="0.35">
      <c r="A27" s="20" t="s">
        <v>77</v>
      </c>
      <c r="B27" s="21" t="s">
        <v>53</v>
      </c>
      <c r="C27" s="21" t="s">
        <v>25</v>
      </c>
      <c r="D27" s="21" t="s">
        <v>18</v>
      </c>
      <c r="E27" s="21" t="s">
        <v>19</v>
      </c>
      <c r="F27" s="22">
        <v>7100000</v>
      </c>
      <c r="G27" s="20">
        <v>240</v>
      </c>
      <c r="H27" s="23">
        <v>8.3000000000000007</v>
      </c>
      <c r="I27" s="22">
        <v>60934</v>
      </c>
      <c r="J27" s="22">
        <v>6850000</v>
      </c>
      <c r="K27" s="20">
        <v>0</v>
      </c>
      <c r="L27" s="20">
        <v>791</v>
      </c>
      <c r="M27" s="21" t="s">
        <v>20</v>
      </c>
      <c r="N27" s="21" t="s">
        <v>54</v>
      </c>
      <c r="O27" s="20" t="s">
        <v>22</v>
      </c>
      <c r="P27" t="str">
        <f t="shared" si="4"/>
        <v/>
      </c>
      <c r="Q27" t="str" cm="1">
        <f t="array" ref="Q27">_xlfn.IFS(L27&gt;=780, "Prime", L27&gt;=700, "Near Prime", L27&gt;=640, "Sub Prime", L27&lt;640, "High Risk")</f>
        <v>Prime</v>
      </c>
      <c r="R27" cm="1">
        <f t="array" ref="R27">_xlfn.IFS(D27="Home Loan",F27*0.005,D27="Business Loan",F27*0.0075,D27="Auto Loan",F27*0.004,D27="Personal Loan",F27*0.006)</f>
        <v>35500</v>
      </c>
      <c r="S27" t="str">
        <f t="shared" si="1"/>
        <v>NO</v>
      </c>
      <c r="T27" t="str">
        <f t="shared" si="2"/>
        <v>Eligible</v>
      </c>
      <c r="U27">
        <f t="shared" si="3"/>
        <v>0.96478873239436624</v>
      </c>
    </row>
    <row r="28" spans="1:21" x14ac:dyDescent="0.35">
      <c r="A28" s="20" t="s">
        <v>78</v>
      </c>
      <c r="B28" s="21" t="s">
        <v>16</v>
      </c>
      <c r="C28" s="21" t="s">
        <v>17</v>
      </c>
      <c r="D28" s="21" t="s">
        <v>33</v>
      </c>
      <c r="E28" s="21" t="s">
        <v>19</v>
      </c>
      <c r="F28" s="22">
        <v>4000000</v>
      </c>
      <c r="G28" s="20">
        <v>72</v>
      </c>
      <c r="H28" s="23">
        <v>11</v>
      </c>
      <c r="I28" s="22">
        <v>75938</v>
      </c>
      <c r="J28" s="22">
        <v>3200000</v>
      </c>
      <c r="K28" s="20">
        <v>0</v>
      </c>
      <c r="L28" s="20">
        <v>762</v>
      </c>
      <c r="M28" s="21" t="s">
        <v>20</v>
      </c>
      <c r="N28" s="21" t="s">
        <v>21</v>
      </c>
      <c r="O28" s="20" t="s">
        <v>29</v>
      </c>
      <c r="P28" t="str">
        <f t="shared" si="4"/>
        <v/>
      </c>
      <c r="Q28" t="str" cm="1">
        <f t="array" ref="Q28">_xlfn.IFS(L28&gt;=780, "Prime", L28&gt;=700, "Near Prime", L28&gt;=640, "Sub Prime", L28&lt;640, "High Risk")</f>
        <v>Near Prime</v>
      </c>
      <c r="R28" cm="1">
        <f t="array" ref="R28">_xlfn.IFS(D28="Home Loan",F28*0.005,D28="Business Loan",F28*0.0075,D28="Auto Loan",F28*0.004,D28="Personal Loan",F28*0.006)</f>
        <v>30000</v>
      </c>
      <c r="S28" t="str">
        <f t="shared" si="1"/>
        <v>NO</v>
      </c>
      <c r="T28" t="str">
        <f t="shared" si="2"/>
        <v>Not Eligible</v>
      </c>
      <c r="U28">
        <f t="shared" si="3"/>
        <v>0.8</v>
      </c>
    </row>
    <row r="29" spans="1:21" x14ac:dyDescent="0.35">
      <c r="A29" s="20" t="s">
        <v>79</v>
      </c>
      <c r="B29" s="21" t="s">
        <v>24</v>
      </c>
      <c r="C29" s="21" t="s">
        <v>25</v>
      </c>
      <c r="D29" s="21" t="s">
        <v>43</v>
      </c>
      <c r="E29" s="21" t="s">
        <v>34</v>
      </c>
      <c r="F29" s="22">
        <v>1100000</v>
      </c>
      <c r="G29" s="20">
        <v>60</v>
      </c>
      <c r="H29" s="23">
        <v>10.75</v>
      </c>
      <c r="I29" s="22">
        <v>23800</v>
      </c>
      <c r="J29" s="22">
        <v>870000</v>
      </c>
      <c r="K29" s="20">
        <v>7</v>
      </c>
      <c r="L29" s="20">
        <v>598</v>
      </c>
      <c r="M29" s="21" t="s">
        <v>44</v>
      </c>
      <c r="N29" s="21" t="s">
        <v>28</v>
      </c>
      <c r="O29" s="20" t="s">
        <v>37</v>
      </c>
      <c r="P29" t="str">
        <f t="shared" si="4"/>
        <v>Flagged</v>
      </c>
      <c r="Q29" t="str" cm="1">
        <f t="array" ref="Q29">_xlfn.IFS(L29&gt;=780, "Prime", L29&gt;=700, "Near Prime", L29&gt;=640, "Sub Prime", L29&lt;640, "High Risk")</f>
        <v>High Risk</v>
      </c>
      <c r="R29" cm="1">
        <f t="array" ref="R29">_xlfn.IFS(D29="Home Loan",F29*0.005,D29="Business Loan",F29*0.0075,D29="Auto Loan",F29*0.004,D29="Personal Loan",F29*0.006)</f>
        <v>4400</v>
      </c>
      <c r="S29" t="str">
        <f t="shared" si="1"/>
        <v>YES</v>
      </c>
      <c r="T29" t="str">
        <f t="shared" si="2"/>
        <v>Not Eligible</v>
      </c>
      <c r="U29">
        <f t="shared" si="3"/>
        <v>0.79090909090909089</v>
      </c>
    </row>
    <row r="30" spans="1:21" x14ac:dyDescent="0.35">
      <c r="A30" s="20" t="s">
        <v>80</v>
      </c>
      <c r="B30" s="21" t="s">
        <v>39</v>
      </c>
      <c r="C30" s="21" t="s">
        <v>40</v>
      </c>
      <c r="D30" s="21" t="s">
        <v>18</v>
      </c>
      <c r="E30" s="21" t="s">
        <v>34</v>
      </c>
      <c r="F30" s="22">
        <v>4500000</v>
      </c>
      <c r="G30" s="20">
        <v>180</v>
      </c>
      <c r="H30" s="23">
        <v>9.25</v>
      </c>
      <c r="I30" s="22">
        <v>46189</v>
      </c>
      <c r="J30" s="22">
        <v>4100000</v>
      </c>
      <c r="K30" s="20">
        <v>0</v>
      </c>
      <c r="L30" s="20">
        <v>703</v>
      </c>
      <c r="M30" s="21" t="s">
        <v>20</v>
      </c>
      <c r="N30" s="21" t="s">
        <v>41</v>
      </c>
      <c r="O30" s="20" t="s">
        <v>45</v>
      </c>
      <c r="P30" t="str">
        <f t="shared" si="4"/>
        <v/>
      </c>
      <c r="Q30" t="str" cm="1">
        <f t="array" ref="Q30">_xlfn.IFS(L30&gt;=780, "Prime", L30&gt;=700, "Near Prime", L30&gt;=640, "Sub Prime", L30&lt;640, "High Risk")</f>
        <v>Near Prime</v>
      </c>
      <c r="R30" cm="1">
        <f t="array" ref="R30">_xlfn.IFS(D30="Home Loan",F30*0.005,D30="Business Loan",F30*0.0075,D30="Auto Loan",F30*0.004,D30="Personal Loan",F30*0.006)</f>
        <v>22500</v>
      </c>
      <c r="S30" t="str">
        <f t="shared" si="1"/>
        <v>NO</v>
      </c>
      <c r="T30" t="str">
        <f t="shared" si="2"/>
        <v>Not Eligible</v>
      </c>
      <c r="U30">
        <f t="shared" si="3"/>
        <v>0.91111111111111109</v>
      </c>
    </row>
    <row r="31" spans="1:21" x14ac:dyDescent="0.35">
      <c r="A31" s="20" t="s">
        <v>81</v>
      </c>
      <c r="B31" s="21" t="s">
        <v>47</v>
      </c>
      <c r="C31" s="21" t="s">
        <v>25</v>
      </c>
      <c r="D31" s="21" t="s">
        <v>26</v>
      </c>
      <c r="E31" s="21" t="s">
        <v>19</v>
      </c>
      <c r="F31" s="22">
        <v>550000</v>
      </c>
      <c r="G31" s="20">
        <v>48</v>
      </c>
      <c r="H31" s="23">
        <v>13.25</v>
      </c>
      <c r="I31" s="22">
        <v>15680</v>
      </c>
      <c r="J31" s="22">
        <v>370000</v>
      </c>
      <c r="K31" s="20">
        <v>0</v>
      </c>
      <c r="L31" s="20">
        <v>737</v>
      </c>
      <c r="M31" s="21" t="s">
        <v>27</v>
      </c>
      <c r="N31" s="21" t="s">
        <v>48</v>
      </c>
      <c r="O31" s="20" t="s">
        <v>49</v>
      </c>
      <c r="P31" t="str">
        <f t="shared" si="4"/>
        <v/>
      </c>
      <c r="Q31" t="str" cm="1">
        <f t="array" ref="Q31">_xlfn.IFS(L31&gt;=780, "Prime", L31&gt;=700, "Near Prime", L31&gt;=640, "Sub Prime", L31&lt;640, "High Risk")</f>
        <v>Near Prime</v>
      </c>
      <c r="R31" cm="1">
        <f t="array" ref="R31">_xlfn.IFS(D31="Home Loan",F31*0.005,D31="Business Loan",F31*0.0075,D31="Auto Loan",F31*0.004,D31="Personal Loan",F31*0.006)</f>
        <v>3300</v>
      </c>
      <c r="S31" t="str">
        <f t="shared" si="1"/>
        <v>NO</v>
      </c>
      <c r="T31" t="str">
        <f t="shared" si="2"/>
        <v>Not Eligible</v>
      </c>
      <c r="U31">
        <f t="shared" si="3"/>
        <v>0.67272727272727273</v>
      </c>
    </row>
    <row r="32" spans="1:21" x14ac:dyDescent="0.35">
      <c r="A32" s="20" t="s">
        <v>82</v>
      </c>
      <c r="B32" s="21" t="s">
        <v>31</v>
      </c>
      <c r="C32" s="21" t="s">
        <v>32</v>
      </c>
      <c r="D32" s="21" t="s">
        <v>33</v>
      </c>
      <c r="E32" s="21" t="s">
        <v>34</v>
      </c>
      <c r="F32" s="22">
        <v>6500000</v>
      </c>
      <c r="G32" s="20">
        <v>84</v>
      </c>
      <c r="H32" s="23">
        <v>12.5</v>
      </c>
      <c r="I32" s="22">
        <v>107547</v>
      </c>
      <c r="J32" s="22">
        <v>5500000</v>
      </c>
      <c r="K32" s="20">
        <v>2</v>
      </c>
      <c r="L32" s="20">
        <v>689</v>
      </c>
      <c r="M32" s="21" t="s">
        <v>35</v>
      </c>
      <c r="N32" s="21" t="s">
        <v>36</v>
      </c>
      <c r="O32" s="20" t="s">
        <v>51</v>
      </c>
      <c r="P32" t="str">
        <f t="shared" si="4"/>
        <v/>
      </c>
      <c r="Q32" t="str" cm="1">
        <f t="array" ref="Q32">_xlfn.IFS(L32&gt;=780, "Prime", L32&gt;=700, "Near Prime", L32&gt;=640, "Sub Prime", L32&lt;640, "High Risk")</f>
        <v>Sub Prime</v>
      </c>
      <c r="R32" cm="1">
        <f t="array" ref="R32">_xlfn.IFS(D32="Home Loan",F32*0.005,D32="Business Loan",F32*0.0075,D32="Auto Loan",F32*0.004,D32="Personal Loan",F32*0.006)</f>
        <v>48750</v>
      </c>
      <c r="S32" t="str">
        <f t="shared" si="1"/>
        <v>NO</v>
      </c>
      <c r="T32" t="str">
        <f t="shared" si="2"/>
        <v>Not Eligible</v>
      </c>
      <c r="U32">
        <f t="shared" si="3"/>
        <v>0.84615384615384615</v>
      </c>
    </row>
    <row r="33" spans="1:21" x14ac:dyDescent="0.35">
      <c r="A33" s="20" t="s">
        <v>83</v>
      </c>
      <c r="B33" s="21" t="s">
        <v>53</v>
      </c>
      <c r="C33" s="21" t="s">
        <v>25</v>
      </c>
      <c r="D33" s="21" t="s">
        <v>18</v>
      </c>
      <c r="E33" s="21" t="s">
        <v>19</v>
      </c>
      <c r="F33" s="22">
        <v>3200000</v>
      </c>
      <c r="G33" s="20">
        <v>180</v>
      </c>
      <c r="H33" s="23">
        <v>8.75</v>
      </c>
      <c r="I33" s="22">
        <v>32220</v>
      </c>
      <c r="J33" s="22">
        <v>2980000</v>
      </c>
      <c r="K33" s="20">
        <v>0</v>
      </c>
      <c r="L33" s="20">
        <v>771</v>
      </c>
      <c r="M33" s="21" t="s">
        <v>20</v>
      </c>
      <c r="N33" s="21" t="s">
        <v>54</v>
      </c>
      <c r="O33" s="20" t="s">
        <v>56</v>
      </c>
      <c r="P33" t="str">
        <f t="shared" si="4"/>
        <v/>
      </c>
      <c r="Q33" t="str" cm="1">
        <f t="array" ref="Q33">_xlfn.IFS(L33&gt;=780, "Prime", L33&gt;=700, "Near Prime", L33&gt;=640, "Sub Prime", L33&lt;640, "High Risk")</f>
        <v>Near Prime</v>
      </c>
      <c r="R33" cm="1">
        <f t="array" ref="R33">_xlfn.IFS(D33="Home Loan",F33*0.005,D33="Business Loan",F33*0.0075,D33="Auto Loan",F33*0.004,D33="Personal Loan",F33*0.006)</f>
        <v>16000</v>
      </c>
      <c r="S33" t="str">
        <f t="shared" si="1"/>
        <v>NO</v>
      </c>
      <c r="T33" t="str">
        <f t="shared" si="2"/>
        <v>Eligible</v>
      </c>
      <c r="U33">
        <f t="shared" si="3"/>
        <v>0.93125000000000002</v>
      </c>
    </row>
    <row r="34" spans="1:21" x14ac:dyDescent="0.35">
      <c r="A34" s="20" t="s">
        <v>84</v>
      </c>
      <c r="B34" s="21" t="s">
        <v>16</v>
      </c>
      <c r="C34" s="21" t="s">
        <v>17</v>
      </c>
      <c r="D34" s="21" t="s">
        <v>43</v>
      </c>
      <c r="E34" s="21" t="s">
        <v>19</v>
      </c>
      <c r="F34" s="22">
        <v>1050000</v>
      </c>
      <c r="G34" s="20">
        <v>60</v>
      </c>
      <c r="H34" s="23">
        <v>9</v>
      </c>
      <c r="I34" s="22">
        <v>21788</v>
      </c>
      <c r="J34" s="22">
        <v>840000</v>
      </c>
      <c r="K34" s="20">
        <v>0</v>
      </c>
      <c r="L34" s="20">
        <v>756</v>
      </c>
      <c r="M34" s="21" t="s">
        <v>44</v>
      </c>
      <c r="N34" s="21" t="s">
        <v>21</v>
      </c>
      <c r="O34" s="20" t="s">
        <v>58</v>
      </c>
      <c r="P34" t="str">
        <f t="shared" si="4"/>
        <v/>
      </c>
      <c r="Q34" t="str" cm="1">
        <f t="array" ref="Q34">_xlfn.IFS(L34&gt;=780, "Prime", L34&gt;=700, "Near Prime", L34&gt;=640, "Sub Prime", L34&lt;640, "High Risk")</f>
        <v>Near Prime</v>
      </c>
      <c r="R34" cm="1">
        <f t="array" ref="R34">_xlfn.IFS(D34="Home Loan",F34*0.005,D34="Business Loan",F34*0.0075,D34="Auto Loan",F34*0.004,D34="Personal Loan",F34*0.006)</f>
        <v>4200</v>
      </c>
      <c r="S34" t="str">
        <f t="shared" si="1"/>
        <v>NO</v>
      </c>
      <c r="T34" t="str">
        <f t="shared" si="2"/>
        <v>Eligible</v>
      </c>
      <c r="U34">
        <f t="shared" si="3"/>
        <v>0.8</v>
      </c>
    </row>
    <row r="35" spans="1:21" x14ac:dyDescent="0.35">
      <c r="A35" s="20" t="s">
        <v>85</v>
      </c>
      <c r="B35" s="21" t="s">
        <v>24</v>
      </c>
      <c r="C35" s="21" t="s">
        <v>25</v>
      </c>
      <c r="D35" s="21" t="s">
        <v>33</v>
      </c>
      <c r="E35" s="21" t="s">
        <v>19</v>
      </c>
      <c r="F35" s="22">
        <v>2800000</v>
      </c>
      <c r="G35" s="20">
        <v>60</v>
      </c>
      <c r="H35" s="23">
        <v>11.75</v>
      </c>
      <c r="I35" s="22">
        <v>62026</v>
      </c>
      <c r="J35" s="22">
        <v>2250000</v>
      </c>
      <c r="K35" s="20">
        <v>0</v>
      </c>
      <c r="L35" s="20">
        <v>748</v>
      </c>
      <c r="M35" s="21" t="s">
        <v>35</v>
      </c>
      <c r="N35" s="21" t="s">
        <v>28</v>
      </c>
      <c r="O35" s="20" t="s">
        <v>62</v>
      </c>
      <c r="P35" t="str">
        <f t="shared" si="4"/>
        <v/>
      </c>
      <c r="Q35" t="str" cm="1">
        <f t="array" ref="Q35">_xlfn.IFS(L35&gt;=780, "Prime", L35&gt;=700, "Near Prime", L35&gt;=640, "Sub Prime", L35&lt;640, "High Risk")</f>
        <v>Near Prime</v>
      </c>
      <c r="R35" cm="1">
        <f t="array" ref="R35">_xlfn.IFS(D35="Home Loan",F35*0.005,D35="Business Loan",F35*0.0075,D35="Auto Loan",F35*0.004,D35="Personal Loan",F35*0.006)</f>
        <v>21000</v>
      </c>
      <c r="S35" t="str">
        <f t="shared" si="1"/>
        <v>NO</v>
      </c>
      <c r="T35" t="str">
        <f t="shared" si="2"/>
        <v>Not Eligible</v>
      </c>
      <c r="U35">
        <f t="shared" si="3"/>
        <v>0.8035714285714286</v>
      </c>
    </row>
    <row r="36" spans="1:21" x14ac:dyDescent="0.35">
      <c r="A36" s="20" t="s">
        <v>86</v>
      </c>
      <c r="B36" s="21" t="s">
        <v>39</v>
      </c>
      <c r="C36" s="21" t="s">
        <v>40</v>
      </c>
      <c r="D36" s="21" t="s">
        <v>26</v>
      </c>
      <c r="E36" s="21" t="s">
        <v>19</v>
      </c>
      <c r="F36" s="22">
        <v>380000</v>
      </c>
      <c r="G36" s="20">
        <v>36</v>
      </c>
      <c r="H36" s="23">
        <v>14.25</v>
      </c>
      <c r="I36" s="22">
        <v>13030</v>
      </c>
      <c r="J36" s="22">
        <v>182000</v>
      </c>
      <c r="K36" s="20">
        <v>0</v>
      </c>
      <c r="L36" s="20">
        <v>718</v>
      </c>
      <c r="M36" s="21" t="s">
        <v>27</v>
      </c>
      <c r="N36" s="21" t="s">
        <v>41</v>
      </c>
      <c r="O36" s="20" t="s">
        <v>74</v>
      </c>
      <c r="P36" t="str">
        <f t="shared" si="4"/>
        <v/>
      </c>
      <c r="Q36" t="str" cm="1">
        <f t="array" ref="Q36">_xlfn.IFS(L36&gt;=780, "Prime", L36&gt;=700, "Near Prime", L36&gt;=640, "Sub Prime", L36&lt;640, "High Risk")</f>
        <v>Near Prime</v>
      </c>
      <c r="R36" cm="1">
        <f t="array" ref="R36">_xlfn.IFS(D36="Home Loan",F36*0.005,D36="Business Loan",F36*0.0075,D36="Auto Loan",F36*0.004,D36="Personal Loan",F36*0.006)</f>
        <v>2280</v>
      </c>
      <c r="S36" t="str">
        <f t="shared" si="1"/>
        <v>NO</v>
      </c>
      <c r="T36" t="str">
        <f t="shared" si="2"/>
        <v>Not Eligible</v>
      </c>
      <c r="U36">
        <f t="shared" si="3"/>
        <v>0.47894736842105262</v>
      </c>
    </row>
    <row r="37" spans="1:21" x14ac:dyDescent="0.35">
      <c r="A37" s="20" t="s">
        <v>87</v>
      </c>
      <c r="B37" s="21" t="s">
        <v>47</v>
      </c>
      <c r="C37" s="21" t="s">
        <v>25</v>
      </c>
      <c r="D37" s="21" t="s">
        <v>18</v>
      </c>
      <c r="E37" s="21" t="s">
        <v>34</v>
      </c>
      <c r="F37" s="22">
        <v>6200000</v>
      </c>
      <c r="G37" s="20">
        <v>240</v>
      </c>
      <c r="H37" s="23">
        <v>9</v>
      </c>
      <c r="I37" s="22">
        <v>55897</v>
      </c>
      <c r="J37" s="22">
        <v>5950000</v>
      </c>
      <c r="K37" s="20">
        <v>4</v>
      </c>
      <c r="L37" s="20">
        <v>634</v>
      </c>
      <c r="M37" s="21" t="s">
        <v>20</v>
      </c>
      <c r="N37" s="21" t="s">
        <v>48</v>
      </c>
      <c r="O37" s="20" t="s">
        <v>22</v>
      </c>
      <c r="P37" t="str">
        <f t="shared" si="4"/>
        <v/>
      </c>
      <c r="Q37" t="str" cm="1">
        <f t="array" ref="Q37">_xlfn.IFS(L37&gt;=780, "Prime", L37&gt;=700, "Near Prime", L37&gt;=640, "Sub Prime", L37&lt;640, "High Risk")</f>
        <v>High Risk</v>
      </c>
      <c r="R37" cm="1">
        <f t="array" ref="R37">_xlfn.IFS(D37="Home Loan",F37*0.005,D37="Business Loan",F37*0.0075,D37="Auto Loan",F37*0.004,D37="Personal Loan",F37*0.006)</f>
        <v>31000</v>
      </c>
      <c r="S37" t="str">
        <f t="shared" si="1"/>
        <v>YES</v>
      </c>
      <c r="T37" t="str">
        <f t="shared" si="2"/>
        <v>Not Eligible</v>
      </c>
      <c r="U37">
        <f t="shared" si="3"/>
        <v>0.95967741935483875</v>
      </c>
    </row>
    <row r="38" spans="1:21" x14ac:dyDescent="0.35">
      <c r="A38" s="20" t="s">
        <v>88</v>
      </c>
      <c r="B38" s="21" t="s">
        <v>31</v>
      </c>
      <c r="C38" s="21" t="s">
        <v>32</v>
      </c>
      <c r="D38" s="21" t="s">
        <v>43</v>
      </c>
      <c r="E38" s="21" t="s">
        <v>19</v>
      </c>
      <c r="F38" s="22">
        <v>900000</v>
      </c>
      <c r="G38" s="20">
        <v>60</v>
      </c>
      <c r="H38" s="23">
        <v>9.25</v>
      </c>
      <c r="I38" s="22">
        <v>18738</v>
      </c>
      <c r="J38" s="22">
        <v>720000</v>
      </c>
      <c r="K38" s="20">
        <v>0</v>
      </c>
      <c r="L38" s="20">
        <v>763</v>
      </c>
      <c r="M38" s="21" t="s">
        <v>44</v>
      </c>
      <c r="N38" s="21" t="s">
        <v>36</v>
      </c>
      <c r="O38" s="20" t="s">
        <v>76</v>
      </c>
      <c r="P38" t="str">
        <f t="shared" si="4"/>
        <v/>
      </c>
      <c r="Q38" t="str" cm="1">
        <f t="array" ref="Q38">_xlfn.IFS(L38&gt;=780, "Prime", L38&gt;=700, "Near Prime", L38&gt;=640, "Sub Prime", L38&lt;640, "High Risk")</f>
        <v>Near Prime</v>
      </c>
      <c r="R38" cm="1">
        <f t="array" ref="R38">_xlfn.IFS(D38="Home Loan",F38*0.005,D38="Business Loan",F38*0.0075,D38="Auto Loan",F38*0.004,D38="Personal Loan",F38*0.006)</f>
        <v>3600</v>
      </c>
      <c r="S38" t="str">
        <f t="shared" si="1"/>
        <v>NO</v>
      </c>
      <c r="T38" t="str">
        <f t="shared" si="2"/>
        <v>Eligible</v>
      </c>
      <c r="U38">
        <f t="shared" si="3"/>
        <v>0.8</v>
      </c>
    </row>
    <row r="39" spans="1:21" x14ac:dyDescent="0.35">
      <c r="A39" s="20" t="s">
        <v>89</v>
      </c>
      <c r="B39" s="21" t="s">
        <v>53</v>
      </c>
      <c r="C39" s="21" t="s">
        <v>25</v>
      </c>
      <c r="D39" s="21" t="s">
        <v>26</v>
      </c>
      <c r="E39" s="21" t="s">
        <v>19</v>
      </c>
      <c r="F39" s="22">
        <v>800000</v>
      </c>
      <c r="G39" s="20">
        <v>48</v>
      </c>
      <c r="H39" s="23">
        <v>13</v>
      </c>
      <c r="I39" s="22">
        <v>22743</v>
      </c>
      <c r="J39" s="22">
        <v>580000</v>
      </c>
      <c r="K39" s="20">
        <v>1</v>
      </c>
      <c r="L39" s="20">
        <v>706</v>
      </c>
      <c r="M39" s="21" t="s">
        <v>27</v>
      </c>
      <c r="N39" s="21" t="s">
        <v>54</v>
      </c>
      <c r="O39" s="20" t="s">
        <v>90</v>
      </c>
      <c r="P39" t="str">
        <f t="shared" si="4"/>
        <v/>
      </c>
      <c r="Q39" t="str" cm="1">
        <f t="array" ref="Q39">_xlfn.IFS(L39&gt;=780, "Prime", L39&gt;=700, "Near Prime", L39&gt;=640, "Sub Prime", L39&lt;640, "High Risk")</f>
        <v>Near Prime</v>
      </c>
      <c r="R39" cm="1">
        <f t="array" ref="R39">_xlfn.IFS(D39="Home Loan",F39*0.005,D39="Business Loan",F39*0.0075,D39="Auto Loan",F39*0.004,D39="Personal Loan",F39*0.006)</f>
        <v>4800</v>
      </c>
      <c r="S39" t="str">
        <f t="shared" si="1"/>
        <v>NO</v>
      </c>
      <c r="T39" t="str">
        <f t="shared" si="2"/>
        <v>Not Eligible</v>
      </c>
      <c r="U39">
        <f t="shared" si="3"/>
        <v>0.72499999999999998</v>
      </c>
    </row>
    <row r="40" spans="1:21" x14ac:dyDescent="0.35">
      <c r="A40" s="20" t="s">
        <v>91</v>
      </c>
      <c r="B40" s="21" t="s">
        <v>16</v>
      </c>
      <c r="C40" s="21" t="s">
        <v>17</v>
      </c>
      <c r="D40" s="21" t="s">
        <v>18</v>
      </c>
      <c r="E40" s="21" t="s">
        <v>19</v>
      </c>
      <c r="F40" s="22">
        <v>8900000</v>
      </c>
      <c r="G40" s="20">
        <v>300</v>
      </c>
      <c r="H40" s="23">
        <v>8.5</v>
      </c>
      <c r="I40" s="22">
        <v>75218</v>
      </c>
      <c r="J40" s="22">
        <v>8650000</v>
      </c>
      <c r="K40" s="20">
        <v>0</v>
      </c>
      <c r="L40" s="20">
        <v>812</v>
      </c>
      <c r="M40" s="21" t="s">
        <v>20</v>
      </c>
      <c r="N40" s="21" t="s">
        <v>21</v>
      </c>
      <c r="O40" s="20" t="s">
        <v>22</v>
      </c>
      <c r="P40" t="str">
        <f t="shared" si="4"/>
        <v/>
      </c>
      <c r="Q40" t="str" cm="1">
        <f t="array" ref="Q40">_xlfn.IFS(L40&gt;=780, "Prime", L40&gt;=700, "Near Prime", L40&gt;=640, "Sub Prime", L40&lt;640, "High Risk")</f>
        <v>Prime</v>
      </c>
      <c r="R40" cm="1">
        <f t="array" ref="R40">_xlfn.IFS(D40="Home Loan",F40*0.005,D40="Business Loan",F40*0.0075,D40="Auto Loan",F40*0.004,D40="Personal Loan",F40*0.006)</f>
        <v>44500</v>
      </c>
      <c r="S40" t="str">
        <f t="shared" si="1"/>
        <v>NO</v>
      </c>
      <c r="T40" t="str">
        <f t="shared" si="2"/>
        <v>Eligible</v>
      </c>
      <c r="U40">
        <f t="shared" si="3"/>
        <v>0.9719101123595506</v>
      </c>
    </row>
    <row r="41" spans="1:21" x14ac:dyDescent="0.35">
      <c r="A41" s="20" t="s">
        <v>92</v>
      </c>
      <c r="B41" s="21" t="s">
        <v>24</v>
      </c>
      <c r="C41" s="21" t="s">
        <v>25</v>
      </c>
      <c r="D41" s="21" t="s">
        <v>43</v>
      </c>
      <c r="E41" s="21" t="s">
        <v>19</v>
      </c>
      <c r="F41" s="22">
        <v>580000</v>
      </c>
      <c r="G41" s="20">
        <v>48</v>
      </c>
      <c r="H41" s="23">
        <v>9.75</v>
      </c>
      <c r="I41" s="22">
        <v>14738</v>
      </c>
      <c r="J41" s="22">
        <v>390000</v>
      </c>
      <c r="K41" s="20">
        <v>0</v>
      </c>
      <c r="L41" s="20">
        <v>741</v>
      </c>
      <c r="M41" s="21" t="s">
        <v>44</v>
      </c>
      <c r="N41" s="21" t="s">
        <v>28</v>
      </c>
      <c r="O41" s="20" t="s">
        <v>90</v>
      </c>
      <c r="P41" t="str">
        <f t="shared" si="4"/>
        <v/>
      </c>
      <c r="Q41" t="str" cm="1">
        <f t="array" ref="Q41">_xlfn.IFS(L41&gt;=780, "Prime", L41&gt;=700, "Near Prime", L41&gt;=640, "Sub Prime", L41&lt;640, "High Risk")</f>
        <v>Near Prime</v>
      </c>
      <c r="R41" cm="1">
        <f t="array" ref="R41">_xlfn.IFS(D41="Home Loan",F41*0.005,D41="Business Loan",F41*0.0075,D41="Auto Loan",F41*0.004,D41="Personal Loan",F41*0.006)</f>
        <v>2320</v>
      </c>
      <c r="S41" t="str">
        <f t="shared" si="1"/>
        <v>NO</v>
      </c>
      <c r="T41" t="str">
        <f t="shared" si="2"/>
        <v>Not Eligible</v>
      </c>
      <c r="U41">
        <f t="shared" si="3"/>
        <v>0.67241379310344829</v>
      </c>
    </row>
    <row r="42" spans="1:21" x14ac:dyDescent="0.35">
      <c r="A42" s="20" t="s">
        <v>93</v>
      </c>
      <c r="B42" s="21" t="s">
        <v>39</v>
      </c>
      <c r="C42" s="21" t="s">
        <v>40</v>
      </c>
      <c r="D42" s="21" t="s">
        <v>33</v>
      </c>
      <c r="E42" s="21" t="s">
        <v>34</v>
      </c>
      <c r="F42" s="22">
        <v>3200000</v>
      </c>
      <c r="G42" s="20">
        <v>72</v>
      </c>
      <c r="H42" s="23">
        <v>12.75</v>
      </c>
      <c r="I42" s="22">
        <v>62695</v>
      </c>
      <c r="J42" s="22">
        <v>2700000</v>
      </c>
      <c r="K42" s="20">
        <v>8</v>
      </c>
      <c r="L42" s="20">
        <v>591</v>
      </c>
      <c r="M42" s="21" t="s">
        <v>35</v>
      </c>
      <c r="N42" s="21" t="s">
        <v>41</v>
      </c>
      <c r="O42" s="20" t="s">
        <v>22</v>
      </c>
      <c r="P42" t="str">
        <f t="shared" si="4"/>
        <v>Flagged</v>
      </c>
      <c r="Q42" t="str" cm="1">
        <f t="array" ref="Q42">_xlfn.IFS(L42&gt;=780, "Prime", L42&gt;=700, "Near Prime", L42&gt;=640, "Sub Prime", L42&lt;640, "High Risk")</f>
        <v>High Risk</v>
      </c>
      <c r="R42" cm="1">
        <f t="array" ref="R42">_xlfn.IFS(D42="Home Loan",F42*0.005,D42="Business Loan",F42*0.0075,D42="Auto Loan",F42*0.004,D42="Personal Loan",F42*0.006)</f>
        <v>24000</v>
      </c>
      <c r="S42" t="str">
        <f t="shared" si="1"/>
        <v>YES</v>
      </c>
      <c r="T42" t="str">
        <f t="shared" si="2"/>
        <v>Not Eligible</v>
      </c>
      <c r="U42">
        <f t="shared" si="3"/>
        <v>0.84375</v>
      </c>
    </row>
    <row r="43" spans="1:21" x14ac:dyDescent="0.35">
      <c r="A43" s="20" t="s">
        <v>94</v>
      </c>
      <c r="B43" s="21" t="s">
        <v>47</v>
      </c>
      <c r="C43" s="21" t="s">
        <v>25</v>
      </c>
      <c r="D43" s="21" t="s">
        <v>26</v>
      </c>
      <c r="E43" s="21" t="s">
        <v>19</v>
      </c>
      <c r="F43" s="22">
        <v>420000</v>
      </c>
      <c r="G43" s="20">
        <v>36</v>
      </c>
      <c r="H43" s="23">
        <v>14</v>
      </c>
      <c r="I43" s="22">
        <v>14339</v>
      </c>
      <c r="J43" s="22">
        <v>195000</v>
      </c>
      <c r="K43" s="20">
        <v>0</v>
      </c>
      <c r="L43" s="20">
        <v>729</v>
      </c>
      <c r="M43" s="21" t="s">
        <v>27</v>
      </c>
      <c r="N43" s="21" t="s">
        <v>48</v>
      </c>
      <c r="O43" s="20" t="s">
        <v>29</v>
      </c>
      <c r="P43" t="str">
        <f t="shared" si="4"/>
        <v/>
      </c>
      <c r="Q43" t="str" cm="1">
        <f t="array" ref="Q43">_xlfn.IFS(L43&gt;=780, "Prime", L43&gt;=700, "Near Prime", L43&gt;=640, "Sub Prime", L43&lt;640, "High Risk")</f>
        <v>Near Prime</v>
      </c>
      <c r="R43" cm="1">
        <f t="array" ref="R43">_xlfn.IFS(D43="Home Loan",F43*0.005,D43="Business Loan",F43*0.0075,D43="Auto Loan",F43*0.004,D43="Personal Loan",F43*0.006)</f>
        <v>2520</v>
      </c>
      <c r="S43" t="str">
        <f t="shared" si="1"/>
        <v>NO</v>
      </c>
      <c r="T43" t="str">
        <f t="shared" si="2"/>
        <v>Not Eligible</v>
      </c>
      <c r="U43">
        <f t="shared" si="3"/>
        <v>0.4642857142857143</v>
      </c>
    </row>
    <row r="44" spans="1:21" x14ac:dyDescent="0.35">
      <c r="A44" s="20" t="s">
        <v>95</v>
      </c>
      <c r="B44" s="21" t="s">
        <v>31</v>
      </c>
      <c r="C44" s="21" t="s">
        <v>32</v>
      </c>
      <c r="D44" s="21" t="s">
        <v>18</v>
      </c>
      <c r="E44" s="21" t="s">
        <v>19</v>
      </c>
      <c r="F44" s="22">
        <v>5500000</v>
      </c>
      <c r="G44" s="20">
        <v>240</v>
      </c>
      <c r="H44" s="23">
        <v>8.5500000000000007</v>
      </c>
      <c r="I44" s="22">
        <v>48142</v>
      </c>
      <c r="J44" s="22">
        <v>5250000</v>
      </c>
      <c r="K44" s="20">
        <v>0</v>
      </c>
      <c r="L44" s="20">
        <v>779</v>
      </c>
      <c r="M44" s="21" t="s">
        <v>20</v>
      </c>
      <c r="N44" s="21" t="s">
        <v>36</v>
      </c>
      <c r="O44" s="20" t="s">
        <v>37</v>
      </c>
      <c r="P44" t="str">
        <f t="shared" si="4"/>
        <v/>
      </c>
      <c r="Q44" t="str" cm="1">
        <f t="array" ref="Q44">_xlfn.IFS(L44&gt;=780, "Prime", L44&gt;=700, "Near Prime", L44&gt;=640, "Sub Prime", L44&lt;640, "High Risk")</f>
        <v>Near Prime</v>
      </c>
      <c r="R44" cm="1">
        <f t="array" ref="R44">_xlfn.IFS(D44="Home Loan",F44*0.005,D44="Business Loan",F44*0.0075,D44="Auto Loan",F44*0.004,D44="Personal Loan",F44*0.006)</f>
        <v>27500</v>
      </c>
      <c r="S44" t="str">
        <f t="shared" si="1"/>
        <v>NO</v>
      </c>
      <c r="T44" t="str">
        <f t="shared" si="2"/>
        <v>Eligible</v>
      </c>
      <c r="U44">
        <f t="shared" si="3"/>
        <v>0.95454545454545459</v>
      </c>
    </row>
    <row r="45" spans="1:21" x14ac:dyDescent="0.35">
      <c r="A45" s="20" t="s">
        <v>96</v>
      </c>
      <c r="B45" s="21" t="s">
        <v>53</v>
      </c>
      <c r="C45" s="21" t="s">
        <v>25</v>
      </c>
      <c r="D45" s="21" t="s">
        <v>33</v>
      </c>
      <c r="E45" s="21" t="s">
        <v>34</v>
      </c>
      <c r="F45" s="22">
        <v>9500000</v>
      </c>
      <c r="G45" s="20">
        <v>84</v>
      </c>
      <c r="H45" s="23">
        <v>12.25</v>
      </c>
      <c r="I45" s="22">
        <v>158286</v>
      </c>
      <c r="J45" s="22">
        <v>8100000</v>
      </c>
      <c r="K45" s="20">
        <v>0</v>
      </c>
      <c r="L45" s="20">
        <v>751</v>
      </c>
      <c r="M45" s="21" t="s">
        <v>20</v>
      </c>
      <c r="N45" s="21" t="s">
        <v>54</v>
      </c>
      <c r="O45" s="20" t="s">
        <v>22</v>
      </c>
      <c r="P45" t="str">
        <f t="shared" si="4"/>
        <v/>
      </c>
      <c r="Q45" t="str" cm="1">
        <f t="array" ref="Q45">_xlfn.IFS(L45&gt;=780, "Prime", L45&gt;=700, "Near Prime", L45&gt;=640, "Sub Prime", L45&lt;640, "High Risk")</f>
        <v>Near Prime</v>
      </c>
      <c r="R45" cm="1">
        <f t="array" ref="R45">_xlfn.IFS(D45="Home Loan",F45*0.005,D45="Business Loan",F45*0.0075,D45="Auto Loan",F45*0.004,D45="Personal Loan",F45*0.006)</f>
        <v>71250</v>
      </c>
      <c r="S45" t="str">
        <f t="shared" si="1"/>
        <v>NO</v>
      </c>
      <c r="T45" t="str">
        <f t="shared" si="2"/>
        <v>Not Eligible</v>
      </c>
      <c r="U45">
        <f t="shared" si="3"/>
        <v>0.85263157894736841</v>
      </c>
    </row>
    <row r="46" spans="1:21" x14ac:dyDescent="0.35">
      <c r="A46" s="20" t="s">
        <v>97</v>
      </c>
      <c r="B46" s="21" t="s">
        <v>16</v>
      </c>
      <c r="C46" s="21" t="s">
        <v>17</v>
      </c>
      <c r="D46" s="21" t="s">
        <v>43</v>
      </c>
      <c r="E46" s="21" t="s">
        <v>34</v>
      </c>
      <c r="F46" s="22">
        <v>1500000</v>
      </c>
      <c r="G46" s="20">
        <v>60</v>
      </c>
      <c r="H46" s="23">
        <v>10.25</v>
      </c>
      <c r="I46" s="22">
        <v>32253</v>
      </c>
      <c r="J46" s="22">
        <v>1210000</v>
      </c>
      <c r="K46" s="20">
        <v>3</v>
      </c>
      <c r="L46" s="20">
        <v>661</v>
      </c>
      <c r="M46" s="21" t="s">
        <v>44</v>
      </c>
      <c r="N46" s="21" t="s">
        <v>21</v>
      </c>
      <c r="O46" s="20" t="s">
        <v>45</v>
      </c>
      <c r="P46" t="str">
        <f t="shared" si="4"/>
        <v/>
      </c>
      <c r="Q46" t="str" cm="1">
        <f t="array" ref="Q46">_xlfn.IFS(L46&gt;=780, "Prime", L46&gt;=700, "Near Prime", L46&gt;=640, "Sub Prime", L46&lt;640, "High Risk")</f>
        <v>Sub Prime</v>
      </c>
      <c r="R46" cm="1">
        <f t="array" ref="R46">_xlfn.IFS(D46="Home Loan",F46*0.005,D46="Business Loan",F46*0.0075,D46="Auto Loan",F46*0.004,D46="Personal Loan",F46*0.006)</f>
        <v>6000</v>
      </c>
      <c r="S46" t="str">
        <f t="shared" si="1"/>
        <v>YES</v>
      </c>
      <c r="T46" t="str">
        <f t="shared" si="2"/>
        <v>Not Eligible</v>
      </c>
      <c r="U46">
        <f t="shared" si="3"/>
        <v>0.80666666666666664</v>
      </c>
    </row>
    <row r="47" spans="1:21" x14ac:dyDescent="0.35">
      <c r="A47" s="20" t="s">
        <v>98</v>
      </c>
      <c r="B47" s="21" t="s">
        <v>24</v>
      </c>
      <c r="C47" s="21" t="s">
        <v>25</v>
      </c>
      <c r="D47" s="21" t="s">
        <v>18</v>
      </c>
      <c r="E47" s="21" t="s">
        <v>19</v>
      </c>
      <c r="F47" s="22">
        <v>4800000</v>
      </c>
      <c r="G47" s="20">
        <v>180</v>
      </c>
      <c r="H47" s="23">
        <v>8.8000000000000007</v>
      </c>
      <c r="I47" s="22">
        <v>48406</v>
      </c>
      <c r="J47" s="22">
        <v>4570000</v>
      </c>
      <c r="K47" s="20">
        <v>0</v>
      </c>
      <c r="L47" s="20">
        <v>787</v>
      </c>
      <c r="M47" s="21" t="s">
        <v>20</v>
      </c>
      <c r="N47" s="21" t="s">
        <v>28</v>
      </c>
      <c r="O47" s="20" t="s">
        <v>49</v>
      </c>
      <c r="P47" t="str">
        <f t="shared" si="4"/>
        <v/>
      </c>
      <c r="Q47" t="str" cm="1">
        <f t="array" ref="Q47">_xlfn.IFS(L47&gt;=780, "Prime", L47&gt;=700, "Near Prime", L47&gt;=640, "Sub Prime", L47&lt;640, "High Risk")</f>
        <v>Prime</v>
      </c>
      <c r="R47" cm="1">
        <f t="array" ref="R47">_xlfn.IFS(D47="Home Loan",F47*0.005,D47="Business Loan",F47*0.0075,D47="Auto Loan",F47*0.004,D47="Personal Loan",F47*0.006)</f>
        <v>24000</v>
      </c>
      <c r="S47" t="str">
        <f t="shared" si="1"/>
        <v>NO</v>
      </c>
      <c r="T47" t="str">
        <f t="shared" si="2"/>
        <v>Eligible</v>
      </c>
      <c r="U47">
        <f t="shared" si="3"/>
        <v>0.95208333333333328</v>
      </c>
    </row>
    <row r="48" spans="1:21" x14ac:dyDescent="0.35">
      <c r="A48" s="20" t="s">
        <v>99</v>
      </c>
      <c r="B48" s="21" t="s">
        <v>39</v>
      </c>
      <c r="C48" s="21" t="s">
        <v>40</v>
      </c>
      <c r="D48" s="21" t="s">
        <v>26</v>
      </c>
      <c r="E48" s="21" t="s">
        <v>19</v>
      </c>
      <c r="F48" s="22">
        <v>310000</v>
      </c>
      <c r="G48" s="20">
        <v>24</v>
      </c>
      <c r="H48" s="23">
        <v>14.5</v>
      </c>
      <c r="I48" s="22">
        <v>14980</v>
      </c>
      <c r="J48" s="22">
        <v>98000</v>
      </c>
      <c r="K48" s="20">
        <v>0</v>
      </c>
      <c r="L48" s="20">
        <v>724</v>
      </c>
      <c r="M48" s="21" t="s">
        <v>27</v>
      </c>
      <c r="N48" s="21" t="s">
        <v>41</v>
      </c>
      <c r="O48" s="20" t="s">
        <v>51</v>
      </c>
      <c r="P48" t="str">
        <f t="shared" si="4"/>
        <v/>
      </c>
      <c r="Q48" t="str" cm="1">
        <f t="array" ref="Q48">_xlfn.IFS(L48&gt;=780, "Prime", L48&gt;=700, "Near Prime", L48&gt;=640, "Sub Prime", L48&lt;640, "High Risk")</f>
        <v>Near Prime</v>
      </c>
      <c r="R48" cm="1">
        <f t="array" ref="R48">_xlfn.IFS(D48="Home Loan",F48*0.005,D48="Business Loan",F48*0.0075,D48="Auto Loan",F48*0.004,D48="Personal Loan",F48*0.006)</f>
        <v>1860</v>
      </c>
      <c r="S48" t="str">
        <f t="shared" si="1"/>
        <v>NO</v>
      </c>
      <c r="T48" t="str">
        <f t="shared" si="2"/>
        <v>Not Eligible</v>
      </c>
      <c r="U48">
        <f t="shared" si="3"/>
        <v>0.31612903225806449</v>
      </c>
    </row>
    <row r="49" spans="1:21" x14ac:dyDescent="0.35">
      <c r="A49" s="20" t="s">
        <v>100</v>
      </c>
      <c r="B49" s="21" t="s">
        <v>47</v>
      </c>
      <c r="C49" s="21" t="s">
        <v>25</v>
      </c>
      <c r="D49" s="21" t="s">
        <v>33</v>
      </c>
      <c r="E49" s="21" t="s">
        <v>19</v>
      </c>
      <c r="F49" s="22">
        <v>3800000</v>
      </c>
      <c r="G49" s="20">
        <v>60</v>
      </c>
      <c r="H49" s="23">
        <v>11.5</v>
      </c>
      <c r="I49" s="22">
        <v>83331</v>
      </c>
      <c r="J49" s="22">
        <v>3100000</v>
      </c>
      <c r="K49" s="20">
        <v>0</v>
      </c>
      <c r="L49" s="20">
        <v>755</v>
      </c>
      <c r="M49" s="21" t="s">
        <v>35</v>
      </c>
      <c r="N49" s="21" t="s">
        <v>48</v>
      </c>
      <c r="O49" s="20" t="s">
        <v>56</v>
      </c>
      <c r="P49" t="str">
        <f t="shared" si="4"/>
        <v/>
      </c>
      <c r="Q49" t="str" cm="1">
        <f t="array" ref="Q49">_xlfn.IFS(L49&gt;=780, "Prime", L49&gt;=700, "Near Prime", L49&gt;=640, "Sub Prime", L49&lt;640, "High Risk")</f>
        <v>Near Prime</v>
      </c>
      <c r="R49" cm="1">
        <f t="array" ref="R49">_xlfn.IFS(D49="Home Loan",F49*0.005,D49="Business Loan",F49*0.0075,D49="Auto Loan",F49*0.004,D49="Personal Loan",F49*0.006)</f>
        <v>28500</v>
      </c>
      <c r="S49" t="str">
        <f t="shared" si="1"/>
        <v>NO</v>
      </c>
      <c r="T49" t="str">
        <f t="shared" si="2"/>
        <v>Not Eligible</v>
      </c>
      <c r="U49">
        <f t="shared" si="3"/>
        <v>0.81578947368421051</v>
      </c>
    </row>
    <row r="50" spans="1:21" x14ac:dyDescent="0.35">
      <c r="A50" s="20" t="s">
        <v>101</v>
      </c>
      <c r="B50" s="21" t="s">
        <v>31</v>
      </c>
      <c r="C50" s="21" t="s">
        <v>32</v>
      </c>
      <c r="D50" s="21" t="s">
        <v>43</v>
      </c>
      <c r="E50" s="21" t="s">
        <v>19</v>
      </c>
      <c r="F50" s="22">
        <v>700000</v>
      </c>
      <c r="G50" s="20">
        <v>60</v>
      </c>
      <c r="H50" s="23">
        <v>9.5</v>
      </c>
      <c r="I50" s="22">
        <v>14699</v>
      </c>
      <c r="J50" s="22">
        <v>555000</v>
      </c>
      <c r="K50" s="20">
        <v>0</v>
      </c>
      <c r="L50" s="20">
        <v>748</v>
      </c>
      <c r="M50" s="21" t="s">
        <v>44</v>
      </c>
      <c r="N50" s="21" t="s">
        <v>36</v>
      </c>
      <c r="O50" s="20" t="s">
        <v>58</v>
      </c>
      <c r="P50" t="str">
        <f t="shared" si="4"/>
        <v/>
      </c>
      <c r="Q50" t="str" cm="1">
        <f t="array" ref="Q50">_xlfn.IFS(L50&gt;=780, "Prime", L50&gt;=700, "Near Prime", L50&gt;=640, "Sub Prime", L50&lt;640, "High Risk")</f>
        <v>Near Prime</v>
      </c>
      <c r="R50" cm="1">
        <f t="array" ref="R50">_xlfn.IFS(D50="Home Loan",F50*0.005,D50="Business Loan",F50*0.0075,D50="Auto Loan",F50*0.004,D50="Personal Loan",F50*0.006)</f>
        <v>2800</v>
      </c>
      <c r="S50" t="str">
        <f t="shared" si="1"/>
        <v>NO</v>
      </c>
      <c r="T50" t="str">
        <f t="shared" si="2"/>
        <v>Not Eligible</v>
      </c>
      <c r="U50">
        <f t="shared" si="3"/>
        <v>0.79285714285714282</v>
      </c>
    </row>
    <row r="51" spans="1:21" x14ac:dyDescent="0.35">
      <c r="A51" s="20" t="s">
        <v>102</v>
      </c>
      <c r="B51" s="21" t="s">
        <v>53</v>
      </c>
      <c r="C51" s="21" t="s">
        <v>25</v>
      </c>
      <c r="D51" s="21" t="s">
        <v>18</v>
      </c>
      <c r="E51" s="21" t="s">
        <v>19</v>
      </c>
      <c r="F51" s="22">
        <v>5900000</v>
      </c>
      <c r="G51" s="20">
        <v>240</v>
      </c>
      <c r="H51" s="23">
        <v>8.4499999999999993</v>
      </c>
      <c r="I51" s="22">
        <v>51648</v>
      </c>
      <c r="J51" s="22">
        <v>5670000</v>
      </c>
      <c r="K51" s="20">
        <v>0</v>
      </c>
      <c r="L51" s="20">
        <v>794</v>
      </c>
      <c r="M51" s="21" t="s">
        <v>20</v>
      </c>
      <c r="N51" s="21" t="s">
        <v>54</v>
      </c>
      <c r="O51" s="20" t="s">
        <v>62</v>
      </c>
      <c r="P51" t="str">
        <f t="shared" si="4"/>
        <v/>
      </c>
      <c r="Q51" t="str" cm="1">
        <f t="array" ref="Q51">_xlfn.IFS(L51&gt;=780, "Prime", L51&gt;=700, "Near Prime", L51&gt;=640, "Sub Prime", L51&lt;640, "High Risk")</f>
        <v>Prime</v>
      </c>
      <c r="R51" cm="1">
        <f t="array" ref="R51">_xlfn.IFS(D51="Home Loan",F51*0.005,D51="Business Loan",F51*0.0075,D51="Auto Loan",F51*0.004,D51="Personal Loan",F51*0.006)</f>
        <v>29500</v>
      </c>
      <c r="S51" t="str">
        <f t="shared" si="1"/>
        <v>NO</v>
      </c>
      <c r="T51" t="str">
        <f t="shared" si="2"/>
        <v>Eligible</v>
      </c>
      <c r="U51">
        <f t="shared" si="3"/>
        <v>0.96101694915254232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8"/>
  <sheetViews>
    <sheetView tabSelected="1" zoomScale="115" zoomScaleNormal="115" workbookViewId="0">
      <selection activeCell="C27" sqref="C27"/>
    </sheetView>
  </sheetViews>
  <sheetFormatPr defaultRowHeight="14.5" x14ac:dyDescent="0.35"/>
  <cols>
    <col min="1" max="1" width="20" customWidth="1"/>
    <col min="2" max="2" width="65" customWidth="1"/>
    <col min="3" max="3" width="29.1796875" customWidth="1"/>
    <col min="4" max="4" width="68" style="16" customWidth="1"/>
    <col min="5" max="5" width="55" customWidth="1"/>
  </cols>
  <sheetData>
    <row r="1" spans="1:10" ht="15.5" x14ac:dyDescent="0.35">
      <c r="A1" s="24" t="s">
        <v>103</v>
      </c>
      <c r="B1" s="25"/>
      <c r="C1" s="25"/>
      <c r="D1" s="25"/>
      <c r="E1" s="25"/>
      <c r="F1" s="25"/>
      <c r="G1" s="25"/>
      <c r="H1" s="25"/>
      <c r="I1" s="25"/>
      <c r="J1" s="25"/>
    </row>
    <row r="2" spans="1:10" x14ac:dyDescent="0.35">
      <c r="A2" s="2" t="s">
        <v>104</v>
      </c>
      <c r="B2" s="2" t="s">
        <v>105</v>
      </c>
      <c r="C2" s="2" t="s">
        <v>106</v>
      </c>
      <c r="D2" s="15" t="s">
        <v>191</v>
      </c>
    </row>
    <row r="3" spans="1:10" x14ac:dyDescent="0.35">
      <c r="A3" s="27" t="s">
        <v>107</v>
      </c>
      <c r="B3" s="25"/>
      <c r="C3" s="25"/>
      <c r="D3" s="25"/>
      <c r="E3" s="25"/>
      <c r="F3" s="25"/>
      <c r="G3" s="25"/>
      <c r="H3" s="25"/>
      <c r="I3" s="25"/>
      <c r="J3" s="25"/>
    </row>
    <row r="4" spans="1:10" ht="18.5" x14ac:dyDescent="0.45">
      <c r="A4" s="3" t="s">
        <v>108</v>
      </c>
      <c r="B4" s="4" t="s">
        <v>109</v>
      </c>
      <c r="C4" s="5">
        <f>COUNTIF(Loan_Portfolio!D2:D51, "Home Loan")</f>
        <v>15</v>
      </c>
      <c r="D4" s="14" t="str">
        <f ca="1">_xlfn.FORMULATEXT(C4)</f>
        <v>=COUNTIF(Loan_Portfolio!D2:D51, "Home Loan")</v>
      </c>
    </row>
    <row r="5" spans="1:10" ht="25" x14ac:dyDescent="0.45">
      <c r="A5" s="3" t="s">
        <v>110</v>
      </c>
      <c r="B5" s="4" t="s">
        <v>111</v>
      </c>
      <c r="C5" s="12">
        <f>SUMIF(Loan_Portfolio!C2:C51, "South", Loan_Portfolio!J2:J51)</f>
        <v>68244000</v>
      </c>
      <c r="D5" s="14" t="str">
        <f t="shared" ref="D5:D27" ca="1" si="0">_xlfn.FORMULATEXT(C5)</f>
        <v>=SUMIF(Loan_Portfolio!C2:C51, "South", Loan_Portfolio!J2:J51)</v>
      </c>
    </row>
    <row r="6" spans="1:10" ht="18.5" x14ac:dyDescent="0.45">
      <c r="A6" s="3" t="s">
        <v>112</v>
      </c>
      <c r="B6" s="4" t="s">
        <v>113</v>
      </c>
      <c r="C6" s="13">
        <f>AVERAGEIF(Loan_Portfolio!E2:E51, "Self-Emp", Loan_Portfolio!H2:H51)</f>
        <v>12.205882352941176</v>
      </c>
      <c r="D6" s="14" t="str">
        <f t="shared" ca="1" si="0"/>
        <v>=AVERAGEIF(Loan_Portfolio!E2:E51, "Self-Emp", Loan_Portfolio!H2:H51)</v>
      </c>
    </row>
    <row r="7" spans="1:10" ht="18.5" x14ac:dyDescent="0.45">
      <c r="A7" s="19" t="s">
        <v>114</v>
      </c>
      <c r="B7" s="4" t="s">
        <v>115</v>
      </c>
      <c r="C7" s="5">
        <f>COUNTIF(Loan_Portfolio!L2:L51, "&gt;750")</f>
        <v>20</v>
      </c>
      <c r="D7" s="14" t="str">
        <f ca="1">_xlfn.FORMULATEXT(C7)</f>
        <v>=COUNTIF(Loan_Portfolio!L2:L51, "&gt;750")</v>
      </c>
    </row>
    <row r="8" spans="1:10" ht="37" x14ac:dyDescent="0.45">
      <c r="A8" s="19" t="s">
        <v>116</v>
      </c>
      <c r="B8" s="4" t="s">
        <v>117</v>
      </c>
      <c r="C8" s="5">
        <f>SUMIF(Loan_Portfolio!N2:N51, "Ravi Sharma", Loan_Portfolio!F2:F51)</f>
        <v>29750000</v>
      </c>
      <c r="D8" s="14" t="str">
        <f ca="1">_xlfn.FORMULATEXT(C8)</f>
        <v>=SUMIF(Loan_Portfolio!N2:N51, "Ravi Sharma", Loan_Portfolio!F2:F51)</v>
      </c>
    </row>
    <row r="9" spans="1:10" x14ac:dyDescent="0.35">
      <c r="A9" s="27" t="s">
        <v>118</v>
      </c>
      <c r="B9" s="25"/>
      <c r="C9" s="25"/>
      <c r="D9" s="25"/>
      <c r="E9" s="25"/>
      <c r="F9" s="25"/>
      <c r="G9" s="25"/>
      <c r="H9" s="25"/>
      <c r="I9" s="25"/>
      <c r="J9" s="25"/>
    </row>
    <row r="10" spans="1:10" ht="106.5" customHeight="1" x14ac:dyDescent="0.45">
      <c r="A10" s="3" t="s">
        <v>119</v>
      </c>
      <c r="B10" s="4" t="s">
        <v>120</v>
      </c>
      <c r="C10" s="5">
        <f>COUNTIFS(Loan_Portfolio!C2:C51,"North",Loan_Portfolio!E2:E51,"Self-Emp",Loan_Portfolio!D2:D51,"Business Loan")+COUNTIFS(Loan_Portfolio!C2:C51,"West",Loan_Portfolio!E2:E51,"Self-Emp",Loan_Portfolio!D2:D51,"Business Loan")</f>
        <v>4</v>
      </c>
      <c r="D10" s="14" t="str">
        <f ca="1">_xlfn.FORMULATEXT(C10)</f>
        <v>=COUNTIFS(Loan_Portfolio!C2:C51,"North",Loan_Portfolio!E2:E51,"Self-Emp",Loan_Portfolio!D2:D51,"Business Loan")+COUNTIFS(Loan_Portfolio!C2:C51,"West",Loan_Portfolio!E2:E51,"Self-Emp",Loan_Portfolio!D2:D51,"Business Loan")</v>
      </c>
    </row>
    <row r="11" spans="1:10" ht="49" customHeight="1" x14ac:dyDescent="0.45">
      <c r="A11" s="3" t="s">
        <v>121</v>
      </c>
      <c r="B11" s="4" t="s">
        <v>122</v>
      </c>
      <c r="C11" s="5">
        <f>SUMIFS(Loan_Portfolio!J2:J51, Loan_Portfolio!D2:D51, "Home Loan", Loan_Portfolio!E2:E51, "Salaried", Loan_Portfolio!L2:L51, "&gt;750")</f>
        <v>74210000</v>
      </c>
      <c r="D11" s="14" t="str">
        <f t="shared" ca="1" si="0"/>
        <v>=SUMIFS(Loan_Portfolio!J2:J51, Loan_Portfolio!D2:D51, "Home Loan", Loan_Portfolio!E2:E51, "Salaried", Loan_Portfolio!L2:L51, "&gt;750")</v>
      </c>
    </row>
    <row r="12" spans="1:10" ht="37" customHeight="1" x14ac:dyDescent="0.45">
      <c r="A12" s="3" t="s">
        <v>123</v>
      </c>
      <c r="B12" s="4" t="s">
        <v>124</v>
      </c>
      <c r="C12" s="5">
        <f>AVERAGEIFS(Loan_Portfolio!I2:I51, Loan_Portfolio!C2:C51, "West", Loan_Portfolio!D2:D51, "Auto Loan")</f>
        <v>23565.666666666668</v>
      </c>
      <c r="D12" s="14" t="str">
        <f t="shared" ca="1" si="0"/>
        <v>=AVERAGEIFS(Loan_Portfolio!I2:I51, Loan_Portfolio!C2:C51, "West", Loan_Portfolio!D2:D51, "Auto Loan")</v>
      </c>
    </row>
    <row r="13" spans="1:10" ht="50.5" customHeight="1" x14ac:dyDescent="0.45">
      <c r="A13" s="19" t="s">
        <v>125</v>
      </c>
      <c r="B13" s="4" t="s">
        <v>126</v>
      </c>
      <c r="C13" s="5">
        <f>COUNTIFS(Loan_Portfolio!J2:J51, "&gt;5000000", Loan_Portfolio!K2:K51, "0")</f>
        <v>10</v>
      </c>
      <c r="D13" s="14" t="str">
        <f t="shared" ca="1" si="0"/>
        <v>=COUNTIFS(Loan_Portfolio!J2:J51, "&gt;5000000", Loan_Portfolio!K2:K51, "0")</v>
      </c>
    </row>
    <row r="14" spans="1:10" ht="48.5" customHeight="1" x14ac:dyDescent="0.45">
      <c r="A14" s="19" t="s">
        <v>127</v>
      </c>
      <c r="B14" s="4" t="s">
        <v>128</v>
      </c>
      <c r="C14" s="5">
        <f>COUNTIFS(Loan_Portfolio!J3:J52, "&gt;5000000", Loan_Portfolio!K3:K52, "0")</f>
        <v>9</v>
      </c>
      <c r="D14" s="14" t="str">
        <f t="shared" ca="1" si="0"/>
        <v>=COUNTIFS(Loan_Portfolio!J3:J52, "&gt;5000000", Loan_Portfolio!K3:K52, "0")</v>
      </c>
    </row>
    <row r="15" spans="1:10" x14ac:dyDescent="0.35">
      <c r="A15" s="27" t="s">
        <v>129</v>
      </c>
      <c r="B15" s="25"/>
      <c r="C15" s="25"/>
      <c r="D15" s="25"/>
      <c r="E15" s="25"/>
      <c r="F15" s="25"/>
      <c r="G15" s="25"/>
      <c r="H15" s="25"/>
      <c r="I15" s="25"/>
      <c r="J15" s="25"/>
    </row>
    <row r="16" spans="1:10" ht="38.5" customHeight="1" x14ac:dyDescent="0.45">
      <c r="A16" s="3" t="s">
        <v>130</v>
      </c>
      <c r="B16" s="4" t="s">
        <v>193</v>
      </c>
      <c r="C16" s="29" t="s">
        <v>197</v>
      </c>
      <c r="D16" s="14" t="e">
        <f t="shared" ca="1" si="0"/>
        <v>#N/A</v>
      </c>
    </row>
    <row r="17" spans="1:10" ht="60" customHeight="1" x14ac:dyDescent="0.45">
      <c r="A17" s="3" t="s">
        <v>131</v>
      </c>
      <c r="B17" s="4" t="s">
        <v>132</v>
      </c>
      <c r="C17" s="29" t="s">
        <v>198</v>
      </c>
      <c r="D17" s="14" t="e">
        <f t="shared" ca="1" si="0"/>
        <v>#N/A</v>
      </c>
    </row>
    <row r="18" spans="1:10" ht="87.5" customHeight="1" x14ac:dyDescent="0.45">
      <c r="A18" s="19" t="s">
        <v>133</v>
      </c>
      <c r="B18" s="4" t="s">
        <v>134</v>
      </c>
      <c r="C18" s="29" t="s">
        <v>199</v>
      </c>
      <c r="D18" s="14" t="e">
        <f t="shared" ca="1" si="0"/>
        <v>#N/A</v>
      </c>
    </row>
    <row r="19" spans="1:10" x14ac:dyDescent="0.35">
      <c r="A19" s="27" t="s">
        <v>135</v>
      </c>
      <c r="B19" s="25"/>
      <c r="C19" s="25"/>
      <c r="D19" s="25"/>
      <c r="E19" s="25"/>
      <c r="F19" s="25"/>
      <c r="G19" s="25"/>
      <c r="H19" s="25"/>
      <c r="I19" s="25"/>
      <c r="J19" s="25"/>
    </row>
    <row r="20" spans="1:10" ht="63.5" customHeight="1" x14ac:dyDescent="0.45">
      <c r="A20" s="19" t="s">
        <v>136</v>
      </c>
      <c r="B20" s="4" t="s">
        <v>137</v>
      </c>
      <c r="C20" s="5">
        <f>COUNTIFS(Loan_Portfolio!E2:E51, "Salaried", Loan_Portfolio!D2:D51, "Home Loan", Loan_Portfolio!L2:L51, "&gt;750")</f>
        <v>13</v>
      </c>
      <c r="D20" s="14" t="str">
        <f t="shared" ca="1" si="0"/>
        <v>=COUNTIFS(Loan_Portfolio!E2:E51, "Salaried", Loan_Portfolio!D2:D51, "Home Loan", Loan_Portfolio!L2:L51, "&gt;750")</v>
      </c>
    </row>
    <row r="21" spans="1:10" ht="50" x14ac:dyDescent="0.45">
      <c r="A21" s="3" t="s">
        <v>138</v>
      </c>
      <c r="B21" s="4" t="s">
        <v>139</v>
      </c>
      <c r="C21" s="29" t="s">
        <v>203</v>
      </c>
      <c r="D21" s="14" t="e">
        <f t="shared" ca="1" si="0"/>
        <v>#N/A</v>
      </c>
    </row>
    <row r="22" spans="1:10" ht="50" x14ac:dyDescent="0.45">
      <c r="A22" s="3" t="s">
        <v>140</v>
      </c>
      <c r="B22" s="4" t="s">
        <v>141</v>
      </c>
      <c r="C22" s="29" t="s">
        <v>205</v>
      </c>
      <c r="D22" s="14" t="e">
        <f t="shared" ca="1" si="0"/>
        <v>#N/A</v>
      </c>
    </row>
    <row r="23" spans="1:10" x14ac:dyDescent="0.35">
      <c r="A23" s="27" t="s">
        <v>142</v>
      </c>
      <c r="B23" s="25"/>
      <c r="C23" s="25"/>
      <c r="D23" s="25"/>
      <c r="E23" s="25"/>
      <c r="F23" s="25"/>
      <c r="G23" s="25"/>
      <c r="H23" s="25"/>
      <c r="I23" s="25"/>
      <c r="J23" s="25"/>
    </row>
    <row r="24" spans="1:10" ht="50" x14ac:dyDescent="0.45">
      <c r="A24" s="3" t="s">
        <v>143</v>
      </c>
      <c r="B24" s="4" t="s">
        <v>144</v>
      </c>
      <c r="C24" s="5" t="s">
        <v>202</v>
      </c>
      <c r="D24" s="14" t="e">
        <f t="shared" ca="1" si="0"/>
        <v>#N/A</v>
      </c>
    </row>
    <row r="25" spans="1:10" x14ac:dyDescent="0.35">
      <c r="A25" s="27" t="s">
        <v>145</v>
      </c>
      <c r="B25" s="25"/>
      <c r="C25" s="25"/>
      <c r="D25" s="25"/>
      <c r="E25" s="25"/>
      <c r="F25" s="25"/>
      <c r="G25" s="25"/>
      <c r="H25" s="25"/>
      <c r="I25" s="25"/>
      <c r="J25" s="25"/>
    </row>
    <row r="26" spans="1:10" ht="37.5" x14ac:dyDescent="0.45">
      <c r="A26" s="3" t="s">
        <v>146</v>
      </c>
      <c r="B26" s="4" t="s">
        <v>147</v>
      </c>
      <c r="C26" s="18">
        <f>(SUMIFS(Loan_Portfolio!J2:J51,Loan_Portfolio!P2:P51,"Flagged")/SUM(Loan_Portfolio!J2:J51))</f>
        <v>3.0601813241505474E-2</v>
      </c>
      <c r="D26" s="14" t="str">
        <f t="shared" ca="1" si="0"/>
        <v>=(SUMIFS(Loan_Portfolio!J2:J51,Loan_Portfolio!P2:P51,"Flagged")/SUM(Loan_Portfolio!J2:J51))</v>
      </c>
    </row>
    <row r="27" spans="1:10" ht="37.5" x14ac:dyDescent="0.45">
      <c r="A27" s="3" t="s">
        <v>148</v>
      </c>
      <c r="B27" s="4" t="s">
        <v>149</v>
      </c>
      <c r="C27" s="5"/>
      <c r="D27" s="14" t="e">
        <f t="shared" ca="1" si="0"/>
        <v>#N/A</v>
      </c>
    </row>
    <row r="29" spans="1:10" x14ac:dyDescent="0.35">
      <c r="A29" s="26" t="s">
        <v>192</v>
      </c>
      <c r="B29" s="25"/>
      <c r="C29" s="25"/>
      <c r="D29" s="25"/>
      <c r="E29" s="25"/>
      <c r="F29" s="25"/>
      <c r="G29" s="25"/>
      <c r="H29" s="25"/>
      <c r="I29" s="25"/>
      <c r="J29" s="25"/>
    </row>
    <row r="30" spans="1:10" x14ac:dyDescent="0.35">
      <c r="A30" s="6" t="s">
        <v>1</v>
      </c>
      <c r="B30" s="6" t="s">
        <v>150</v>
      </c>
      <c r="C30" s="6" t="s">
        <v>151</v>
      </c>
      <c r="D30" s="6" t="s">
        <v>152</v>
      </c>
      <c r="E30" s="6" t="s">
        <v>153</v>
      </c>
    </row>
    <row r="31" spans="1:10" x14ac:dyDescent="0.35">
      <c r="A31" s="7" t="s">
        <v>16</v>
      </c>
      <c r="B31" s="8">
        <f>SUMIF(Loan_Portfolio!B2:B51, "Mumbai Central", Loan_Portfolio!J2:J51)</f>
        <v>32630000</v>
      </c>
      <c r="C31" s="9">
        <f>COUNTIF(Loan_Portfolio!B2:B51, "Mumbai Central")</f>
        <v>9</v>
      </c>
      <c r="D31" s="17">
        <f>AVERAGEIF(Loan_Portfolio!B2:B51, "Mumbai Central", Loan_Portfolio!L2:L51)</f>
        <v>734.22222222222217</v>
      </c>
      <c r="E31" s="8">
        <f>SUMIFS(Loan_Portfolio!J2:J51, Loan_Portfolio!P2:P51, "Flagged", Loan_Portfolio!B2:B51, "Mumbai Central")</f>
        <v>0</v>
      </c>
    </row>
    <row r="32" spans="1:10" x14ac:dyDescent="0.35">
      <c r="A32" s="7" t="s">
        <v>24</v>
      </c>
      <c r="B32" s="8">
        <f>SUMIF(Loan_Portfolio!B2:B51, "Chennai South", Loan_Portfolio!J2:J51)</f>
        <v>17110000</v>
      </c>
      <c r="C32" s="9">
        <f>COUNTIF(Loan_Portfolio!B2:B51, "Chennai South")</f>
        <v>8</v>
      </c>
      <c r="D32" s="17">
        <f>AVERAGEIF(Loan_Portfolio!B2:B51, "Chennai South", Loan_Portfolio!L2:L51)</f>
        <v>721.25</v>
      </c>
      <c r="E32" s="8">
        <f>SUMIFS(Loan_Portfolio!J2:J51, Loan_Portfolio!P2:P51, "Flagged", Loan_Portfolio!B2:B51, "Chennai South")</f>
        <v>870000</v>
      </c>
    </row>
    <row r="33" spans="1:5" x14ac:dyDescent="0.35">
      <c r="A33" s="7" t="s">
        <v>31</v>
      </c>
      <c r="B33" s="8">
        <f>SUMIF(Loan_Portfolio!B2:B51, "Delhi North", Loan_Portfolio!J2:J51)</f>
        <v>30040000</v>
      </c>
      <c r="C33" s="9">
        <f>COUNTIF(Loan_Portfolio!B2:B51, "Delhi North")</f>
        <v>9</v>
      </c>
      <c r="D33" s="17">
        <f>AVERAGEIF(Loan_Portfolio!B2:B51, "Delhi North", Loan_Portfolio!L2:L51)</f>
        <v>720.22222222222217</v>
      </c>
      <c r="E33" s="8">
        <f>SUMIFS(Loan_Portfolio!J2:J51, Loan_Portfolio!P2:P51, "Flagged", Loan_Portfolio!B2:B51, "Delhi North")</f>
        <v>0</v>
      </c>
    </row>
    <row r="34" spans="1:5" x14ac:dyDescent="0.35">
      <c r="A34" s="7" t="s">
        <v>39</v>
      </c>
      <c r="B34" s="8">
        <f>SUMIF(Loan_Portfolio!B2:B51, "Kolkata East", Loan_Portfolio!J2:J51)</f>
        <v>17770000</v>
      </c>
      <c r="C34" s="9">
        <f>COUNTIF(Loan_Portfolio!B2:B51, "Kolkata East")</f>
        <v>8</v>
      </c>
      <c r="D34" s="17">
        <f>AVERAGEIF(Loan_Portfolio!B2:B51, "Kolkata East", Loan_Portfolio!L2:L51)</f>
        <v>703.75</v>
      </c>
      <c r="E34" s="8">
        <f>SUMIFS(Loan_Portfolio!J2:J51, Loan_Portfolio!P2:P51, "Flagged", Loan_Portfolio!B2:B51, "Kolkata East")</f>
        <v>2700000</v>
      </c>
    </row>
    <row r="35" spans="1:5" x14ac:dyDescent="0.35">
      <c r="A35" s="7" t="s">
        <v>47</v>
      </c>
      <c r="B35" s="8">
        <f>SUMIF(Loan_Portfolio!B2:B51, "Hyderabad", Loan_Portfolio!J2:J51)</f>
        <v>18954000</v>
      </c>
      <c r="C35" s="9">
        <f>COUNTIF(Loan_Portfolio!B2:B51, "Hyderabad")</f>
        <v>8</v>
      </c>
      <c r="D35" s="17">
        <f>AVERAGEIF(Loan_Portfolio!B2:B51, "Hyderabad", Loan_Portfolio!L2:L51)</f>
        <v>725.75</v>
      </c>
      <c r="E35" s="8">
        <f>SUMIFS(Loan_Portfolio!J2:J51, Loan_Portfolio!P2:P51, "Flagged", Loan_Portfolio!B2:B51, "Hyderabad")</f>
        <v>0</v>
      </c>
    </row>
    <row r="37" spans="1:5" x14ac:dyDescent="0.35">
      <c r="B37" s="16" t="str">
        <f ca="1">_xlfn.FORMULATEXT(B35)</f>
        <v>=SUMIF(Loan_Portfolio!B2:B51, "Hyderabad", Loan_Portfolio!J2:J51)</v>
      </c>
      <c r="C37" s="16" t="str">
        <f t="shared" ref="C37:E37" ca="1" si="1">_xlfn.FORMULATEXT(C35)</f>
        <v>=COUNTIF(Loan_Portfolio!B2:B51, "Hyderabad")</v>
      </c>
      <c r="D37" s="16" t="str">
        <f t="shared" ca="1" si="1"/>
        <v>=AVERAGEIF(Loan_Portfolio!B2:B51, "Hyderabad", Loan_Portfolio!L2:L51)</v>
      </c>
      <c r="E37" s="16" t="str">
        <f t="shared" ca="1" si="1"/>
        <v>=SUMIFS(Loan_Portfolio!J2:J51, Loan_Portfolio!P2:P51, "Flagged", Loan_Portfolio!B2:B51, "Hyderabad")</v>
      </c>
    </row>
    <row r="38" spans="1:5" x14ac:dyDescent="0.35">
      <c r="C38" s="16"/>
      <c r="E38" s="16"/>
    </row>
  </sheetData>
  <mergeCells count="8">
    <mergeCell ref="A1:J1"/>
    <mergeCell ref="A29:J29"/>
    <mergeCell ref="A25:J25"/>
    <mergeCell ref="A3:J3"/>
    <mergeCell ref="A19:J19"/>
    <mergeCell ref="A23:J23"/>
    <mergeCell ref="A15:J15"/>
    <mergeCell ref="A9:J9"/>
  </mergeCells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7"/>
  <sheetViews>
    <sheetView workbookViewId="0">
      <selection activeCell="D11" sqref="D11"/>
    </sheetView>
  </sheetViews>
  <sheetFormatPr defaultRowHeight="14.5" x14ac:dyDescent="0.35"/>
  <cols>
    <col min="1" max="1" width="22" customWidth="1"/>
    <col min="2" max="2" width="12" customWidth="1"/>
    <col min="3" max="3" width="45" customWidth="1"/>
    <col min="4" max="4" width="55" customWidth="1"/>
  </cols>
  <sheetData>
    <row r="1" spans="1:4" ht="28" customHeight="1" x14ac:dyDescent="0.35">
      <c r="A1" s="24" t="s">
        <v>154</v>
      </c>
      <c r="B1" s="25"/>
      <c r="C1" s="25"/>
      <c r="D1" s="25"/>
    </row>
    <row r="2" spans="1:4" x14ac:dyDescent="0.35">
      <c r="A2" s="2" t="s">
        <v>155</v>
      </c>
      <c r="B2" s="2" t="s">
        <v>156</v>
      </c>
      <c r="C2" s="2" t="s">
        <v>157</v>
      </c>
      <c r="D2" s="2" t="s">
        <v>158</v>
      </c>
    </row>
    <row r="3" spans="1:4" ht="22" customHeight="1" x14ac:dyDescent="0.35">
      <c r="A3" s="10" t="s">
        <v>0</v>
      </c>
      <c r="B3" s="10" t="s">
        <v>159</v>
      </c>
      <c r="C3" s="10" t="s">
        <v>160</v>
      </c>
      <c r="D3" s="10" t="s">
        <v>161</v>
      </c>
    </row>
    <row r="4" spans="1:4" ht="22" customHeight="1" x14ac:dyDescent="0.35">
      <c r="A4" s="11" t="s">
        <v>1</v>
      </c>
      <c r="B4" s="11" t="s">
        <v>159</v>
      </c>
      <c r="C4" s="11" t="s">
        <v>162</v>
      </c>
      <c r="D4" s="11" t="s">
        <v>163</v>
      </c>
    </row>
    <row r="5" spans="1:4" ht="22" customHeight="1" x14ac:dyDescent="0.35">
      <c r="A5" s="10" t="s">
        <v>2</v>
      </c>
      <c r="B5" s="10" t="s">
        <v>159</v>
      </c>
      <c r="C5" s="10" t="s">
        <v>164</v>
      </c>
      <c r="D5" s="10" t="s">
        <v>165</v>
      </c>
    </row>
    <row r="6" spans="1:4" ht="22" customHeight="1" x14ac:dyDescent="0.35">
      <c r="A6" s="11" t="s">
        <v>3</v>
      </c>
      <c r="B6" s="11" t="s">
        <v>159</v>
      </c>
      <c r="C6" s="11" t="s">
        <v>166</v>
      </c>
      <c r="D6" s="11" t="s">
        <v>167</v>
      </c>
    </row>
    <row r="7" spans="1:4" ht="22" customHeight="1" x14ac:dyDescent="0.35">
      <c r="A7" s="10" t="s">
        <v>4</v>
      </c>
      <c r="B7" s="10" t="s">
        <v>159</v>
      </c>
      <c r="C7" s="10" t="s">
        <v>168</v>
      </c>
      <c r="D7" s="10" t="s">
        <v>169</v>
      </c>
    </row>
    <row r="8" spans="1:4" ht="22" customHeight="1" x14ac:dyDescent="0.35">
      <c r="A8" s="11" t="s">
        <v>5</v>
      </c>
      <c r="B8" s="11" t="s">
        <v>170</v>
      </c>
      <c r="C8" s="11" t="s">
        <v>171</v>
      </c>
      <c r="D8" s="11" t="s">
        <v>172</v>
      </c>
    </row>
    <row r="9" spans="1:4" ht="22" customHeight="1" x14ac:dyDescent="0.35">
      <c r="A9" s="10" t="s">
        <v>6</v>
      </c>
      <c r="B9" s="10" t="s">
        <v>170</v>
      </c>
      <c r="C9" s="10" t="s">
        <v>173</v>
      </c>
      <c r="D9" s="10" t="s">
        <v>174</v>
      </c>
    </row>
    <row r="10" spans="1:4" ht="22" customHeight="1" x14ac:dyDescent="0.35">
      <c r="A10" s="11" t="s">
        <v>7</v>
      </c>
      <c r="B10" s="11" t="s">
        <v>170</v>
      </c>
      <c r="C10" s="11" t="s">
        <v>175</v>
      </c>
      <c r="D10" s="11" t="s">
        <v>176</v>
      </c>
    </row>
    <row r="11" spans="1:4" ht="22" customHeight="1" x14ac:dyDescent="0.35">
      <c r="A11" s="10" t="s">
        <v>8</v>
      </c>
      <c r="B11" s="10" t="s">
        <v>170</v>
      </c>
      <c r="C11" s="10" t="s">
        <v>177</v>
      </c>
      <c r="D11" s="10" t="s">
        <v>178</v>
      </c>
    </row>
    <row r="12" spans="1:4" ht="22" customHeight="1" x14ac:dyDescent="0.35">
      <c r="A12" s="11" t="s">
        <v>9</v>
      </c>
      <c r="B12" s="11" t="s">
        <v>170</v>
      </c>
      <c r="C12" s="11" t="s">
        <v>179</v>
      </c>
      <c r="D12" s="11" t="s">
        <v>180</v>
      </c>
    </row>
    <row r="13" spans="1:4" ht="22" customHeight="1" x14ac:dyDescent="0.35">
      <c r="A13" s="10" t="s">
        <v>10</v>
      </c>
      <c r="B13" s="10" t="s">
        <v>170</v>
      </c>
      <c r="C13" s="10" t="s">
        <v>181</v>
      </c>
      <c r="D13" s="10" t="s">
        <v>182</v>
      </c>
    </row>
    <row r="14" spans="1:4" ht="22" customHeight="1" x14ac:dyDescent="0.35">
      <c r="A14" s="11" t="s">
        <v>11</v>
      </c>
      <c r="B14" s="11" t="s">
        <v>170</v>
      </c>
      <c r="C14" s="11" t="s">
        <v>183</v>
      </c>
      <c r="D14" s="11" t="s">
        <v>184</v>
      </c>
    </row>
    <row r="15" spans="1:4" ht="22" customHeight="1" x14ac:dyDescent="0.35">
      <c r="A15" s="10" t="s">
        <v>12</v>
      </c>
      <c r="B15" s="10" t="s">
        <v>159</v>
      </c>
      <c r="C15" s="10" t="s">
        <v>185</v>
      </c>
      <c r="D15" s="10" t="s">
        <v>186</v>
      </c>
    </row>
    <row r="16" spans="1:4" ht="22" customHeight="1" x14ac:dyDescent="0.35">
      <c r="A16" s="11" t="s">
        <v>13</v>
      </c>
      <c r="B16" s="11" t="s">
        <v>159</v>
      </c>
      <c r="C16" s="11" t="s">
        <v>187</v>
      </c>
      <c r="D16" s="11" t="s">
        <v>188</v>
      </c>
    </row>
    <row r="17" spans="1:4" ht="22" customHeight="1" x14ac:dyDescent="0.35">
      <c r="A17" s="10" t="s">
        <v>14</v>
      </c>
      <c r="B17" s="10" t="s">
        <v>159</v>
      </c>
      <c r="C17" s="10" t="s">
        <v>189</v>
      </c>
      <c r="D17" s="10" t="s">
        <v>190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Loan_Portfolio</vt:lpstr>
      <vt:lpstr>Analysis_Workspace</vt:lpstr>
      <vt:lpstr>Data_Dictionary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Naman Jain</cp:lastModifiedBy>
  <dcterms:created xsi:type="dcterms:W3CDTF">2026-05-07T03:58:45Z</dcterms:created>
  <dcterms:modified xsi:type="dcterms:W3CDTF">2026-05-20T18:00:35Z</dcterms:modified>
</cp:coreProperties>
</file>