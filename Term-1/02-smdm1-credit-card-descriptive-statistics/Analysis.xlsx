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NeT\OneDrive\Desktop\"/>
    </mc:Choice>
  </mc:AlternateContent>
  <xr:revisionPtr revIDLastSave="0" documentId="13_ncr:1_{2BA78FCF-4095-425A-852B-16BE48FB92A6}" xr6:coauthVersionLast="47" xr6:coauthVersionMax="47" xr10:uidLastSave="{00000000-0000-0000-0000-000000000000}"/>
  <bookViews>
    <workbookView xWindow="-110" yWindow="-110" windowWidth="25820" windowHeight="15500" activeTab="1" xr2:uid="{26A441F6-D0AB-47D9-BE57-D59D7347ABDC}"/>
  </bookViews>
  <sheets>
    <sheet name="credit_Assn1_SMDM" sheetId="1" r:id="rId1"/>
    <sheet name="Q2 and Q3" sheetId="3" r:id="rId2"/>
    <sheet name="Q7" sheetId="6" r:id="rId3"/>
  </sheets>
  <definedNames>
    <definedName name="_xlchart.v1.0" hidden="1">credit_Assn1_SMDM!$L$2:$L$401</definedName>
  </definedName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2" i="1"/>
  <c r="P12" i="1"/>
  <c r="P3" i="1"/>
  <c r="P7" i="1"/>
  <c r="P9" i="1"/>
  <c r="P5" i="1"/>
  <c r="L403" i="1" l="1"/>
  <c r="K403" i="1"/>
  <c r="F403" i="1"/>
  <c r="E403" i="1"/>
  <c r="D403" i="1"/>
  <c r="C403" i="1"/>
  <c r="B40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2" i="1"/>
  <c r="M403" i="1" l="1"/>
</calcChain>
</file>

<file path=xl/sharedStrings.xml><?xml version="1.0" encoding="utf-8"?>
<sst xmlns="http://schemas.openxmlformats.org/spreadsheetml/2006/main" count="1726" uniqueCount="39">
  <si>
    <t>Income</t>
  </si>
  <si>
    <t>Limit</t>
  </si>
  <si>
    <t>Rating</t>
  </si>
  <si>
    <t>Cards</t>
  </si>
  <si>
    <t>Age</t>
  </si>
  <si>
    <t>Education</t>
  </si>
  <si>
    <t>Own</t>
  </si>
  <si>
    <t>Student</t>
  </si>
  <si>
    <t>Married</t>
  </si>
  <si>
    <t>Region</t>
  </si>
  <si>
    <t>Balance_avg</t>
  </si>
  <si>
    <t>Balance_total</t>
  </si>
  <si>
    <t>No</t>
  </si>
  <si>
    <t>Yes</t>
  </si>
  <si>
    <t>South</t>
  </si>
  <si>
    <t>West</t>
  </si>
  <si>
    <t>East</t>
  </si>
  <si>
    <t>INCOME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</si>
  <si>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</si>
  <si>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</si>
  <si>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</si>
  <si>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</si>
  <si>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</si>
  <si>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</si>
  <si>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</si>
  <si>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</si>
  <si>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</si>
  <si>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</si>
  <si>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</si>
  <si>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</si>
  <si>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</si>
  <si>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Balance Total</t>
  </si>
  <si>
    <t>Row Labels</t>
  </si>
  <si>
    <t>Grand Total</t>
  </si>
  <si>
    <t>Count of Married</t>
  </si>
  <si>
    <t>Count of Student</t>
  </si>
  <si>
    <t>Count of Own House</t>
  </si>
  <si>
    <t>Credit Card Number</t>
  </si>
  <si>
    <t>Count of Credit Card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</si>
</sst>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1F2"/>
        <bgColor rgb="FFD9E1F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19" fillId="33" borderId="11" xfId="0" applyFont="1" applyFill="1" applyBorder="1"/>
    <xf numFmtId="0" fontId="18" fillId="0" borderId="0" xfId="0" applyFont="1" applyAlignment="1">
      <alignment horizontal="left"/>
    </xf>
    <xf numFmtId="0" fontId="19" fillId="33" borderId="12" xfId="0" applyFont="1" applyFill="1" applyBorder="1" applyAlignment="1">
      <alignment horizontal="left"/>
    </xf>
    <xf numFmtId="0" fontId="19" fillId="33" borderId="12" xfId="0" applyFont="1" applyFill="1" applyBorder="1"/>
    <xf numFmtId="0" fontId="19" fillId="33" borderId="11" xfId="0" applyFont="1" applyFill="1" applyBorder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[FT272022_SMDM-1.xlsx]Q7!PivotTable19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'Q7'!$A$4:$A$7</c:f>
              <c:strCache>
                <c:ptCount val="3"/>
                <c:pt idx="0">
                  <c:v>East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'Q7'!$B$4:$B$7</c:f>
              <c:numCache>
                <c:formatCode>General</c:formatCode>
                <c:ptCount val="3"/>
                <c:pt idx="0">
                  <c:v>99</c:v>
                </c:pt>
                <c:pt idx="1">
                  <c:v>199</c:v>
                </c:pt>
                <c:pt idx="2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6-45F3-A63B-67D4B1535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1832143"/>
        <c:axId val="1571835503"/>
      </c:barChart>
      <c:catAx>
        <c:axId val="157183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835503"/>
        <c:crosses val="autoZero"/>
        <c:auto val="1"/>
        <c:lblAlgn val="ctr"/>
        <c:lblOffset val="100"/>
        <c:noMultiLvlLbl val="0"/>
      </c:catAx>
      <c:valAx>
        <c:axId val="157183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83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BoxPlot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" panose="02110004020202020204"/>
            </a:rPr>
            <a:t>BoxPlot</a:t>
          </a:r>
        </a:p>
      </cx:txPr>
    </cx:title>
    <cx:plotArea>
      <cx:plotAreaRegion>
        <cx:series layoutId="boxWhisker" uniqueId="{00000000-1958-4291-AAF7-7FEC7ECABEA7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/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Balance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" panose="02110004020202020204"/>
                </a:rPr>
                <a:t>Balance</a:t>
              </a:r>
            </a:p>
          </cx:txPr>
        </cx:title>
        <cx:majorGridlines/>
        <cx:tickLabels/>
      </cx:axis>
    </cx:plotArea>
  </cx:chart>
  <cx:spPr>
    <a:effectLst>
      <a:softEdge rad="0"/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51</xdr:row>
      <xdr:rowOff>0</xdr:rowOff>
    </xdr:from>
    <xdr:to>
      <xdr:col>6</xdr:col>
      <xdr:colOff>206375</xdr:colOff>
      <xdr:row>72</xdr:row>
      <xdr:rowOff>100013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F523437-2BF1-B0AE-7E4A-0753623D75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9779000"/>
              <a:ext cx="4568825" cy="39671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409575</xdr:colOff>
      <xdr:row>10</xdr:row>
      <xdr:rowOff>76200</xdr:rowOff>
    </xdr:from>
    <xdr:to>
      <xdr:col>14</xdr:col>
      <xdr:colOff>104775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CACA92-8AC3-05CC-A51A-134E1AA57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man Jain" refreshedDate="46171.818408564817" createdVersion="8" refreshedVersion="8" minRefreshableVersion="3" recordCount="400" xr:uid="{BC4784F2-4CC6-4348-A06F-C7368C96DED8}">
  <cacheSource type="worksheet">
    <worksheetSource ref="A1:N401" sheet="credit_Assn1_SMDM"/>
  </cacheSource>
  <cacheFields count="14">
    <cacheField name="Income" numFmtId="0">
      <sharedItems containsSemiMixedTypes="0" containsString="0" containsNumber="1" minValue="10.353999999999999" maxValue="186.63399999999999"/>
    </cacheField>
    <cacheField name="Limit" numFmtId="0">
      <sharedItems containsSemiMixedTypes="0" containsString="0" containsNumber="1" containsInteger="1" minValue="855" maxValue="13913"/>
    </cacheField>
    <cacheField name="Rating" numFmtId="0">
      <sharedItems containsSemiMixedTypes="0" containsString="0" containsNumber="1" containsInteger="1" minValue="93" maxValue="982"/>
    </cacheField>
    <cacheField name="Cards" numFmtId="0">
      <sharedItems containsSemiMixedTypes="0" containsString="0" containsNumber="1" containsInteger="1" minValue="1" maxValue="9"/>
    </cacheField>
    <cacheField name="Age" numFmtId="0">
      <sharedItems containsSemiMixedTypes="0" containsString="0" containsNumber="1" containsInteger="1" minValue="23" maxValue="98"/>
    </cacheField>
    <cacheField name="Education" numFmtId="0">
      <sharedItems containsSemiMixedTypes="0" containsString="0" containsNumber="1" containsInteger="1" minValue="5" maxValue="20"/>
    </cacheField>
    <cacheField name="Own" numFmtId="0">
      <sharedItems/>
    </cacheField>
    <cacheField name="Student" numFmtId="0">
      <sharedItems/>
    </cacheField>
    <cacheField name="Married" numFmtId="0">
      <sharedItems/>
    </cacheField>
    <cacheField name="Region" numFmtId="0">
      <sharedItems count="3">
        <s v="South"/>
        <s v="West"/>
        <s v="East"/>
      </sharedItems>
    </cacheField>
    <cacheField name="Balance_avg" numFmtId="0">
      <sharedItems containsSemiMixedTypes="0" containsString="0" containsNumber="1" containsInteger="1" minValue="0" maxValue="1999"/>
    </cacheField>
    <cacheField name="Balance_total" numFmtId="0">
      <sharedItems containsSemiMixedTypes="0" containsString="0" containsNumber="1" containsInteger="1" minValue="0" maxValue="11739"/>
    </cacheField>
    <cacheField name="INCOME2" numFmtId="0">
      <sharedItems containsSemiMixedTypes="0" containsString="0" containsNumber="1" minValue="10354" maxValue="186634"/>
    </cacheField>
    <cacheField name="Credit Card Number" numFmtId="0">
      <sharedItems count="2"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n v="14.891"/>
    <n v="3606"/>
    <n v="283"/>
    <n v="2"/>
    <n v="34"/>
    <n v="11"/>
    <s v="No"/>
    <s v="No"/>
    <s v="Yes"/>
    <x v="0"/>
    <n v="333"/>
    <n v="666"/>
    <n v="14891"/>
    <x v="0"/>
  </r>
  <r>
    <n v="106.02500000000001"/>
    <n v="6645"/>
    <n v="483"/>
    <n v="3"/>
    <n v="82"/>
    <n v="15"/>
    <s v="Yes"/>
    <s v="Yes"/>
    <s v="Yes"/>
    <x v="1"/>
    <n v="903"/>
    <n v="2709"/>
    <n v="106025"/>
    <x v="0"/>
  </r>
  <r>
    <n v="104.593"/>
    <n v="7075"/>
    <n v="514"/>
    <n v="4"/>
    <n v="71"/>
    <n v="11"/>
    <s v="No"/>
    <s v="No"/>
    <s v="No"/>
    <x v="1"/>
    <n v="580"/>
    <n v="2320"/>
    <n v="104593"/>
    <x v="1"/>
  </r>
  <r>
    <n v="148.92400000000001"/>
    <n v="9504"/>
    <n v="681"/>
    <n v="3"/>
    <n v="36"/>
    <n v="11"/>
    <s v="Yes"/>
    <s v="No"/>
    <s v="No"/>
    <x v="1"/>
    <n v="964"/>
    <n v="2892"/>
    <n v="148924"/>
    <x v="0"/>
  </r>
  <r>
    <n v="55.881999999999998"/>
    <n v="4897"/>
    <n v="357"/>
    <n v="2"/>
    <n v="68"/>
    <n v="16"/>
    <s v="No"/>
    <s v="No"/>
    <s v="Yes"/>
    <x v="0"/>
    <n v="331"/>
    <n v="662"/>
    <n v="55882"/>
    <x v="0"/>
  </r>
  <r>
    <n v="80.180000000000007"/>
    <n v="8047"/>
    <n v="569"/>
    <n v="4"/>
    <n v="77"/>
    <n v="10"/>
    <s v="No"/>
    <s v="No"/>
    <s v="No"/>
    <x v="0"/>
    <n v="1151"/>
    <n v="4604"/>
    <n v="80180"/>
    <x v="1"/>
  </r>
  <r>
    <n v="20.995999999999999"/>
    <n v="3388"/>
    <n v="259"/>
    <n v="2"/>
    <n v="37"/>
    <n v="12"/>
    <s v="Yes"/>
    <s v="No"/>
    <s v="No"/>
    <x v="2"/>
    <n v="203"/>
    <n v="406"/>
    <n v="20996"/>
    <x v="0"/>
  </r>
  <r>
    <n v="71.408000000000001"/>
    <n v="7114"/>
    <n v="512"/>
    <n v="2"/>
    <n v="87"/>
    <n v="9"/>
    <s v="No"/>
    <s v="No"/>
    <s v="No"/>
    <x v="1"/>
    <n v="872"/>
    <n v="1744"/>
    <n v="71408"/>
    <x v="0"/>
  </r>
  <r>
    <n v="15.125"/>
    <n v="3300"/>
    <n v="266"/>
    <n v="5"/>
    <n v="66"/>
    <n v="13"/>
    <s v="Yes"/>
    <s v="No"/>
    <s v="No"/>
    <x v="0"/>
    <n v="279"/>
    <n v="1395"/>
    <n v="15125"/>
    <x v="1"/>
  </r>
  <r>
    <n v="71.061000000000007"/>
    <n v="6819"/>
    <n v="491"/>
    <n v="3"/>
    <n v="41"/>
    <n v="19"/>
    <s v="Yes"/>
    <s v="Yes"/>
    <s v="Yes"/>
    <x v="2"/>
    <n v="1350"/>
    <n v="4050"/>
    <n v="71061"/>
    <x v="0"/>
  </r>
  <r>
    <n v="63.094999999999999"/>
    <n v="8117"/>
    <n v="589"/>
    <n v="4"/>
    <n v="30"/>
    <n v="14"/>
    <s v="No"/>
    <s v="No"/>
    <s v="Yes"/>
    <x v="0"/>
    <n v="1407"/>
    <n v="5628"/>
    <n v="63095"/>
    <x v="1"/>
  </r>
  <r>
    <n v="15.045"/>
    <n v="1311"/>
    <n v="138"/>
    <n v="3"/>
    <n v="64"/>
    <n v="16"/>
    <s v="No"/>
    <s v="No"/>
    <s v="No"/>
    <x v="0"/>
    <n v="0"/>
    <n v="0"/>
    <n v="15045"/>
    <x v="0"/>
  </r>
  <r>
    <n v="80.616"/>
    <n v="5308"/>
    <n v="394"/>
    <n v="1"/>
    <n v="57"/>
    <n v="7"/>
    <s v="Yes"/>
    <s v="No"/>
    <s v="Yes"/>
    <x v="1"/>
    <n v="204"/>
    <n v="204"/>
    <n v="80616"/>
    <x v="0"/>
  </r>
  <r>
    <n v="43.682000000000002"/>
    <n v="6922"/>
    <n v="511"/>
    <n v="1"/>
    <n v="49"/>
    <n v="9"/>
    <s v="No"/>
    <s v="No"/>
    <s v="Yes"/>
    <x v="0"/>
    <n v="1081"/>
    <n v="1081"/>
    <n v="43682"/>
    <x v="0"/>
  </r>
  <r>
    <n v="19.143999999999998"/>
    <n v="3291"/>
    <n v="269"/>
    <n v="2"/>
    <n v="75"/>
    <n v="13"/>
    <s v="Yes"/>
    <s v="No"/>
    <s v="No"/>
    <x v="2"/>
    <n v="148"/>
    <n v="296"/>
    <n v="19144"/>
    <x v="0"/>
  </r>
  <r>
    <n v="20.088999999999999"/>
    <n v="2525"/>
    <n v="200"/>
    <n v="3"/>
    <n v="57"/>
    <n v="15"/>
    <s v="Yes"/>
    <s v="No"/>
    <s v="Yes"/>
    <x v="2"/>
    <n v="0"/>
    <n v="0"/>
    <n v="20089"/>
    <x v="0"/>
  </r>
  <r>
    <n v="53.597999999999999"/>
    <n v="3714"/>
    <n v="286"/>
    <n v="3"/>
    <n v="73"/>
    <n v="17"/>
    <s v="Yes"/>
    <s v="No"/>
    <s v="Yes"/>
    <x v="2"/>
    <n v="0"/>
    <n v="0"/>
    <n v="53598"/>
    <x v="0"/>
  </r>
  <r>
    <n v="36.496000000000002"/>
    <n v="4378"/>
    <n v="339"/>
    <n v="3"/>
    <n v="69"/>
    <n v="15"/>
    <s v="Yes"/>
    <s v="No"/>
    <s v="Yes"/>
    <x v="1"/>
    <n v="368"/>
    <n v="1104"/>
    <n v="36496"/>
    <x v="0"/>
  </r>
  <r>
    <n v="49.57"/>
    <n v="6384"/>
    <n v="448"/>
    <n v="1"/>
    <n v="28"/>
    <n v="9"/>
    <s v="Yes"/>
    <s v="No"/>
    <s v="Yes"/>
    <x v="1"/>
    <n v="891"/>
    <n v="891"/>
    <n v="49570"/>
    <x v="0"/>
  </r>
  <r>
    <n v="42.079000000000001"/>
    <n v="6626"/>
    <n v="479"/>
    <n v="2"/>
    <n v="44"/>
    <n v="9"/>
    <s v="No"/>
    <s v="No"/>
    <s v="No"/>
    <x v="1"/>
    <n v="1048"/>
    <n v="2096"/>
    <n v="42079"/>
    <x v="0"/>
  </r>
  <r>
    <n v="17.7"/>
    <n v="2860"/>
    <n v="235"/>
    <n v="4"/>
    <n v="63"/>
    <n v="16"/>
    <s v="Yes"/>
    <s v="No"/>
    <s v="No"/>
    <x v="1"/>
    <n v="89"/>
    <n v="356"/>
    <n v="17700"/>
    <x v="1"/>
  </r>
  <r>
    <n v="37.347999999999999"/>
    <n v="6378"/>
    <n v="458"/>
    <n v="1"/>
    <n v="72"/>
    <n v="17"/>
    <s v="Yes"/>
    <s v="No"/>
    <s v="No"/>
    <x v="0"/>
    <n v="968"/>
    <n v="968"/>
    <n v="37348"/>
    <x v="0"/>
  </r>
  <r>
    <n v="20.103000000000002"/>
    <n v="2631"/>
    <n v="213"/>
    <n v="3"/>
    <n v="61"/>
    <n v="10"/>
    <s v="No"/>
    <s v="No"/>
    <s v="Yes"/>
    <x v="2"/>
    <n v="0"/>
    <n v="0"/>
    <n v="20103"/>
    <x v="0"/>
  </r>
  <r>
    <n v="64.027000000000001"/>
    <n v="5179"/>
    <n v="398"/>
    <n v="5"/>
    <n v="48"/>
    <n v="8"/>
    <s v="No"/>
    <s v="No"/>
    <s v="Yes"/>
    <x v="2"/>
    <n v="411"/>
    <n v="2055"/>
    <n v="64027"/>
    <x v="1"/>
  </r>
  <r>
    <n v="10.742000000000001"/>
    <n v="1757"/>
    <n v="156"/>
    <n v="3"/>
    <n v="57"/>
    <n v="15"/>
    <s v="Yes"/>
    <s v="No"/>
    <s v="No"/>
    <x v="0"/>
    <n v="0"/>
    <n v="0"/>
    <n v="10742"/>
    <x v="0"/>
  </r>
  <r>
    <n v="14.09"/>
    <n v="4323"/>
    <n v="326"/>
    <n v="5"/>
    <n v="25"/>
    <n v="16"/>
    <s v="Yes"/>
    <s v="No"/>
    <s v="Yes"/>
    <x v="2"/>
    <n v="671"/>
    <n v="3355"/>
    <n v="14090"/>
    <x v="1"/>
  </r>
  <r>
    <n v="42.470999999999997"/>
    <n v="3625"/>
    <n v="289"/>
    <n v="6"/>
    <n v="44"/>
    <n v="12"/>
    <s v="Yes"/>
    <s v="Yes"/>
    <s v="No"/>
    <x v="0"/>
    <n v="654"/>
    <n v="3924"/>
    <n v="42471"/>
    <x v="1"/>
  </r>
  <r>
    <n v="32.792999999999999"/>
    <n v="4534"/>
    <n v="333"/>
    <n v="2"/>
    <n v="44"/>
    <n v="16"/>
    <s v="No"/>
    <s v="No"/>
    <s v="No"/>
    <x v="2"/>
    <n v="467"/>
    <n v="934"/>
    <n v="32793"/>
    <x v="0"/>
  </r>
  <r>
    <n v="186.63399999999999"/>
    <n v="13414"/>
    <n v="949"/>
    <n v="2"/>
    <n v="41"/>
    <n v="14"/>
    <s v="Yes"/>
    <s v="No"/>
    <s v="Yes"/>
    <x v="2"/>
    <n v="1809"/>
    <n v="3618"/>
    <n v="186634"/>
    <x v="0"/>
  </r>
  <r>
    <n v="26.812999999999999"/>
    <n v="5611"/>
    <n v="411"/>
    <n v="4"/>
    <n v="55"/>
    <n v="16"/>
    <s v="Yes"/>
    <s v="No"/>
    <s v="No"/>
    <x v="0"/>
    <n v="915"/>
    <n v="3660"/>
    <n v="26813"/>
    <x v="1"/>
  </r>
  <r>
    <n v="34.142000000000003"/>
    <n v="5666"/>
    <n v="413"/>
    <n v="4"/>
    <n v="47"/>
    <n v="5"/>
    <s v="Yes"/>
    <s v="No"/>
    <s v="Yes"/>
    <x v="0"/>
    <n v="863"/>
    <n v="3452"/>
    <n v="34142"/>
    <x v="1"/>
  </r>
  <r>
    <n v="28.940999999999999"/>
    <n v="2733"/>
    <n v="210"/>
    <n v="5"/>
    <n v="43"/>
    <n v="16"/>
    <s v="No"/>
    <s v="No"/>
    <s v="Yes"/>
    <x v="1"/>
    <n v="0"/>
    <n v="0"/>
    <n v="28941"/>
    <x v="1"/>
  </r>
  <r>
    <n v="134.18100000000001"/>
    <n v="7838"/>
    <n v="563"/>
    <n v="2"/>
    <n v="48"/>
    <n v="13"/>
    <s v="Yes"/>
    <s v="No"/>
    <s v="No"/>
    <x v="0"/>
    <n v="526"/>
    <n v="1052"/>
    <n v="134181"/>
    <x v="0"/>
  </r>
  <r>
    <n v="31.367000000000001"/>
    <n v="1829"/>
    <n v="162"/>
    <n v="4"/>
    <n v="30"/>
    <n v="10"/>
    <s v="No"/>
    <s v="No"/>
    <s v="Yes"/>
    <x v="0"/>
    <n v="0"/>
    <n v="0"/>
    <n v="31367"/>
    <x v="1"/>
  </r>
  <r>
    <n v="20.149999999999999"/>
    <n v="2646"/>
    <n v="199"/>
    <n v="2"/>
    <n v="25"/>
    <n v="14"/>
    <s v="Yes"/>
    <s v="No"/>
    <s v="Yes"/>
    <x v="1"/>
    <n v="0"/>
    <n v="0"/>
    <n v="20150"/>
    <x v="0"/>
  </r>
  <r>
    <n v="23.35"/>
    <n v="2558"/>
    <n v="220"/>
    <n v="3"/>
    <n v="49"/>
    <n v="12"/>
    <s v="Yes"/>
    <s v="Yes"/>
    <s v="No"/>
    <x v="0"/>
    <n v="419"/>
    <n v="1257"/>
    <n v="23350"/>
    <x v="0"/>
  </r>
  <r>
    <n v="62.412999999999997"/>
    <n v="6457"/>
    <n v="455"/>
    <n v="2"/>
    <n v="71"/>
    <n v="11"/>
    <s v="Yes"/>
    <s v="No"/>
    <s v="Yes"/>
    <x v="0"/>
    <n v="762"/>
    <n v="1524"/>
    <n v="62413"/>
    <x v="0"/>
  </r>
  <r>
    <n v="30.007000000000001"/>
    <n v="6481"/>
    <n v="462"/>
    <n v="2"/>
    <n v="69"/>
    <n v="9"/>
    <s v="Yes"/>
    <s v="No"/>
    <s v="Yes"/>
    <x v="0"/>
    <n v="1093"/>
    <n v="2186"/>
    <n v="30007"/>
    <x v="0"/>
  </r>
  <r>
    <n v="11.795"/>
    <n v="3899"/>
    <n v="300"/>
    <n v="4"/>
    <n v="25"/>
    <n v="10"/>
    <s v="Yes"/>
    <s v="No"/>
    <s v="No"/>
    <x v="0"/>
    <n v="531"/>
    <n v="2124"/>
    <n v="11795"/>
    <x v="1"/>
  </r>
  <r>
    <n v="13.647"/>
    <n v="3461"/>
    <n v="264"/>
    <n v="4"/>
    <n v="47"/>
    <n v="14"/>
    <s v="No"/>
    <s v="No"/>
    <s v="Yes"/>
    <x v="0"/>
    <n v="344"/>
    <n v="1376"/>
    <n v="13647"/>
    <x v="1"/>
  </r>
  <r>
    <n v="34.950000000000003"/>
    <n v="3327"/>
    <n v="253"/>
    <n v="3"/>
    <n v="54"/>
    <n v="14"/>
    <s v="Yes"/>
    <s v="No"/>
    <s v="No"/>
    <x v="2"/>
    <n v="50"/>
    <n v="150"/>
    <n v="34950"/>
    <x v="0"/>
  </r>
  <r>
    <n v="113.65900000000001"/>
    <n v="7659"/>
    <n v="538"/>
    <n v="2"/>
    <n v="66"/>
    <n v="15"/>
    <s v="No"/>
    <s v="Yes"/>
    <s v="Yes"/>
    <x v="2"/>
    <n v="1155"/>
    <n v="2310"/>
    <n v="113659"/>
    <x v="0"/>
  </r>
  <r>
    <n v="44.158000000000001"/>
    <n v="4763"/>
    <n v="351"/>
    <n v="2"/>
    <n v="66"/>
    <n v="13"/>
    <s v="Yes"/>
    <s v="No"/>
    <s v="Yes"/>
    <x v="1"/>
    <n v="385"/>
    <n v="770"/>
    <n v="44158"/>
    <x v="0"/>
  </r>
  <r>
    <n v="36.929000000000002"/>
    <n v="6257"/>
    <n v="445"/>
    <n v="1"/>
    <n v="24"/>
    <n v="14"/>
    <s v="Yes"/>
    <s v="No"/>
    <s v="Yes"/>
    <x v="1"/>
    <n v="976"/>
    <n v="976"/>
    <n v="36929"/>
    <x v="0"/>
  </r>
  <r>
    <n v="31.861000000000001"/>
    <n v="6375"/>
    <n v="469"/>
    <n v="3"/>
    <n v="25"/>
    <n v="16"/>
    <s v="Yes"/>
    <s v="No"/>
    <s v="Yes"/>
    <x v="0"/>
    <n v="1120"/>
    <n v="3360"/>
    <n v="31861"/>
    <x v="0"/>
  </r>
  <r>
    <n v="77.38"/>
    <n v="7569"/>
    <n v="564"/>
    <n v="3"/>
    <n v="50"/>
    <n v="12"/>
    <s v="Yes"/>
    <s v="No"/>
    <s v="Yes"/>
    <x v="0"/>
    <n v="997"/>
    <n v="2991"/>
    <n v="77380"/>
    <x v="0"/>
  </r>
  <r>
    <n v="19.530999999999999"/>
    <n v="5043"/>
    <n v="376"/>
    <n v="2"/>
    <n v="64"/>
    <n v="16"/>
    <s v="Yes"/>
    <s v="Yes"/>
    <s v="Yes"/>
    <x v="1"/>
    <n v="1241"/>
    <n v="2482"/>
    <n v="19531"/>
    <x v="0"/>
  </r>
  <r>
    <n v="44.646000000000001"/>
    <n v="4431"/>
    <n v="320"/>
    <n v="2"/>
    <n v="49"/>
    <n v="15"/>
    <s v="No"/>
    <s v="Yes"/>
    <s v="Yes"/>
    <x v="0"/>
    <n v="797"/>
    <n v="1594"/>
    <n v="44646"/>
    <x v="0"/>
  </r>
  <r>
    <n v="44.521999999999998"/>
    <n v="2252"/>
    <n v="205"/>
    <n v="6"/>
    <n v="72"/>
    <n v="15"/>
    <s v="No"/>
    <s v="No"/>
    <s v="Yes"/>
    <x v="1"/>
    <n v="0"/>
    <n v="0"/>
    <n v="44522"/>
    <x v="1"/>
  </r>
  <r>
    <n v="43.478999999999999"/>
    <n v="4569"/>
    <n v="354"/>
    <n v="4"/>
    <n v="49"/>
    <n v="13"/>
    <s v="No"/>
    <s v="Yes"/>
    <s v="Yes"/>
    <x v="2"/>
    <n v="902"/>
    <n v="3608"/>
    <n v="43479"/>
    <x v="1"/>
  </r>
  <r>
    <n v="36.362000000000002"/>
    <n v="5183"/>
    <n v="376"/>
    <n v="3"/>
    <n v="49"/>
    <n v="15"/>
    <s v="No"/>
    <s v="No"/>
    <s v="Yes"/>
    <x v="2"/>
    <n v="654"/>
    <n v="1962"/>
    <n v="36362"/>
    <x v="0"/>
  </r>
  <r>
    <n v="39.704999999999998"/>
    <n v="3969"/>
    <n v="301"/>
    <n v="2"/>
    <n v="27"/>
    <n v="20"/>
    <s v="No"/>
    <s v="No"/>
    <s v="Yes"/>
    <x v="2"/>
    <n v="211"/>
    <n v="422"/>
    <n v="39705"/>
    <x v="0"/>
  </r>
  <r>
    <n v="44.204999999999998"/>
    <n v="5441"/>
    <n v="394"/>
    <n v="1"/>
    <n v="32"/>
    <n v="12"/>
    <s v="No"/>
    <s v="No"/>
    <s v="Yes"/>
    <x v="0"/>
    <n v="607"/>
    <n v="607"/>
    <n v="44205"/>
    <x v="0"/>
  </r>
  <r>
    <n v="16.303999999999998"/>
    <n v="5466"/>
    <n v="413"/>
    <n v="4"/>
    <n v="66"/>
    <n v="10"/>
    <s v="No"/>
    <s v="No"/>
    <s v="Yes"/>
    <x v="1"/>
    <n v="957"/>
    <n v="3828"/>
    <n v="16303.999999999998"/>
    <x v="1"/>
  </r>
  <r>
    <n v="15.333"/>
    <n v="1499"/>
    <n v="138"/>
    <n v="2"/>
    <n v="47"/>
    <n v="9"/>
    <s v="Yes"/>
    <s v="No"/>
    <s v="Yes"/>
    <x v="1"/>
    <n v="0"/>
    <n v="0"/>
    <n v="15333"/>
    <x v="0"/>
  </r>
  <r>
    <n v="32.915999999999997"/>
    <n v="1786"/>
    <n v="154"/>
    <n v="2"/>
    <n v="60"/>
    <n v="8"/>
    <s v="Yes"/>
    <s v="No"/>
    <s v="Yes"/>
    <x v="1"/>
    <n v="0"/>
    <n v="0"/>
    <n v="32916"/>
    <x v="0"/>
  </r>
  <r>
    <n v="57.1"/>
    <n v="4742"/>
    <n v="372"/>
    <n v="7"/>
    <n v="79"/>
    <n v="18"/>
    <s v="Yes"/>
    <s v="No"/>
    <s v="Yes"/>
    <x v="1"/>
    <n v="379"/>
    <n v="2653"/>
    <n v="57100"/>
    <x v="1"/>
  </r>
  <r>
    <n v="76.272999999999996"/>
    <n v="4779"/>
    <n v="367"/>
    <n v="4"/>
    <n v="65"/>
    <n v="14"/>
    <s v="Yes"/>
    <s v="No"/>
    <s v="Yes"/>
    <x v="0"/>
    <n v="133"/>
    <n v="532"/>
    <n v="76273"/>
    <x v="1"/>
  </r>
  <r>
    <n v="10.353999999999999"/>
    <n v="3480"/>
    <n v="281"/>
    <n v="2"/>
    <n v="70"/>
    <n v="17"/>
    <s v="No"/>
    <s v="No"/>
    <s v="Yes"/>
    <x v="0"/>
    <n v="333"/>
    <n v="666"/>
    <n v="10354"/>
    <x v="0"/>
  </r>
  <r>
    <n v="51.872"/>
    <n v="5294"/>
    <n v="390"/>
    <n v="4"/>
    <n v="81"/>
    <n v="17"/>
    <s v="Yes"/>
    <s v="No"/>
    <s v="No"/>
    <x v="0"/>
    <n v="531"/>
    <n v="2124"/>
    <n v="51872"/>
    <x v="1"/>
  </r>
  <r>
    <n v="35.51"/>
    <n v="5198"/>
    <n v="364"/>
    <n v="2"/>
    <n v="35"/>
    <n v="20"/>
    <s v="Yes"/>
    <s v="No"/>
    <s v="No"/>
    <x v="1"/>
    <n v="631"/>
    <n v="1262"/>
    <n v="35510"/>
    <x v="0"/>
  </r>
  <r>
    <n v="21.238"/>
    <n v="3089"/>
    <n v="254"/>
    <n v="3"/>
    <n v="59"/>
    <n v="10"/>
    <s v="Yes"/>
    <s v="No"/>
    <s v="No"/>
    <x v="0"/>
    <n v="108"/>
    <n v="324"/>
    <n v="21238"/>
    <x v="0"/>
  </r>
  <r>
    <n v="30.681999999999999"/>
    <n v="1671"/>
    <n v="160"/>
    <n v="2"/>
    <n v="77"/>
    <n v="7"/>
    <s v="Yes"/>
    <s v="No"/>
    <s v="No"/>
    <x v="0"/>
    <n v="0"/>
    <n v="0"/>
    <n v="30682"/>
    <x v="0"/>
  </r>
  <r>
    <n v="14.132"/>
    <n v="2998"/>
    <n v="251"/>
    <n v="4"/>
    <n v="75"/>
    <n v="17"/>
    <s v="No"/>
    <s v="No"/>
    <s v="No"/>
    <x v="0"/>
    <n v="133"/>
    <n v="532"/>
    <n v="14132"/>
    <x v="1"/>
  </r>
  <r>
    <n v="32.164000000000001"/>
    <n v="2937"/>
    <n v="223"/>
    <n v="2"/>
    <n v="79"/>
    <n v="15"/>
    <s v="Yes"/>
    <s v="No"/>
    <s v="Yes"/>
    <x v="2"/>
    <n v="0"/>
    <n v="0"/>
    <n v="32164"/>
    <x v="0"/>
  </r>
  <r>
    <n v="12"/>
    <n v="4160"/>
    <n v="320"/>
    <n v="4"/>
    <n v="28"/>
    <n v="14"/>
    <s v="Yes"/>
    <s v="No"/>
    <s v="Yes"/>
    <x v="0"/>
    <n v="602"/>
    <n v="2408"/>
    <n v="12000"/>
    <x v="1"/>
  </r>
  <r>
    <n v="113.82899999999999"/>
    <n v="9704"/>
    <n v="694"/>
    <n v="4"/>
    <n v="38"/>
    <n v="13"/>
    <s v="Yes"/>
    <s v="No"/>
    <s v="Yes"/>
    <x v="1"/>
    <n v="1388"/>
    <n v="5552"/>
    <n v="113829"/>
    <x v="1"/>
  </r>
  <r>
    <n v="11.186999999999999"/>
    <n v="5099"/>
    <n v="380"/>
    <n v="4"/>
    <n v="69"/>
    <n v="16"/>
    <s v="Yes"/>
    <s v="No"/>
    <s v="No"/>
    <x v="2"/>
    <n v="889"/>
    <n v="3556"/>
    <n v="11187"/>
    <x v="1"/>
  </r>
  <r>
    <n v="27.847000000000001"/>
    <n v="5619"/>
    <n v="418"/>
    <n v="2"/>
    <n v="78"/>
    <n v="15"/>
    <s v="Yes"/>
    <s v="No"/>
    <s v="Yes"/>
    <x v="0"/>
    <n v="822"/>
    <n v="1644"/>
    <n v="27847"/>
    <x v="0"/>
  </r>
  <r>
    <n v="49.502000000000002"/>
    <n v="6819"/>
    <n v="505"/>
    <n v="4"/>
    <n v="55"/>
    <n v="14"/>
    <s v="No"/>
    <s v="No"/>
    <s v="Yes"/>
    <x v="0"/>
    <n v="1084"/>
    <n v="4336"/>
    <n v="49502"/>
    <x v="1"/>
  </r>
  <r>
    <n v="24.888999999999999"/>
    <n v="3954"/>
    <n v="318"/>
    <n v="4"/>
    <n v="75"/>
    <n v="12"/>
    <s v="No"/>
    <s v="No"/>
    <s v="Yes"/>
    <x v="0"/>
    <n v="357"/>
    <n v="1428"/>
    <n v="24889"/>
    <x v="1"/>
  </r>
  <r>
    <n v="58.780999999999999"/>
    <n v="7402"/>
    <n v="538"/>
    <n v="2"/>
    <n v="81"/>
    <n v="12"/>
    <s v="Yes"/>
    <s v="No"/>
    <s v="Yes"/>
    <x v="1"/>
    <n v="1103"/>
    <n v="2206"/>
    <n v="58781"/>
    <x v="0"/>
  </r>
  <r>
    <n v="22.939"/>
    <n v="4923"/>
    <n v="355"/>
    <n v="1"/>
    <n v="47"/>
    <n v="18"/>
    <s v="Yes"/>
    <s v="No"/>
    <s v="Yes"/>
    <x v="1"/>
    <n v="663"/>
    <n v="663"/>
    <n v="22939"/>
    <x v="0"/>
  </r>
  <r>
    <n v="23.989000000000001"/>
    <n v="4523"/>
    <n v="338"/>
    <n v="4"/>
    <n v="31"/>
    <n v="15"/>
    <s v="No"/>
    <s v="No"/>
    <s v="No"/>
    <x v="0"/>
    <n v="601"/>
    <n v="2404"/>
    <n v="23989"/>
    <x v="1"/>
  </r>
  <r>
    <n v="16.103000000000002"/>
    <n v="5390"/>
    <n v="418"/>
    <n v="4"/>
    <n v="45"/>
    <n v="10"/>
    <s v="Yes"/>
    <s v="No"/>
    <s v="Yes"/>
    <x v="0"/>
    <n v="945"/>
    <n v="3780"/>
    <n v="16103.000000000002"/>
    <x v="1"/>
  </r>
  <r>
    <n v="33.017000000000003"/>
    <n v="3180"/>
    <n v="224"/>
    <n v="2"/>
    <n v="28"/>
    <n v="16"/>
    <s v="No"/>
    <s v="No"/>
    <s v="Yes"/>
    <x v="2"/>
    <n v="29"/>
    <n v="58"/>
    <n v="33017"/>
    <x v="0"/>
  </r>
  <r>
    <n v="30.622"/>
    <n v="3293"/>
    <n v="251"/>
    <n v="1"/>
    <n v="68"/>
    <n v="16"/>
    <s v="No"/>
    <s v="Yes"/>
    <s v="No"/>
    <x v="0"/>
    <n v="532"/>
    <n v="532"/>
    <n v="30622"/>
    <x v="0"/>
  </r>
  <r>
    <n v="20.936"/>
    <n v="3254"/>
    <n v="253"/>
    <n v="1"/>
    <n v="30"/>
    <n v="15"/>
    <s v="Yes"/>
    <s v="No"/>
    <s v="No"/>
    <x v="1"/>
    <n v="145"/>
    <n v="145"/>
    <n v="20936"/>
    <x v="0"/>
  </r>
  <r>
    <n v="110.968"/>
    <n v="6662"/>
    <n v="468"/>
    <n v="3"/>
    <n v="45"/>
    <n v="11"/>
    <s v="Yes"/>
    <s v="No"/>
    <s v="Yes"/>
    <x v="0"/>
    <n v="391"/>
    <n v="1173"/>
    <n v="110968"/>
    <x v="0"/>
  </r>
  <r>
    <n v="15.353999999999999"/>
    <n v="2101"/>
    <n v="171"/>
    <n v="2"/>
    <n v="65"/>
    <n v="14"/>
    <s v="No"/>
    <s v="No"/>
    <s v="No"/>
    <x v="1"/>
    <n v="0"/>
    <n v="0"/>
    <n v="15354"/>
    <x v="0"/>
  </r>
  <r>
    <n v="27.369"/>
    <n v="3449"/>
    <n v="288"/>
    <n v="3"/>
    <n v="40"/>
    <n v="9"/>
    <s v="Yes"/>
    <s v="No"/>
    <s v="Yes"/>
    <x v="0"/>
    <n v="162"/>
    <n v="486"/>
    <n v="27369"/>
    <x v="0"/>
  </r>
  <r>
    <n v="53.48"/>
    <n v="4263"/>
    <n v="317"/>
    <n v="1"/>
    <n v="83"/>
    <n v="15"/>
    <s v="No"/>
    <s v="No"/>
    <s v="No"/>
    <x v="0"/>
    <n v="99"/>
    <n v="99"/>
    <n v="53480"/>
    <x v="0"/>
  </r>
  <r>
    <n v="23.672000000000001"/>
    <n v="4433"/>
    <n v="344"/>
    <n v="3"/>
    <n v="63"/>
    <n v="11"/>
    <s v="No"/>
    <s v="No"/>
    <s v="No"/>
    <x v="0"/>
    <n v="503"/>
    <n v="1509"/>
    <n v="23672"/>
    <x v="0"/>
  </r>
  <r>
    <n v="19.225000000000001"/>
    <n v="1433"/>
    <n v="122"/>
    <n v="3"/>
    <n v="38"/>
    <n v="14"/>
    <s v="Yes"/>
    <s v="No"/>
    <s v="No"/>
    <x v="0"/>
    <n v="0"/>
    <n v="0"/>
    <n v="19225"/>
    <x v="0"/>
  </r>
  <r>
    <n v="43.54"/>
    <n v="2906"/>
    <n v="232"/>
    <n v="4"/>
    <n v="69"/>
    <n v="11"/>
    <s v="No"/>
    <s v="No"/>
    <s v="No"/>
    <x v="0"/>
    <n v="0"/>
    <n v="0"/>
    <n v="43540"/>
    <x v="1"/>
  </r>
  <r>
    <n v="152.298"/>
    <n v="12066"/>
    <n v="828"/>
    <n v="4"/>
    <n v="41"/>
    <n v="12"/>
    <s v="Yes"/>
    <s v="No"/>
    <s v="Yes"/>
    <x v="1"/>
    <n v="1779"/>
    <n v="7116"/>
    <n v="152298"/>
    <x v="1"/>
  </r>
  <r>
    <n v="55.366999999999997"/>
    <n v="6340"/>
    <n v="448"/>
    <n v="1"/>
    <n v="33"/>
    <n v="15"/>
    <s v="No"/>
    <s v="No"/>
    <s v="Yes"/>
    <x v="0"/>
    <n v="815"/>
    <n v="815"/>
    <n v="55367"/>
    <x v="0"/>
  </r>
  <r>
    <n v="11.741"/>
    <n v="2271"/>
    <n v="182"/>
    <n v="4"/>
    <n v="59"/>
    <n v="12"/>
    <s v="Yes"/>
    <s v="No"/>
    <s v="No"/>
    <x v="1"/>
    <n v="0"/>
    <n v="0"/>
    <n v="11741"/>
    <x v="1"/>
  </r>
  <r>
    <n v="15.56"/>
    <n v="4307"/>
    <n v="352"/>
    <n v="4"/>
    <n v="57"/>
    <n v="8"/>
    <s v="No"/>
    <s v="No"/>
    <s v="Yes"/>
    <x v="2"/>
    <n v="579"/>
    <n v="2316"/>
    <n v="15560"/>
    <x v="1"/>
  </r>
  <r>
    <n v="59.53"/>
    <n v="7518"/>
    <n v="543"/>
    <n v="3"/>
    <n v="52"/>
    <n v="9"/>
    <s v="Yes"/>
    <s v="No"/>
    <s v="No"/>
    <x v="2"/>
    <n v="1176"/>
    <n v="3528"/>
    <n v="59530"/>
    <x v="0"/>
  </r>
  <r>
    <n v="20.190999999999999"/>
    <n v="5767"/>
    <n v="431"/>
    <n v="4"/>
    <n v="42"/>
    <n v="16"/>
    <s v="No"/>
    <s v="No"/>
    <s v="Yes"/>
    <x v="2"/>
    <n v="1023"/>
    <n v="4092"/>
    <n v="20191"/>
    <x v="1"/>
  </r>
  <r>
    <n v="48.497999999999998"/>
    <n v="6040"/>
    <n v="456"/>
    <n v="3"/>
    <n v="47"/>
    <n v="16"/>
    <s v="No"/>
    <s v="No"/>
    <s v="Yes"/>
    <x v="0"/>
    <n v="812"/>
    <n v="2436"/>
    <n v="48498"/>
    <x v="0"/>
  </r>
  <r>
    <n v="30.733000000000001"/>
    <n v="2832"/>
    <n v="249"/>
    <n v="4"/>
    <n v="51"/>
    <n v="13"/>
    <s v="No"/>
    <s v="No"/>
    <s v="No"/>
    <x v="0"/>
    <n v="0"/>
    <n v="0"/>
    <n v="30733"/>
    <x v="1"/>
  </r>
  <r>
    <n v="16.478999999999999"/>
    <n v="5435"/>
    <n v="388"/>
    <n v="2"/>
    <n v="26"/>
    <n v="16"/>
    <s v="No"/>
    <s v="No"/>
    <s v="No"/>
    <x v="2"/>
    <n v="937"/>
    <n v="1874"/>
    <n v="16479"/>
    <x v="0"/>
  </r>
  <r>
    <n v="38.009"/>
    <n v="3075"/>
    <n v="245"/>
    <n v="3"/>
    <n v="45"/>
    <n v="15"/>
    <s v="Yes"/>
    <s v="No"/>
    <s v="No"/>
    <x v="2"/>
    <n v="0"/>
    <n v="0"/>
    <n v="38009"/>
    <x v="0"/>
  </r>
  <r>
    <n v="14.084"/>
    <n v="855"/>
    <n v="120"/>
    <n v="5"/>
    <n v="46"/>
    <n v="17"/>
    <s v="Yes"/>
    <s v="No"/>
    <s v="Yes"/>
    <x v="2"/>
    <n v="0"/>
    <n v="0"/>
    <n v="14084"/>
    <x v="1"/>
  </r>
  <r>
    <n v="14.311999999999999"/>
    <n v="5382"/>
    <n v="367"/>
    <n v="1"/>
    <n v="59"/>
    <n v="17"/>
    <s v="No"/>
    <s v="Yes"/>
    <s v="No"/>
    <x v="1"/>
    <n v="1380"/>
    <n v="1380"/>
    <n v="14312"/>
    <x v="0"/>
  </r>
  <r>
    <n v="26.067"/>
    <n v="3388"/>
    <n v="266"/>
    <n v="4"/>
    <n v="74"/>
    <n v="17"/>
    <s v="Yes"/>
    <s v="No"/>
    <s v="Yes"/>
    <x v="2"/>
    <n v="155"/>
    <n v="620"/>
    <n v="26067"/>
    <x v="1"/>
  </r>
  <r>
    <n v="36.295000000000002"/>
    <n v="2963"/>
    <n v="241"/>
    <n v="2"/>
    <n v="68"/>
    <n v="14"/>
    <s v="Yes"/>
    <s v="Yes"/>
    <s v="No"/>
    <x v="2"/>
    <n v="375"/>
    <n v="750"/>
    <n v="36295"/>
    <x v="0"/>
  </r>
  <r>
    <n v="83.850999999999999"/>
    <n v="8494"/>
    <n v="607"/>
    <n v="5"/>
    <n v="47"/>
    <n v="18"/>
    <s v="No"/>
    <s v="No"/>
    <s v="No"/>
    <x v="0"/>
    <n v="1311"/>
    <n v="6555"/>
    <n v="83851"/>
    <x v="1"/>
  </r>
  <r>
    <n v="21.152999999999999"/>
    <n v="3736"/>
    <n v="256"/>
    <n v="1"/>
    <n v="41"/>
    <n v="11"/>
    <s v="No"/>
    <s v="No"/>
    <s v="No"/>
    <x v="0"/>
    <n v="298"/>
    <n v="298"/>
    <n v="21153"/>
    <x v="0"/>
  </r>
  <r>
    <n v="17.975999999999999"/>
    <n v="2433"/>
    <n v="190"/>
    <n v="3"/>
    <n v="70"/>
    <n v="16"/>
    <s v="Yes"/>
    <s v="Yes"/>
    <s v="No"/>
    <x v="0"/>
    <n v="431"/>
    <n v="1293"/>
    <n v="17976"/>
    <x v="0"/>
  </r>
  <r>
    <n v="68.712999999999994"/>
    <n v="7582"/>
    <n v="531"/>
    <n v="2"/>
    <n v="56"/>
    <n v="16"/>
    <s v="No"/>
    <s v="Yes"/>
    <s v="No"/>
    <x v="0"/>
    <n v="1587"/>
    <n v="3174"/>
    <n v="68713"/>
    <x v="0"/>
  </r>
  <r>
    <n v="146.18299999999999"/>
    <n v="9540"/>
    <n v="682"/>
    <n v="6"/>
    <n v="66"/>
    <n v="15"/>
    <s v="No"/>
    <s v="No"/>
    <s v="No"/>
    <x v="0"/>
    <n v="1050"/>
    <n v="6300"/>
    <n v="146183"/>
    <x v="1"/>
  </r>
  <r>
    <n v="15.846"/>
    <n v="4768"/>
    <n v="365"/>
    <n v="4"/>
    <n v="53"/>
    <n v="12"/>
    <s v="Yes"/>
    <s v="No"/>
    <s v="No"/>
    <x v="0"/>
    <n v="745"/>
    <n v="2980"/>
    <n v="15846"/>
    <x v="1"/>
  </r>
  <r>
    <n v="12.031000000000001"/>
    <n v="3182"/>
    <n v="259"/>
    <n v="2"/>
    <n v="58"/>
    <n v="18"/>
    <s v="Yes"/>
    <s v="No"/>
    <s v="Yes"/>
    <x v="0"/>
    <n v="210"/>
    <n v="420"/>
    <n v="12031"/>
    <x v="0"/>
  </r>
  <r>
    <n v="16.818999999999999"/>
    <n v="1337"/>
    <n v="115"/>
    <n v="2"/>
    <n v="74"/>
    <n v="15"/>
    <s v="No"/>
    <s v="No"/>
    <s v="Yes"/>
    <x v="1"/>
    <n v="0"/>
    <n v="0"/>
    <n v="16819"/>
    <x v="0"/>
  </r>
  <r>
    <n v="39.11"/>
    <n v="3189"/>
    <n v="263"/>
    <n v="3"/>
    <n v="72"/>
    <n v="12"/>
    <s v="No"/>
    <s v="No"/>
    <s v="No"/>
    <x v="1"/>
    <n v="0"/>
    <n v="0"/>
    <n v="39110"/>
    <x v="0"/>
  </r>
  <r>
    <n v="107.986"/>
    <n v="6033"/>
    <n v="449"/>
    <n v="4"/>
    <n v="64"/>
    <n v="14"/>
    <s v="No"/>
    <s v="No"/>
    <s v="Yes"/>
    <x v="0"/>
    <n v="227"/>
    <n v="908"/>
    <n v="107986"/>
    <x v="1"/>
  </r>
  <r>
    <n v="13.561"/>
    <n v="3261"/>
    <n v="279"/>
    <n v="5"/>
    <n v="37"/>
    <n v="19"/>
    <s v="No"/>
    <s v="No"/>
    <s v="Yes"/>
    <x v="1"/>
    <n v="297"/>
    <n v="1485"/>
    <n v="13561"/>
    <x v="1"/>
  </r>
  <r>
    <n v="34.536999999999999"/>
    <n v="3271"/>
    <n v="250"/>
    <n v="3"/>
    <n v="57"/>
    <n v="17"/>
    <s v="Yes"/>
    <s v="No"/>
    <s v="Yes"/>
    <x v="1"/>
    <n v="47"/>
    <n v="141"/>
    <n v="34537"/>
    <x v="0"/>
  </r>
  <r>
    <n v="28.574999999999999"/>
    <n v="2959"/>
    <n v="231"/>
    <n v="2"/>
    <n v="60"/>
    <n v="11"/>
    <s v="Yes"/>
    <s v="No"/>
    <s v="No"/>
    <x v="2"/>
    <n v="0"/>
    <n v="0"/>
    <n v="28575"/>
    <x v="0"/>
  </r>
  <r>
    <n v="46.006999999999998"/>
    <n v="6637"/>
    <n v="491"/>
    <n v="4"/>
    <n v="42"/>
    <n v="14"/>
    <s v="No"/>
    <s v="No"/>
    <s v="Yes"/>
    <x v="0"/>
    <n v="1046"/>
    <n v="4184"/>
    <n v="46007"/>
    <x v="1"/>
  </r>
  <r>
    <n v="69.251000000000005"/>
    <n v="6386"/>
    <n v="474"/>
    <n v="4"/>
    <n v="30"/>
    <n v="12"/>
    <s v="Yes"/>
    <s v="No"/>
    <s v="Yes"/>
    <x v="1"/>
    <n v="768"/>
    <n v="3072"/>
    <n v="69251"/>
    <x v="1"/>
  </r>
  <r>
    <n v="16.481999999999999"/>
    <n v="3326"/>
    <n v="268"/>
    <n v="4"/>
    <n v="41"/>
    <n v="15"/>
    <s v="No"/>
    <s v="No"/>
    <s v="No"/>
    <x v="0"/>
    <n v="271"/>
    <n v="1084"/>
    <n v="16482"/>
    <x v="1"/>
  </r>
  <r>
    <n v="40.442"/>
    <n v="4828"/>
    <n v="369"/>
    <n v="5"/>
    <n v="81"/>
    <n v="8"/>
    <s v="Yes"/>
    <s v="No"/>
    <s v="No"/>
    <x v="2"/>
    <n v="510"/>
    <n v="2550"/>
    <n v="40442"/>
    <x v="1"/>
  </r>
  <r>
    <n v="35.177"/>
    <n v="2117"/>
    <n v="186"/>
    <n v="3"/>
    <n v="62"/>
    <n v="16"/>
    <s v="Yes"/>
    <s v="No"/>
    <s v="No"/>
    <x v="0"/>
    <n v="0"/>
    <n v="0"/>
    <n v="35177"/>
    <x v="0"/>
  </r>
  <r>
    <n v="91.361999999999995"/>
    <n v="9113"/>
    <n v="626"/>
    <n v="1"/>
    <n v="47"/>
    <n v="17"/>
    <s v="No"/>
    <s v="No"/>
    <s v="Yes"/>
    <x v="1"/>
    <n v="1341"/>
    <n v="1341"/>
    <n v="91362"/>
    <x v="0"/>
  </r>
  <r>
    <n v="27.039000000000001"/>
    <n v="2161"/>
    <n v="173"/>
    <n v="3"/>
    <n v="40"/>
    <n v="17"/>
    <s v="Yes"/>
    <s v="No"/>
    <s v="No"/>
    <x v="0"/>
    <n v="0"/>
    <n v="0"/>
    <n v="27039"/>
    <x v="0"/>
  </r>
  <r>
    <n v="23.012"/>
    <n v="1410"/>
    <n v="137"/>
    <n v="3"/>
    <n v="81"/>
    <n v="16"/>
    <s v="No"/>
    <s v="No"/>
    <s v="No"/>
    <x v="0"/>
    <n v="0"/>
    <n v="0"/>
    <n v="23012"/>
    <x v="0"/>
  </r>
  <r>
    <n v="27.241"/>
    <n v="1402"/>
    <n v="128"/>
    <n v="2"/>
    <n v="67"/>
    <n v="15"/>
    <s v="Yes"/>
    <s v="No"/>
    <s v="Yes"/>
    <x v="1"/>
    <n v="0"/>
    <n v="0"/>
    <n v="27241"/>
    <x v="0"/>
  </r>
  <r>
    <n v="148.08000000000001"/>
    <n v="8157"/>
    <n v="599"/>
    <n v="2"/>
    <n v="83"/>
    <n v="13"/>
    <s v="No"/>
    <s v="No"/>
    <s v="Yes"/>
    <x v="0"/>
    <n v="454"/>
    <n v="908"/>
    <n v="148080"/>
    <x v="0"/>
  </r>
  <r>
    <n v="62.601999999999997"/>
    <n v="7056"/>
    <n v="481"/>
    <n v="1"/>
    <n v="84"/>
    <n v="11"/>
    <s v="Yes"/>
    <s v="No"/>
    <s v="No"/>
    <x v="0"/>
    <n v="904"/>
    <n v="904"/>
    <n v="62602"/>
    <x v="0"/>
  </r>
  <r>
    <n v="11.808"/>
    <n v="1300"/>
    <n v="117"/>
    <n v="3"/>
    <n v="77"/>
    <n v="14"/>
    <s v="Yes"/>
    <s v="No"/>
    <s v="No"/>
    <x v="2"/>
    <n v="0"/>
    <n v="0"/>
    <n v="11808"/>
    <x v="0"/>
  </r>
  <r>
    <n v="29.564"/>
    <n v="2529"/>
    <n v="192"/>
    <n v="1"/>
    <n v="30"/>
    <n v="12"/>
    <s v="Yes"/>
    <s v="No"/>
    <s v="Yes"/>
    <x v="0"/>
    <n v="0"/>
    <n v="0"/>
    <n v="29564"/>
    <x v="0"/>
  </r>
  <r>
    <n v="27.577999999999999"/>
    <n v="2531"/>
    <n v="195"/>
    <n v="1"/>
    <n v="34"/>
    <n v="15"/>
    <s v="Yes"/>
    <s v="No"/>
    <s v="Yes"/>
    <x v="0"/>
    <n v="0"/>
    <n v="0"/>
    <n v="27578"/>
    <x v="0"/>
  </r>
  <r>
    <n v="26.427"/>
    <n v="5533"/>
    <n v="433"/>
    <n v="5"/>
    <n v="50"/>
    <n v="15"/>
    <s v="Yes"/>
    <s v="Yes"/>
    <s v="Yes"/>
    <x v="1"/>
    <n v="1404"/>
    <n v="7020"/>
    <n v="26427"/>
    <x v="1"/>
  </r>
  <r>
    <n v="57.201999999999998"/>
    <n v="3411"/>
    <n v="259"/>
    <n v="3"/>
    <n v="72"/>
    <n v="11"/>
    <s v="Yes"/>
    <s v="No"/>
    <s v="No"/>
    <x v="0"/>
    <n v="0"/>
    <n v="0"/>
    <n v="57202"/>
    <x v="0"/>
  </r>
  <r>
    <n v="123.29900000000001"/>
    <n v="8376"/>
    <n v="610"/>
    <n v="2"/>
    <n v="89"/>
    <n v="17"/>
    <s v="No"/>
    <s v="Yes"/>
    <s v="No"/>
    <x v="2"/>
    <n v="1259"/>
    <n v="2518"/>
    <n v="123299"/>
    <x v="0"/>
  </r>
  <r>
    <n v="18.145"/>
    <n v="3461"/>
    <n v="279"/>
    <n v="3"/>
    <n v="56"/>
    <n v="15"/>
    <s v="No"/>
    <s v="No"/>
    <s v="Yes"/>
    <x v="2"/>
    <n v="255"/>
    <n v="765"/>
    <n v="18145"/>
    <x v="0"/>
  </r>
  <r>
    <n v="23.792999999999999"/>
    <n v="3821"/>
    <n v="281"/>
    <n v="4"/>
    <n v="56"/>
    <n v="12"/>
    <s v="Yes"/>
    <s v="Yes"/>
    <s v="Yes"/>
    <x v="2"/>
    <n v="868"/>
    <n v="3472"/>
    <n v="23793"/>
    <x v="1"/>
  </r>
  <r>
    <n v="10.726000000000001"/>
    <n v="1568"/>
    <n v="162"/>
    <n v="5"/>
    <n v="46"/>
    <n v="19"/>
    <s v="No"/>
    <s v="No"/>
    <s v="Yes"/>
    <x v="1"/>
    <n v="0"/>
    <n v="0"/>
    <n v="10726"/>
    <x v="1"/>
  </r>
  <r>
    <n v="23.283000000000001"/>
    <n v="5443"/>
    <n v="407"/>
    <n v="4"/>
    <n v="49"/>
    <n v="13"/>
    <s v="No"/>
    <s v="No"/>
    <s v="Yes"/>
    <x v="2"/>
    <n v="912"/>
    <n v="3648"/>
    <n v="23283"/>
    <x v="1"/>
  </r>
  <r>
    <n v="21.454999999999998"/>
    <n v="5829"/>
    <n v="427"/>
    <n v="4"/>
    <n v="80"/>
    <n v="12"/>
    <s v="Yes"/>
    <s v="No"/>
    <s v="Yes"/>
    <x v="2"/>
    <n v="1018"/>
    <n v="4072"/>
    <n v="21455"/>
    <x v="1"/>
  </r>
  <r>
    <n v="34.664000000000001"/>
    <n v="5835"/>
    <n v="452"/>
    <n v="3"/>
    <n v="77"/>
    <n v="15"/>
    <s v="Yes"/>
    <s v="No"/>
    <s v="Yes"/>
    <x v="2"/>
    <n v="835"/>
    <n v="2505"/>
    <n v="34664"/>
    <x v="0"/>
  </r>
  <r>
    <n v="44.472999999999999"/>
    <n v="3500"/>
    <n v="257"/>
    <n v="3"/>
    <n v="81"/>
    <n v="16"/>
    <s v="Yes"/>
    <s v="No"/>
    <s v="No"/>
    <x v="2"/>
    <n v="8"/>
    <n v="24"/>
    <n v="44473"/>
    <x v="0"/>
  </r>
  <r>
    <n v="54.662999999999997"/>
    <n v="4116"/>
    <n v="314"/>
    <n v="2"/>
    <n v="70"/>
    <n v="8"/>
    <s v="Yes"/>
    <s v="No"/>
    <s v="No"/>
    <x v="2"/>
    <n v="75"/>
    <n v="150"/>
    <n v="54663"/>
    <x v="0"/>
  </r>
  <r>
    <n v="36.354999999999997"/>
    <n v="3613"/>
    <n v="278"/>
    <n v="4"/>
    <n v="35"/>
    <n v="9"/>
    <s v="No"/>
    <s v="No"/>
    <s v="Yes"/>
    <x v="1"/>
    <n v="187"/>
    <n v="748"/>
    <n v="36355"/>
    <x v="1"/>
  </r>
  <r>
    <n v="21.373999999999999"/>
    <n v="2073"/>
    <n v="175"/>
    <n v="2"/>
    <n v="74"/>
    <n v="11"/>
    <s v="Yes"/>
    <s v="No"/>
    <s v="Yes"/>
    <x v="0"/>
    <n v="0"/>
    <n v="0"/>
    <n v="21374"/>
    <x v="0"/>
  </r>
  <r>
    <n v="107.84099999999999"/>
    <n v="10384"/>
    <n v="728"/>
    <n v="3"/>
    <n v="87"/>
    <n v="7"/>
    <s v="No"/>
    <s v="No"/>
    <s v="No"/>
    <x v="2"/>
    <n v="1597"/>
    <n v="4791"/>
    <n v="107841"/>
    <x v="0"/>
  </r>
  <r>
    <n v="39.831000000000003"/>
    <n v="6045"/>
    <n v="459"/>
    <n v="3"/>
    <n v="32"/>
    <n v="12"/>
    <s v="Yes"/>
    <s v="Yes"/>
    <s v="Yes"/>
    <x v="2"/>
    <n v="1425"/>
    <n v="4275"/>
    <n v="39831"/>
    <x v="0"/>
  </r>
  <r>
    <n v="91.876000000000005"/>
    <n v="6754"/>
    <n v="483"/>
    <n v="2"/>
    <n v="33"/>
    <n v="10"/>
    <s v="No"/>
    <s v="No"/>
    <s v="Yes"/>
    <x v="0"/>
    <n v="605"/>
    <n v="1210"/>
    <n v="91876"/>
    <x v="0"/>
  </r>
  <r>
    <n v="103.893"/>
    <n v="7416"/>
    <n v="549"/>
    <n v="3"/>
    <n v="84"/>
    <n v="17"/>
    <s v="No"/>
    <s v="No"/>
    <s v="No"/>
    <x v="1"/>
    <n v="669"/>
    <n v="2007"/>
    <n v="103893"/>
    <x v="0"/>
  </r>
  <r>
    <n v="19.635999999999999"/>
    <n v="4896"/>
    <n v="387"/>
    <n v="3"/>
    <n v="64"/>
    <n v="10"/>
    <s v="Yes"/>
    <s v="No"/>
    <s v="No"/>
    <x v="2"/>
    <n v="710"/>
    <n v="2130"/>
    <n v="19636"/>
    <x v="0"/>
  </r>
  <r>
    <n v="17.391999999999999"/>
    <n v="2748"/>
    <n v="228"/>
    <n v="3"/>
    <n v="32"/>
    <n v="14"/>
    <s v="No"/>
    <s v="No"/>
    <s v="Yes"/>
    <x v="0"/>
    <n v="68"/>
    <n v="204"/>
    <n v="17392"/>
    <x v="0"/>
  </r>
  <r>
    <n v="19.529"/>
    <n v="4673"/>
    <n v="341"/>
    <n v="2"/>
    <n v="51"/>
    <n v="14"/>
    <s v="No"/>
    <s v="No"/>
    <s v="No"/>
    <x v="1"/>
    <n v="642"/>
    <n v="1284"/>
    <n v="19529"/>
    <x v="0"/>
  </r>
  <r>
    <n v="17.055"/>
    <n v="5110"/>
    <n v="371"/>
    <n v="3"/>
    <n v="55"/>
    <n v="15"/>
    <s v="Yes"/>
    <s v="No"/>
    <s v="Yes"/>
    <x v="0"/>
    <n v="805"/>
    <n v="2415"/>
    <n v="17055"/>
    <x v="0"/>
  </r>
  <r>
    <n v="23.856999999999999"/>
    <n v="1501"/>
    <n v="150"/>
    <n v="3"/>
    <n v="56"/>
    <n v="16"/>
    <s v="No"/>
    <s v="No"/>
    <s v="Yes"/>
    <x v="0"/>
    <n v="0"/>
    <n v="0"/>
    <n v="23857"/>
    <x v="0"/>
  </r>
  <r>
    <n v="15.183999999999999"/>
    <n v="2420"/>
    <n v="192"/>
    <n v="2"/>
    <n v="69"/>
    <n v="11"/>
    <s v="Yes"/>
    <s v="No"/>
    <s v="Yes"/>
    <x v="0"/>
    <n v="0"/>
    <n v="0"/>
    <n v="15184"/>
    <x v="0"/>
  </r>
  <r>
    <n v="13.444000000000001"/>
    <n v="886"/>
    <n v="121"/>
    <n v="5"/>
    <n v="44"/>
    <n v="10"/>
    <s v="No"/>
    <s v="No"/>
    <s v="Yes"/>
    <x v="1"/>
    <n v="0"/>
    <n v="0"/>
    <n v="13444"/>
    <x v="1"/>
  </r>
  <r>
    <n v="63.930999999999997"/>
    <n v="5728"/>
    <n v="435"/>
    <n v="3"/>
    <n v="28"/>
    <n v="14"/>
    <s v="Yes"/>
    <s v="No"/>
    <s v="Yes"/>
    <x v="2"/>
    <n v="581"/>
    <n v="1743"/>
    <n v="63931"/>
    <x v="0"/>
  </r>
  <r>
    <n v="35.863999999999997"/>
    <n v="4831"/>
    <n v="353"/>
    <n v="3"/>
    <n v="66"/>
    <n v="13"/>
    <s v="Yes"/>
    <s v="No"/>
    <s v="Yes"/>
    <x v="0"/>
    <n v="534"/>
    <n v="1602"/>
    <n v="35864"/>
    <x v="0"/>
  </r>
  <r>
    <n v="41.418999999999997"/>
    <n v="2120"/>
    <n v="184"/>
    <n v="4"/>
    <n v="24"/>
    <n v="11"/>
    <s v="Yes"/>
    <s v="Yes"/>
    <s v="No"/>
    <x v="0"/>
    <n v="156"/>
    <n v="624"/>
    <n v="41419"/>
    <x v="1"/>
  </r>
  <r>
    <n v="92.111999999999995"/>
    <n v="4612"/>
    <n v="344"/>
    <n v="3"/>
    <n v="32"/>
    <n v="17"/>
    <s v="No"/>
    <s v="No"/>
    <s v="No"/>
    <x v="0"/>
    <n v="0"/>
    <n v="0"/>
    <n v="92112"/>
    <x v="0"/>
  </r>
  <r>
    <n v="55.055999999999997"/>
    <n v="3155"/>
    <n v="235"/>
    <n v="2"/>
    <n v="31"/>
    <n v="16"/>
    <s v="No"/>
    <s v="No"/>
    <s v="Yes"/>
    <x v="2"/>
    <n v="0"/>
    <n v="0"/>
    <n v="55056"/>
    <x v="0"/>
  </r>
  <r>
    <n v="19.536999999999999"/>
    <n v="1362"/>
    <n v="143"/>
    <n v="4"/>
    <n v="34"/>
    <n v="9"/>
    <s v="Yes"/>
    <s v="No"/>
    <s v="Yes"/>
    <x v="1"/>
    <n v="0"/>
    <n v="0"/>
    <n v="19537"/>
    <x v="1"/>
  </r>
  <r>
    <n v="31.811"/>
    <n v="4284"/>
    <n v="338"/>
    <n v="5"/>
    <n v="75"/>
    <n v="13"/>
    <s v="Yes"/>
    <s v="No"/>
    <s v="Yes"/>
    <x v="0"/>
    <n v="429"/>
    <n v="2145"/>
    <n v="31811"/>
    <x v="1"/>
  </r>
  <r>
    <n v="56.256"/>
    <n v="5521"/>
    <n v="406"/>
    <n v="2"/>
    <n v="72"/>
    <n v="16"/>
    <s v="Yes"/>
    <s v="Yes"/>
    <s v="Yes"/>
    <x v="0"/>
    <n v="1020"/>
    <n v="2040"/>
    <n v="56256"/>
    <x v="0"/>
  </r>
  <r>
    <n v="42.356999999999999"/>
    <n v="5550"/>
    <n v="406"/>
    <n v="2"/>
    <n v="83"/>
    <n v="12"/>
    <s v="Yes"/>
    <s v="No"/>
    <s v="Yes"/>
    <x v="1"/>
    <n v="653"/>
    <n v="1306"/>
    <n v="42357"/>
    <x v="0"/>
  </r>
  <r>
    <n v="53.319000000000003"/>
    <n v="3000"/>
    <n v="235"/>
    <n v="3"/>
    <n v="53"/>
    <n v="13"/>
    <s v="No"/>
    <s v="No"/>
    <s v="No"/>
    <x v="1"/>
    <n v="0"/>
    <n v="0"/>
    <n v="53319"/>
    <x v="0"/>
  </r>
  <r>
    <n v="12.238"/>
    <n v="4865"/>
    <n v="381"/>
    <n v="5"/>
    <n v="67"/>
    <n v="11"/>
    <s v="Yes"/>
    <s v="No"/>
    <s v="No"/>
    <x v="0"/>
    <n v="836"/>
    <n v="4180"/>
    <n v="12238"/>
    <x v="1"/>
  </r>
  <r>
    <n v="31.353000000000002"/>
    <n v="1705"/>
    <n v="160"/>
    <n v="3"/>
    <n v="81"/>
    <n v="14"/>
    <s v="No"/>
    <s v="No"/>
    <s v="Yes"/>
    <x v="0"/>
    <n v="0"/>
    <n v="0"/>
    <n v="31353"/>
    <x v="0"/>
  </r>
  <r>
    <n v="63.808999999999997"/>
    <n v="7530"/>
    <n v="515"/>
    <n v="1"/>
    <n v="56"/>
    <n v="12"/>
    <s v="No"/>
    <s v="No"/>
    <s v="Yes"/>
    <x v="0"/>
    <n v="1086"/>
    <n v="1086"/>
    <n v="63809"/>
    <x v="0"/>
  </r>
  <r>
    <n v="13.676"/>
    <n v="2330"/>
    <n v="203"/>
    <n v="5"/>
    <n v="80"/>
    <n v="16"/>
    <s v="Yes"/>
    <s v="No"/>
    <s v="No"/>
    <x v="2"/>
    <n v="0"/>
    <n v="0"/>
    <n v="13676"/>
    <x v="1"/>
  </r>
  <r>
    <n v="76.781999999999996"/>
    <n v="5977"/>
    <n v="429"/>
    <n v="4"/>
    <n v="44"/>
    <n v="12"/>
    <s v="No"/>
    <s v="No"/>
    <s v="Yes"/>
    <x v="1"/>
    <n v="548"/>
    <n v="2192"/>
    <n v="76782"/>
    <x v="1"/>
  </r>
  <r>
    <n v="25.382999999999999"/>
    <n v="4527"/>
    <n v="367"/>
    <n v="4"/>
    <n v="46"/>
    <n v="11"/>
    <s v="No"/>
    <s v="No"/>
    <s v="Yes"/>
    <x v="0"/>
    <n v="570"/>
    <n v="2280"/>
    <n v="25383"/>
    <x v="1"/>
  </r>
  <r>
    <n v="35.691000000000003"/>
    <n v="2880"/>
    <n v="214"/>
    <n v="2"/>
    <n v="35"/>
    <n v="15"/>
    <s v="No"/>
    <s v="No"/>
    <s v="No"/>
    <x v="2"/>
    <n v="0"/>
    <n v="0"/>
    <n v="35691"/>
    <x v="0"/>
  </r>
  <r>
    <n v="29.402999999999999"/>
    <n v="2327"/>
    <n v="178"/>
    <n v="1"/>
    <n v="37"/>
    <n v="14"/>
    <s v="Yes"/>
    <s v="No"/>
    <s v="Yes"/>
    <x v="0"/>
    <n v="0"/>
    <n v="0"/>
    <n v="29403"/>
    <x v="0"/>
  </r>
  <r>
    <n v="27.47"/>
    <n v="2820"/>
    <n v="219"/>
    <n v="1"/>
    <n v="32"/>
    <n v="11"/>
    <s v="Yes"/>
    <s v="No"/>
    <s v="Yes"/>
    <x v="1"/>
    <n v="0"/>
    <n v="0"/>
    <n v="27470"/>
    <x v="0"/>
  </r>
  <r>
    <n v="27.33"/>
    <n v="6179"/>
    <n v="459"/>
    <n v="4"/>
    <n v="36"/>
    <n v="12"/>
    <s v="Yes"/>
    <s v="No"/>
    <s v="Yes"/>
    <x v="0"/>
    <n v="1099"/>
    <n v="4396"/>
    <n v="27330"/>
    <x v="1"/>
  </r>
  <r>
    <n v="34.771999999999998"/>
    <n v="2021"/>
    <n v="167"/>
    <n v="3"/>
    <n v="57"/>
    <n v="9"/>
    <s v="No"/>
    <s v="No"/>
    <s v="No"/>
    <x v="1"/>
    <n v="0"/>
    <n v="0"/>
    <n v="34772"/>
    <x v="0"/>
  </r>
  <r>
    <n v="36.933999999999997"/>
    <n v="4270"/>
    <n v="299"/>
    <n v="1"/>
    <n v="63"/>
    <n v="9"/>
    <s v="Yes"/>
    <s v="No"/>
    <s v="Yes"/>
    <x v="0"/>
    <n v="283"/>
    <n v="283"/>
    <n v="36934"/>
    <x v="0"/>
  </r>
  <r>
    <n v="76.347999999999999"/>
    <n v="4697"/>
    <n v="344"/>
    <n v="4"/>
    <n v="60"/>
    <n v="18"/>
    <s v="No"/>
    <s v="No"/>
    <s v="No"/>
    <x v="1"/>
    <n v="108"/>
    <n v="432"/>
    <n v="76348"/>
    <x v="1"/>
  </r>
  <r>
    <n v="14.887"/>
    <n v="4745"/>
    <n v="339"/>
    <n v="3"/>
    <n v="58"/>
    <n v="12"/>
    <s v="No"/>
    <s v="No"/>
    <s v="Yes"/>
    <x v="2"/>
    <n v="724"/>
    <n v="2172"/>
    <n v="14887"/>
    <x v="0"/>
  </r>
  <r>
    <n v="121.834"/>
    <n v="10673"/>
    <n v="750"/>
    <n v="3"/>
    <n v="54"/>
    <n v="16"/>
    <s v="No"/>
    <s v="No"/>
    <s v="No"/>
    <x v="2"/>
    <n v="1573"/>
    <n v="4719"/>
    <n v="121834"/>
    <x v="0"/>
  </r>
  <r>
    <n v="30.132000000000001"/>
    <n v="2168"/>
    <n v="206"/>
    <n v="3"/>
    <n v="52"/>
    <n v="17"/>
    <s v="No"/>
    <s v="No"/>
    <s v="No"/>
    <x v="0"/>
    <n v="0"/>
    <n v="0"/>
    <n v="30132"/>
    <x v="0"/>
  </r>
  <r>
    <n v="24.05"/>
    <n v="2607"/>
    <n v="221"/>
    <n v="4"/>
    <n v="32"/>
    <n v="18"/>
    <s v="No"/>
    <s v="No"/>
    <s v="Yes"/>
    <x v="0"/>
    <n v="0"/>
    <n v="0"/>
    <n v="24050"/>
    <x v="1"/>
  </r>
  <r>
    <n v="22.379000000000001"/>
    <n v="3965"/>
    <n v="292"/>
    <n v="2"/>
    <n v="34"/>
    <n v="14"/>
    <s v="Yes"/>
    <s v="No"/>
    <s v="Yes"/>
    <x v="1"/>
    <n v="384"/>
    <n v="768"/>
    <n v="22379"/>
    <x v="0"/>
  </r>
  <r>
    <n v="28.315999999999999"/>
    <n v="4391"/>
    <n v="316"/>
    <n v="2"/>
    <n v="29"/>
    <n v="10"/>
    <s v="Yes"/>
    <s v="No"/>
    <s v="No"/>
    <x v="0"/>
    <n v="453"/>
    <n v="906"/>
    <n v="28316"/>
    <x v="0"/>
  </r>
  <r>
    <n v="58.026000000000003"/>
    <n v="7499"/>
    <n v="560"/>
    <n v="5"/>
    <n v="67"/>
    <n v="11"/>
    <s v="Yes"/>
    <s v="No"/>
    <s v="No"/>
    <x v="0"/>
    <n v="1237"/>
    <n v="6185"/>
    <n v="58026"/>
    <x v="1"/>
  </r>
  <r>
    <n v="10.635"/>
    <n v="3584"/>
    <n v="294"/>
    <n v="5"/>
    <n v="69"/>
    <n v="16"/>
    <s v="No"/>
    <s v="No"/>
    <s v="Yes"/>
    <x v="1"/>
    <n v="423"/>
    <n v="2115"/>
    <n v="10635"/>
    <x v="1"/>
  </r>
  <r>
    <n v="46.101999999999997"/>
    <n v="5180"/>
    <n v="382"/>
    <n v="3"/>
    <n v="81"/>
    <n v="12"/>
    <s v="No"/>
    <s v="No"/>
    <s v="Yes"/>
    <x v="2"/>
    <n v="516"/>
    <n v="1548"/>
    <n v="46102"/>
    <x v="0"/>
  </r>
  <r>
    <n v="58.929000000000002"/>
    <n v="6420"/>
    <n v="459"/>
    <n v="2"/>
    <n v="66"/>
    <n v="9"/>
    <s v="Yes"/>
    <s v="No"/>
    <s v="Yes"/>
    <x v="2"/>
    <n v="789"/>
    <n v="1578"/>
    <n v="58929"/>
    <x v="0"/>
  </r>
  <r>
    <n v="80.861000000000004"/>
    <n v="4090"/>
    <n v="335"/>
    <n v="3"/>
    <n v="29"/>
    <n v="15"/>
    <s v="Yes"/>
    <s v="No"/>
    <s v="Yes"/>
    <x v="1"/>
    <n v="0"/>
    <n v="0"/>
    <n v="80861"/>
    <x v="0"/>
  </r>
  <r>
    <n v="158.88900000000001"/>
    <n v="11589"/>
    <n v="805"/>
    <n v="1"/>
    <n v="62"/>
    <n v="17"/>
    <s v="Yes"/>
    <s v="No"/>
    <s v="Yes"/>
    <x v="0"/>
    <n v="1448"/>
    <n v="1448"/>
    <n v="158889"/>
    <x v="0"/>
  </r>
  <r>
    <n v="30.42"/>
    <n v="4442"/>
    <n v="316"/>
    <n v="1"/>
    <n v="30"/>
    <n v="14"/>
    <s v="Yes"/>
    <s v="No"/>
    <s v="No"/>
    <x v="2"/>
    <n v="450"/>
    <n v="450"/>
    <n v="30420"/>
    <x v="0"/>
  </r>
  <r>
    <n v="36.472000000000001"/>
    <n v="3806"/>
    <n v="309"/>
    <n v="2"/>
    <n v="52"/>
    <n v="13"/>
    <s v="No"/>
    <s v="No"/>
    <s v="No"/>
    <x v="2"/>
    <n v="188"/>
    <n v="376"/>
    <n v="36472"/>
    <x v="0"/>
  </r>
  <r>
    <n v="23.364999999999998"/>
    <n v="2179"/>
    <n v="167"/>
    <n v="2"/>
    <n v="75"/>
    <n v="15"/>
    <s v="No"/>
    <s v="No"/>
    <s v="No"/>
    <x v="1"/>
    <n v="0"/>
    <n v="0"/>
    <n v="23365"/>
    <x v="0"/>
  </r>
  <r>
    <n v="83.869"/>
    <n v="7667"/>
    <n v="554"/>
    <n v="2"/>
    <n v="83"/>
    <n v="11"/>
    <s v="No"/>
    <s v="No"/>
    <s v="No"/>
    <x v="2"/>
    <n v="930"/>
    <n v="1860"/>
    <n v="83869"/>
    <x v="0"/>
  </r>
  <r>
    <n v="58.350999999999999"/>
    <n v="4411"/>
    <n v="326"/>
    <n v="2"/>
    <n v="85"/>
    <n v="16"/>
    <s v="Yes"/>
    <s v="No"/>
    <s v="Yes"/>
    <x v="0"/>
    <n v="126"/>
    <n v="252"/>
    <n v="58351"/>
    <x v="0"/>
  </r>
  <r>
    <n v="55.186999999999998"/>
    <n v="5352"/>
    <n v="385"/>
    <n v="4"/>
    <n v="50"/>
    <n v="17"/>
    <s v="Yes"/>
    <s v="No"/>
    <s v="Yes"/>
    <x v="0"/>
    <n v="538"/>
    <n v="2152"/>
    <n v="55187"/>
    <x v="1"/>
  </r>
  <r>
    <n v="124.29"/>
    <n v="9560"/>
    <n v="701"/>
    <n v="3"/>
    <n v="52"/>
    <n v="17"/>
    <s v="Yes"/>
    <s v="Yes"/>
    <s v="No"/>
    <x v="1"/>
    <n v="1687"/>
    <n v="5061"/>
    <n v="124290"/>
    <x v="0"/>
  </r>
  <r>
    <n v="28.507999999999999"/>
    <n v="3933"/>
    <n v="287"/>
    <n v="4"/>
    <n v="56"/>
    <n v="14"/>
    <s v="No"/>
    <s v="No"/>
    <s v="Yes"/>
    <x v="1"/>
    <n v="336"/>
    <n v="1344"/>
    <n v="28508"/>
    <x v="1"/>
  </r>
  <r>
    <n v="130.209"/>
    <n v="10088"/>
    <n v="730"/>
    <n v="7"/>
    <n v="39"/>
    <n v="19"/>
    <s v="Yes"/>
    <s v="No"/>
    <s v="Yes"/>
    <x v="0"/>
    <n v="1426"/>
    <n v="9982"/>
    <n v="130209"/>
    <x v="1"/>
  </r>
  <r>
    <n v="30.405999999999999"/>
    <n v="2120"/>
    <n v="181"/>
    <n v="2"/>
    <n v="79"/>
    <n v="14"/>
    <s v="No"/>
    <s v="No"/>
    <s v="Yes"/>
    <x v="2"/>
    <n v="0"/>
    <n v="0"/>
    <n v="30406"/>
    <x v="0"/>
  </r>
  <r>
    <n v="23.882999999999999"/>
    <n v="5384"/>
    <n v="398"/>
    <n v="2"/>
    <n v="73"/>
    <n v="16"/>
    <s v="Yes"/>
    <s v="No"/>
    <s v="Yes"/>
    <x v="2"/>
    <n v="802"/>
    <n v="1604"/>
    <n v="23883"/>
    <x v="0"/>
  </r>
  <r>
    <n v="93.039000000000001"/>
    <n v="7398"/>
    <n v="517"/>
    <n v="1"/>
    <n v="67"/>
    <n v="12"/>
    <s v="No"/>
    <s v="No"/>
    <s v="Yes"/>
    <x v="2"/>
    <n v="749"/>
    <n v="749"/>
    <n v="93039"/>
    <x v="0"/>
  </r>
  <r>
    <n v="50.698999999999998"/>
    <n v="3977"/>
    <n v="304"/>
    <n v="2"/>
    <n v="84"/>
    <n v="17"/>
    <s v="Yes"/>
    <s v="No"/>
    <s v="No"/>
    <x v="2"/>
    <n v="69"/>
    <n v="138"/>
    <n v="50699"/>
    <x v="0"/>
  </r>
  <r>
    <n v="27.349"/>
    <n v="2000"/>
    <n v="169"/>
    <n v="4"/>
    <n v="51"/>
    <n v="16"/>
    <s v="Yes"/>
    <s v="No"/>
    <s v="Yes"/>
    <x v="2"/>
    <n v="0"/>
    <n v="0"/>
    <n v="27349"/>
    <x v="1"/>
  </r>
  <r>
    <n v="10.403"/>
    <n v="4159"/>
    <n v="310"/>
    <n v="3"/>
    <n v="43"/>
    <n v="7"/>
    <s v="No"/>
    <s v="No"/>
    <s v="Yes"/>
    <x v="1"/>
    <n v="571"/>
    <n v="1713"/>
    <n v="10403"/>
    <x v="0"/>
  </r>
  <r>
    <n v="23.949000000000002"/>
    <n v="5343"/>
    <n v="383"/>
    <n v="2"/>
    <n v="40"/>
    <n v="18"/>
    <s v="No"/>
    <s v="No"/>
    <s v="Yes"/>
    <x v="2"/>
    <n v="829"/>
    <n v="1658"/>
    <n v="23949"/>
    <x v="0"/>
  </r>
  <r>
    <n v="73.914000000000001"/>
    <n v="7333"/>
    <n v="529"/>
    <n v="6"/>
    <n v="67"/>
    <n v="15"/>
    <s v="Yes"/>
    <s v="No"/>
    <s v="Yes"/>
    <x v="0"/>
    <n v="1048"/>
    <n v="6288"/>
    <n v="73914"/>
    <x v="1"/>
  </r>
  <r>
    <n v="21.038"/>
    <n v="1448"/>
    <n v="145"/>
    <n v="2"/>
    <n v="58"/>
    <n v="13"/>
    <s v="Yes"/>
    <s v="No"/>
    <s v="Yes"/>
    <x v="0"/>
    <n v="0"/>
    <n v="0"/>
    <n v="21038"/>
    <x v="0"/>
  </r>
  <r>
    <n v="68.206000000000003"/>
    <n v="6784"/>
    <n v="499"/>
    <n v="5"/>
    <n v="40"/>
    <n v="16"/>
    <s v="Yes"/>
    <s v="Yes"/>
    <s v="No"/>
    <x v="2"/>
    <n v="1411"/>
    <n v="7055"/>
    <n v="68206"/>
    <x v="1"/>
  </r>
  <r>
    <n v="57.337000000000003"/>
    <n v="5310"/>
    <n v="392"/>
    <n v="2"/>
    <n v="45"/>
    <n v="7"/>
    <s v="Yes"/>
    <s v="No"/>
    <s v="No"/>
    <x v="0"/>
    <n v="456"/>
    <n v="912"/>
    <n v="57337"/>
    <x v="0"/>
  </r>
  <r>
    <n v="10.792999999999999"/>
    <n v="3878"/>
    <n v="321"/>
    <n v="8"/>
    <n v="29"/>
    <n v="13"/>
    <s v="No"/>
    <s v="No"/>
    <s v="No"/>
    <x v="0"/>
    <n v="638"/>
    <n v="5104"/>
    <n v="10793"/>
    <x v="1"/>
  </r>
  <r>
    <n v="23.45"/>
    <n v="2450"/>
    <n v="180"/>
    <n v="2"/>
    <n v="78"/>
    <n v="13"/>
    <s v="No"/>
    <s v="No"/>
    <s v="No"/>
    <x v="0"/>
    <n v="0"/>
    <n v="0"/>
    <n v="23450"/>
    <x v="0"/>
  </r>
  <r>
    <n v="10.842000000000001"/>
    <n v="4391"/>
    <n v="358"/>
    <n v="5"/>
    <n v="37"/>
    <n v="10"/>
    <s v="Yes"/>
    <s v="Yes"/>
    <s v="Yes"/>
    <x v="0"/>
    <n v="1216"/>
    <n v="6080"/>
    <n v="10842"/>
    <x v="1"/>
  </r>
  <r>
    <n v="51.344999999999999"/>
    <n v="4327"/>
    <n v="320"/>
    <n v="3"/>
    <n v="46"/>
    <n v="15"/>
    <s v="No"/>
    <s v="No"/>
    <s v="No"/>
    <x v="2"/>
    <n v="230"/>
    <n v="690"/>
    <n v="51345"/>
    <x v="0"/>
  </r>
  <r>
    <n v="151.947"/>
    <n v="9156"/>
    <n v="642"/>
    <n v="2"/>
    <n v="91"/>
    <n v="11"/>
    <s v="Yes"/>
    <s v="No"/>
    <s v="Yes"/>
    <x v="2"/>
    <n v="732"/>
    <n v="1464"/>
    <n v="151947"/>
    <x v="0"/>
  </r>
  <r>
    <n v="24.542999999999999"/>
    <n v="3206"/>
    <n v="243"/>
    <n v="2"/>
    <n v="62"/>
    <n v="12"/>
    <s v="Yes"/>
    <s v="No"/>
    <s v="Yes"/>
    <x v="0"/>
    <n v="95"/>
    <n v="190"/>
    <n v="24543"/>
    <x v="0"/>
  </r>
  <r>
    <n v="29.567"/>
    <n v="5309"/>
    <n v="397"/>
    <n v="3"/>
    <n v="25"/>
    <n v="15"/>
    <s v="No"/>
    <s v="No"/>
    <s v="No"/>
    <x v="0"/>
    <n v="799"/>
    <n v="2397"/>
    <n v="29567"/>
    <x v="0"/>
  </r>
  <r>
    <n v="39.145000000000003"/>
    <n v="4351"/>
    <n v="323"/>
    <n v="2"/>
    <n v="66"/>
    <n v="13"/>
    <s v="No"/>
    <s v="No"/>
    <s v="Yes"/>
    <x v="0"/>
    <n v="308"/>
    <n v="616"/>
    <n v="39145"/>
    <x v="0"/>
  </r>
  <r>
    <n v="39.421999999999997"/>
    <n v="5245"/>
    <n v="383"/>
    <n v="2"/>
    <n v="44"/>
    <n v="19"/>
    <s v="No"/>
    <s v="No"/>
    <s v="No"/>
    <x v="2"/>
    <n v="637"/>
    <n v="1274"/>
    <n v="39422"/>
    <x v="0"/>
  </r>
  <r>
    <n v="34.908999999999999"/>
    <n v="5289"/>
    <n v="410"/>
    <n v="2"/>
    <n v="62"/>
    <n v="16"/>
    <s v="Yes"/>
    <s v="No"/>
    <s v="Yes"/>
    <x v="0"/>
    <n v="681"/>
    <n v="1362"/>
    <n v="34909"/>
    <x v="0"/>
  </r>
  <r>
    <n v="41.024999999999999"/>
    <n v="4229"/>
    <n v="337"/>
    <n v="3"/>
    <n v="79"/>
    <n v="19"/>
    <s v="Yes"/>
    <s v="No"/>
    <s v="Yes"/>
    <x v="0"/>
    <n v="246"/>
    <n v="738"/>
    <n v="41025"/>
    <x v="0"/>
  </r>
  <r>
    <n v="15.476000000000001"/>
    <n v="2762"/>
    <n v="215"/>
    <n v="3"/>
    <n v="60"/>
    <n v="18"/>
    <s v="No"/>
    <s v="No"/>
    <s v="No"/>
    <x v="1"/>
    <n v="52"/>
    <n v="156"/>
    <n v="15476"/>
    <x v="0"/>
  </r>
  <r>
    <n v="12.456"/>
    <n v="5395"/>
    <n v="392"/>
    <n v="3"/>
    <n v="65"/>
    <n v="14"/>
    <s v="No"/>
    <s v="No"/>
    <s v="Yes"/>
    <x v="0"/>
    <n v="955"/>
    <n v="2865"/>
    <n v="12456"/>
    <x v="0"/>
  </r>
  <r>
    <n v="10.627000000000001"/>
    <n v="1647"/>
    <n v="149"/>
    <n v="2"/>
    <n v="71"/>
    <n v="10"/>
    <s v="Yes"/>
    <s v="Yes"/>
    <s v="Yes"/>
    <x v="1"/>
    <n v="195"/>
    <n v="390"/>
    <n v="10627"/>
    <x v="0"/>
  </r>
  <r>
    <n v="38.954000000000001"/>
    <n v="5222"/>
    <n v="370"/>
    <n v="4"/>
    <n v="76"/>
    <n v="13"/>
    <s v="Yes"/>
    <s v="No"/>
    <s v="No"/>
    <x v="0"/>
    <n v="653"/>
    <n v="2612"/>
    <n v="38954"/>
    <x v="1"/>
  </r>
  <r>
    <n v="44.847000000000001"/>
    <n v="5765"/>
    <n v="437"/>
    <n v="3"/>
    <n v="53"/>
    <n v="13"/>
    <s v="Yes"/>
    <s v="Yes"/>
    <s v="No"/>
    <x v="1"/>
    <n v="1246"/>
    <n v="3738"/>
    <n v="44847"/>
    <x v="0"/>
  </r>
  <r>
    <n v="98.515000000000001"/>
    <n v="8760"/>
    <n v="633"/>
    <n v="5"/>
    <n v="78"/>
    <n v="11"/>
    <s v="Yes"/>
    <s v="No"/>
    <s v="No"/>
    <x v="2"/>
    <n v="1230"/>
    <n v="6150"/>
    <n v="98515"/>
    <x v="1"/>
  </r>
  <r>
    <n v="33.436999999999998"/>
    <n v="6207"/>
    <n v="451"/>
    <n v="4"/>
    <n v="44"/>
    <n v="9"/>
    <s v="No"/>
    <s v="Yes"/>
    <s v="No"/>
    <x v="0"/>
    <n v="1549"/>
    <n v="6196"/>
    <n v="33437"/>
    <x v="1"/>
  </r>
  <r>
    <n v="27.512"/>
    <n v="4613"/>
    <n v="344"/>
    <n v="5"/>
    <n v="72"/>
    <n v="17"/>
    <s v="No"/>
    <s v="No"/>
    <s v="Yes"/>
    <x v="1"/>
    <n v="573"/>
    <n v="2865"/>
    <n v="27512"/>
    <x v="1"/>
  </r>
  <r>
    <n v="121.709"/>
    <n v="7818"/>
    <n v="584"/>
    <n v="4"/>
    <n v="50"/>
    <n v="6"/>
    <s v="No"/>
    <s v="No"/>
    <s v="Yes"/>
    <x v="0"/>
    <n v="701"/>
    <n v="2804"/>
    <n v="121709"/>
    <x v="1"/>
  </r>
  <r>
    <n v="15.079000000000001"/>
    <n v="5673"/>
    <n v="411"/>
    <n v="4"/>
    <n v="28"/>
    <n v="15"/>
    <s v="Yes"/>
    <s v="No"/>
    <s v="Yes"/>
    <x v="1"/>
    <n v="1075"/>
    <n v="4300"/>
    <n v="15079"/>
    <x v="1"/>
  </r>
  <r>
    <n v="59.878999999999998"/>
    <n v="6906"/>
    <n v="527"/>
    <n v="6"/>
    <n v="78"/>
    <n v="15"/>
    <s v="Yes"/>
    <s v="No"/>
    <s v="No"/>
    <x v="0"/>
    <n v="1032"/>
    <n v="6192"/>
    <n v="59879"/>
    <x v="1"/>
  </r>
  <r>
    <n v="66.989000000000004"/>
    <n v="5614"/>
    <n v="430"/>
    <n v="3"/>
    <n v="47"/>
    <n v="14"/>
    <s v="Yes"/>
    <s v="No"/>
    <s v="Yes"/>
    <x v="0"/>
    <n v="482"/>
    <n v="1446"/>
    <n v="66989"/>
    <x v="0"/>
  </r>
  <r>
    <n v="69.165000000000006"/>
    <n v="4668"/>
    <n v="341"/>
    <n v="2"/>
    <n v="34"/>
    <n v="11"/>
    <s v="Yes"/>
    <s v="No"/>
    <s v="No"/>
    <x v="2"/>
    <n v="156"/>
    <n v="312"/>
    <n v="69165"/>
    <x v="0"/>
  </r>
  <r>
    <n v="69.942999999999998"/>
    <n v="7555"/>
    <n v="547"/>
    <n v="3"/>
    <n v="76"/>
    <n v="9"/>
    <s v="No"/>
    <s v="No"/>
    <s v="Yes"/>
    <x v="1"/>
    <n v="1058"/>
    <n v="3174"/>
    <n v="69943"/>
    <x v="0"/>
  </r>
  <r>
    <n v="33.213999999999999"/>
    <n v="5137"/>
    <n v="387"/>
    <n v="3"/>
    <n v="59"/>
    <n v="9"/>
    <s v="No"/>
    <s v="No"/>
    <s v="No"/>
    <x v="2"/>
    <n v="661"/>
    <n v="1983"/>
    <n v="33214"/>
    <x v="0"/>
  </r>
  <r>
    <n v="25.123999999999999"/>
    <n v="4776"/>
    <n v="378"/>
    <n v="4"/>
    <n v="29"/>
    <n v="12"/>
    <s v="No"/>
    <s v="No"/>
    <s v="Yes"/>
    <x v="0"/>
    <n v="657"/>
    <n v="2628"/>
    <n v="25124"/>
    <x v="1"/>
  </r>
  <r>
    <n v="15.741"/>
    <n v="4788"/>
    <n v="360"/>
    <n v="1"/>
    <n v="39"/>
    <n v="14"/>
    <s v="No"/>
    <s v="No"/>
    <s v="Yes"/>
    <x v="1"/>
    <n v="689"/>
    <n v="689"/>
    <n v="15741"/>
    <x v="0"/>
  </r>
  <r>
    <n v="11.603"/>
    <n v="2278"/>
    <n v="187"/>
    <n v="3"/>
    <n v="71"/>
    <n v="11"/>
    <s v="No"/>
    <s v="No"/>
    <s v="Yes"/>
    <x v="0"/>
    <n v="0"/>
    <n v="0"/>
    <n v="11603"/>
    <x v="0"/>
  </r>
  <r>
    <n v="69.656000000000006"/>
    <n v="8244"/>
    <n v="579"/>
    <n v="3"/>
    <n v="41"/>
    <n v="14"/>
    <s v="No"/>
    <s v="No"/>
    <s v="Yes"/>
    <x v="2"/>
    <n v="1329"/>
    <n v="3987"/>
    <n v="69656"/>
    <x v="0"/>
  </r>
  <r>
    <n v="10.503"/>
    <n v="2923"/>
    <n v="232"/>
    <n v="3"/>
    <n v="25"/>
    <n v="18"/>
    <s v="Yes"/>
    <s v="No"/>
    <s v="Yes"/>
    <x v="2"/>
    <n v="191"/>
    <n v="573"/>
    <n v="10503"/>
    <x v="0"/>
  </r>
  <r>
    <n v="42.529000000000003"/>
    <n v="4986"/>
    <n v="369"/>
    <n v="2"/>
    <n v="37"/>
    <n v="11"/>
    <s v="No"/>
    <s v="No"/>
    <s v="Yes"/>
    <x v="1"/>
    <n v="489"/>
    <n v="978"/>
    <n v="42529"/>
    <x v="0"/>
  </r>
  <r>
    <n v="60.579000000000001"/>
    <n v="5149"/>
    <n v="388"/>
    <n v="5"/>
    <n v="38"/>
    <n v="15"/>
    <s v="No"/>
    <s v="No"/>
    <s v="Yes"/>
    <x v="1"/>
    <n v="443"/>
    <n v="2215"/>
    <n v="60579"/>
    <x v="1"/>
  </r>
  <r>
    <n v="26.532"/>
    <n v="2910"/>
    <n v="236"/>
    <n v="6"/>
    <n v="58"/>
    <n v="19"/>
    <s v="Yes"/>
    <s v="No"/>
    <s v="Yes"/>
    <x v="0"/>
    <n v="52"/>
    <n v="312"/>
    <n v="26532"/>
    <x v="1"/>
  </r>
  <r>
    <n v="27.952000000000002"/>
    <n v="3557"/>
    <n v="263"/>
    <n v="1"/>
    <n v="35"/>
    <n v="13"/>
    <s v="Yes"/>
    <s v="No"/>
    <s v="Yes"/>
    <x v="1"/>
    <n v="163"/>
    <n v="163"/>
    <n v="27952"/>
    <x v="0"/>
  </r>
  <r>
    <n v="29.704999999999998"/>
    <n v="3351"/>
    <n v="262"/>
    <n v="5"/>
    <n v="71"/>
    <n v="14"/>
    <s v="Yes"/>
    <s v="No"/>
    <s v="Yes"/>
    <x v="1"/>
    <n v="148"/>
    <n v="740"/>
    <n v="29705"/>
    <x v="1"/>
  </r>
  <r>
    <n v="15.602"/>
    <n v="906"/>
    <n v="103"/>
    <n v="2"/>
    <n v="36"/>
    <n v="11"/>
    <s v="No"/>
    <s v="No"/>
    <s v="Yes"/>
    <x v="2"/>
    <n v="0"/>
    <n v="0"/>
    <n v="15602"/>
    <x v="0"/>
  </r>
  <r>
    <n v="20.917999999999999"/>
    <n v="1233"/>
    <n v="128"/>
    <n v="3"/>
    <n v="47"/>
    <n v="18"/>
    <s v="Yes"/>
    <s v="Yes"/>
    <s v="Yes"/>
    <x v="1"/>
    <n v="16"/>
    <n v="48"/>
    <n v="20918"/>
    <x v="0"/>
  </r>
  <r>
    <n v="58.164999999999999"/>
    <n v="6617"/>
    <n v="460"/>
    <n v="1"/>
    <n v="56"/>
    <n v="12"/>
    <s v="Yes"/>
    <s v="No"/>
    <s v="Yes"/>
    <x v="0"/>
    <n v="856"/>
    <n v="856"/>
    <n v="58165"/>
    <x v="0"/>
  </r>
  <r>
    <n v="22.561"/>
    <n v="1787"/>
    <n v="147"/>
    <n v="4"/>
    <n v="66"/>
    <n v="15"/>
    <s v="Yes"/>
    <s v="No"/>
    <s v="No"/>
    <x v="0"/>
    <n v="0"/>
    <n v="0"/>
    <n v="22561"/>
    <x v="1"/>
  </r>
  <r>
    <n v="34.509"/>
    <n v="2001"/>
    <n v="189"/>
    <n v="5"/>
    <n v="80"/>
    <n v="18"/>
    <s v="Yes"/>
    <s v="No"/>
    <s v="Yes"/>
    <x v="2"/>
    <n v="0"/>
    <n v="0"/>
    <n v="34509"/>
    <x v="1"/>
  </r>
  <r>
    <n v="19.588000000000001"/>
    <n v="3211"/>
    <n v="265"/>
    <n v="4"/>
    <n v="59"/>
    <n v="14"/>
    <s v="Yes"/>
    <s v="No"/>
    <s v="No"/>
    <x v="1"/>
    <n v="199"/>
    <n v="796"/>
    <n v="19588"/>
    <x v="1"/>
  </r>
  <r>
    <n v="36.363999999999997"/>
    <n v="2220"/>
    <n v="188"/>
    <n v="3"/>
    <n v="50"/>
    <n v="19"/>
    <s v="No"/>
    <s v="No"/>
    <s v="No"/>
    <x v="0"/>
    <n v="0"/>
    <n v="0"/>
    <n v="36364"/>
    <x v="0"/>
  </r>
  <r>
    <n v="15.717000000000001"/>
    <n v="905"/>
    <n v="93"/>
    <n v="1"/>
    <n v="38"/>
    <n v="16"/>
    <s v="No"/>
    <s v="Yes"/>
    <s v="Yes"/>
    <x v="0"/>
    <n v="0"/>
    <n v="0"/>
    <n v="15717"/>
    <x v="0"/>
  </r>
  <r>
    <n v="22.574000000000002"/>
    <n v="1551"/>
    <n v="134"/>
    <n v="3"/>
    <n v="43"/>
    <n v="13"/>
    <s v="Yes"/>
    <s v="Yes"/>
    <s v="Yes"/>
    <x v="0"/>
    <n v="98"/>
    <n v="294"/>
    <n v="22574"/>
    <x v="0"/>
  </r>
  <r>
    <n v="10.363"/>
    <n v="2430"/>
    <n v="191"/>
    <n v="2"/>
    <n v="47"/>
    <n v="18"/>
    <s v="Yes"/>
    <s v="No"/>
    <s v="Yes"/>
    <x v="1"/>
    <n v="0"/>
    <n v="0"/>
    <n v="10363"/>
    <x v="0"/>
  </r>
  <r>
    <n v="28.474"/>
    <n v="3202"/>
    <n v="267"/>
    <n v="5"/>
    <n v="66"/>
    <n v="12"/>
    <s v="No"/>
    <s v="No"/>
    <s v="Yes"/>
    <x v="0"/>
    <n v="132"/>
    <n v="660"/>
    <n v="28474"/>
    <x v="1"/>
  </r>
  <r>
    <n v="72.944999999999993"/>
    <n v="8603"/>
    <n v="621"/>
    <n v="3"/>
    <n v="64"/>
    <n v="8"/>
    <s v="Yes"/>
    <s v="No"/>
    <s v="No"/>
    <x v="0"/>
    <n v="1355"/>
    <n v="4065"/>
    <n v="72945"/>
    <x v="0"/>
  </r>
  <r>
    <n v="85.424999999999997"/>
    <n v="5182"/>
    <n v="402"/>
    <n v="6"/>
    <n v="60"/>
    <n v="12"/>
    <s v="No"/>
    <s v="No"/>
    <s v="Yes"/>
    <x v="2"/>
    <n v="218"/>
    <n v="1308"/>
    <n v="85425"/>
    <x v="1"/>
  </r>
  <r>
    <n v="36.508000000000003"/>
    <n v="6386"/>
    <n v="469"/>
    <n v="4"/>
    <n v="79"/>
    <n v="6"/>
    <s v="Yes"/>
    <s v="No"/>
    <s v="Yes"/>
    <x v="0"/>
    <n v="1048"/>
    <n v="4192"/>
    <n v="36508"/>
    <x v="1"/>
  </r>
  <r>
    <n v="58.063000000000002"/>
    <n v="4221"/>
    <n v="304"/>
    <n v="3"/>
    <n v="50"/>
    <n v="8"/>
    <s v="No"/>
    <s v="No"/>
    <s v="No"/>
    <x v="2"/>
    <n v="118"/>
    <n v="354"/>
    <n v="58063"/>
    <x v="0"/>
  </r>
  <r>
    <n v="25.936"/>
    <n v="1774"/>
    <n v="135"/>
    <n v="2"/>
    <n v="71"/>
    <n v="14"/>
    <s v="Yes"/>
    <s v="No"/>
    <s v="No"/>
    <x v="1"/>
    <n v="0"/>
    <n v="0"/>
    <n v="25936"/>
    <x v="0"/>
  </r>
  <r>
    <n v="15.629"/>
    <n v="2493"/>
    <n v="186"/>
    <n v="1"/>
    <n v="60"/>
    <n v="14"/>
    <s v="No"/>
    <s v="No"/>
    <s v="Yes"/>
    <x v="1"/>
    <n v="0"/>
    <n v="0"/>
    <n v="15629"/>
    <x v="0"/>
  </r>
  <r>
    <n v="41.4"/>
    <n v="2561"/>
    <n v="215"/>
    <n v="2"/>
    <n v="36"/>
    <n v="14"/>
    <s v="No"/>
    <s v="No"/>
    <s v="Yes"/>
    <x v="0"/>
    <n v="0"/>
    <n v="0"/>
    <n v="41400"/>
    <x v="0"/>
  </r>
  <r>
    <n v="33.656999999999996"/>
    <n v="6196"/>
    <n v="450"/>
    <n v="6"/>
    <n v="55"/>
    <n v="9"/>
    <s v="Yes"/>
    <s v="No"/>
    <s v="No"/>
    <x v="0"/>
    <n v="1092"/>
    <n v="6552"/>
    <n v="33657"/>
    <x v="1"/>
  </r>
  <r>
    <n v="67.936999999999998"/>
    <n v="5184"/>
    <n v="383"/>
    <n v="4"/>
    <n v="63"/>
    <n v="12"/>
    <s v="No"/>
    <s v="No"/>
    <s v="Yes"/>
    <x v="1"/>
    <n v="345"/>
    <n v="1380"/>
    <n v="67937"/>
    <x v="1"/>
  </r>
  <r>
    <n v="180.37899999999999"/>
    <n v="9310"/>
    <n v="665"/>
    <n v="3"/>
    <n v="67"/>
    <n v="8"/>
    <s v="Yes"/>
    <s v="Yes"/>
    <s v="Yes"/>
    <x v="1"/>
    <n v="1050"/>
    <n v="3150"/>
    <n v="180379"/>
    <x v="0"/>
  </r>
  <r>
    <n v="10.587999999999999"/>
    <n v="4049"/>
    <n v="296"/>
    <n v="1"/>
    <n v="66"/>
    <n v="13"/>
    <s v="Yes"/>
    <s v="No"/>
    <s v="Yes"/>
    <x v="0"/>
    <n v="465"/>
    <n v="465"/>
    <n v="10588"/>
    <x v="0"/>
  </r>
  <r>
    <n v="29.725000000000001"/>
    <n v="3536"/>
    <n v="270"/>
    <n v="2"/>
    <n v="52"/>
    <n v="15"/>
    <s v="Yes"/>
    <s v="No"/>
    <s v="No"/>
    <x v="2"/>
    <n v="133"/>
    <n v="266"/>
    <n v="29725"/>
    <x v="0"/>
  </r>
  <r>
    <n v="27.998999999999999"/>
    <n v="5107"/>
    <n v="380"/>
    <n v="1"/>
    <n v="55"/>
    <n v="10"/>
    <s v="No"/>
    <s v="No"/>
    <s v="Yes"/>
    <x v="0"/>
    <n v="651"/>
    <n v="651"/>
    <n v="27999"/>
    <x v="0"/>
  </r>
  <r>
    <n v="40.884999999999998"/>
    <n v="5013"/>
    <n v="379"/>
    <n v="3"/>
    <n v="46"/>
    <n v="13"/>
    <s v="Yes"/>
    <s v="No"/>
    <s v="Yes"/>
    <x v="2"/>
    <n v="549"/>
    <n v="1647"/>
    <n v="40885"/>
    <x v="0"/>
  </r>
  <r>
    <n v="88.83"/>
    <n v="4952"/>
    <n v="360"/>
    <n v="4"/>
    <n v="86"/>
    <n v="16"/>
    <s v="Yes"/>
    <s v="No"/>
    <s v="Yes"/>
    <x v="0"/>
    <n v="15"/>
    <n v="60"/>
    <n v="88830"/>
    <x v="1"/>
  </r>
  <r>
    <n v="29.638000000000002"/>
    <n v="5833"/>
    <n v="433"/>
    <n v="3"/>
    <n v="29"/>
    <n v="15"/>
    <s v="Yes"/>
    <s v="No"/>
    <s v="Yes"/>
    <x v="1"/>
    <n v="942"/>
    <n v="2826"/>
    <n v="29638"/>
    <x v="0"/>
  </r>
  <r>
    <n v="25.988"/>
    <n v="1349"/>
    <n v="142"/>
    <n v="4"/>
    <n v="82"/>
    <n v="12"/>
    <s v="No"/>
    <s v="No"/>
    <s v="No"/>
    <x v="0"/>
    <n v="0"/>
    <n v="0"/>
    <n v="25988"/>
    <x v="1"/>
  </r>
  <r>
    <n v="39.055"/>
    <n v="5565"/>
    <n v="410"/>
    <n v="4"/>
    <n v="48"/>
    <n v="18"/>
    <s v="Yes"/>
    <s v="No"/>
    <s v="Yes"/>
    <x v="0"/>
    <n v="772"/>
    <n v="3088"/>
    <n v="39055"/>
    <x v="1"/>
  </r>
  <r>
    <n v="15.866"/>
    <n v="3085"/>
    <n v="217"/>
    <n v="1"/>
    <n v="39"/>
    <n v="13"/>
    <s v="No"/>
    <s v="No"/>
    <s v="No"/>
    <x v="0"/>
    <n v="136"/>
    <n v="136"/>
    <n v="15866"/>
    <x v="0"/>
  </r>
  <r>
    <n v="44.978000000000002"/>
    <n v="4866"/>
    <n v="347"/>
    <n v="1"/>
    <n v="30"/>
    <n v="10"/>
    <s v="Yes"/>
    <s v="No"/>
    <s v="No"/>
    <x v="0"/>
    <n v="436"/>
    <n v="436"/>
    <n v="44978"/>
    <x v="0"/>
  </r>
  <r>
    <n v="30.413"/>
    <n v="3690"/>
    <n v="299"/>
    <n v="2"/>
    <n v="25"/>
    <n v="15"/>
    <s v="Yes"/>
    <s v="Yes"/>
    <s v="No"/>
    <x v="1"/>
    <n v="728"/>
    <n v="1456"/>
    <n v="30413"/>
    <x v="0"/>
  </r>
  <r>
    <n v="16.751000000000001"/>
    <n v="4706"/>
    <n v="353"/>
    <n v="6"/>
    <n v="48"/>
    <n v="14"/>
    <s v="No"/>
    <s v="Yes"/>
    <s v="No"/>
    <x v="1"/>
    <n v="1255"/>
    <n v="7530"/>
    <n v="16751"/>
    <x v="1"/>
  </r>
  <r>
    <n v="30.55"/>
    <n v="5869"/>
    <n v="439"/>
    <n v="5"/>
    <n v="81"/>
    <n v="9"/>
    <s v="Yes"/>
    <s v="No"/>
    <s v="No"/>
    <x v="2"/>
    <n v="967"/>
    <n v="4835"/>
    <n v="30550"/>
    <x v="1"/>
  </r>
  <r>
    <n v="163.32900000000001"/>
    <n v="8732"/>
    <n v="636"/>
    <n v="3"/>
    <n v="50"/>
    <n v="14"/>
    <s v="No"/>
    <s v="No"/>
    <s v="Yes"/>
    <x v="0"/>
    <n v="529"/>
    <n v="1587"/>
    <n v="163329"/>
    <x v="0"/>
  </r>
  <r>
    <n v="23.106000000000002"/>
    <n v="3476"/>
    <n v="257"/>
    <n v="2"/>
    <n v="50"/>
    <n v="15"/>
    <s v="Yes"/>
    <s v="No"/>
    <s v="No"/>
    <x v="0"/>
    <n v="209"/>
    <n v="418"/>
    <n v="23106"/>
    <x v="0"/>
  </r>
  <r>
    <n v="41.531999999999996"/>
    <n v="5000"/>
    <n v="353"/>
    <n v="2"/>
    <n v="50"/>
    <n v="12"/>
    <s v="No"/>
    <s v="No"/>
    <s v="Yes"/>
    <x v="0"/>
    <n v="531"/>
    <n v="1062"/>
    <n v="41532"/>
    <x v="0"/>
  </r>
  <r>
    <n v="128.04"/>
    <n v="6982"/>
    <n v="518"/>
    <n v="2"/>
    <n v="78"/>
    <n v="11"/>
    <s v="Yes"/>
    <s v="No"/>
    <s v="Yes"/>
    <x v="0"/>
    <n v="250"/>
    <n v="500"/>
    <n v="128039.99999999999"/>
    <x v="0"/>
  </r>
  <r>
    <n v="54.319000000000003"/>
    <n v="3063"/>
    <n v="248"/>
    <n v="3"/>
    <n v="59"/>
    <n v="8"/>
    <s v="Yes"/>
    <s v="Yes"/>
    <s v="No"/>
    <x v="0"/>
    <n v="269"/>
    <n v="807"/>
    <n v="54319"/>
    <x v="0"/>
  </r>
  <r>
    <n v="53.401000000000003"/>
    <n v="5319"/>
    <n v="377"/>
    <n v="3"/>
    <n v="35"/>
    <n v="12"/>
    <s v="Yes"/>
    <s v="No"/>
    <s v="No"/>
    <x v="2"/>
    <n v="541"/>
    <n v="1623"/>
    <n v="53401"/>
    <x v="0"/>
  </r>
  <r>
    <n v="36.142000000000003"/>
    <n v="1852"/>
    <n v="183"/>
    <n v="3"/>
    <n v="33"/>
    <n v="13"/>
    <s v="Yes"/>
    <s v="No"/>
    <s v="No"/>
    <x v="2"/>
    <n v="0"/>
    <n v="0"/>
    <n v="36142"/>
    <x v="0"/>
  </r>
  <r>
    <n v="63.533999999999999"/>
    <n v="8100"/>
    <n v="581"/>
    <n v="2"/>
    <n v="50"/>
    <n v="17"/>
    <s v="Yes"/>
    <s v="No"/>
    <s v="Yes"/>
    <x v="0"/>
    <n v="1298"/>
    <n v="2596"/>
    <n v="63534"/>
    <x v="0"/>
  </r>
  <r>
    <n v="49.927"/>
    <n v="6396"/>
    <n v="485"/>
    <n v="3"/>
    <n v="75"/>
    <n v="17"/>
    <s v="Yes"/>
    <s v="No"/>
    <s v="Yes"/>
    <x v="0"/>
    <n v="890"/>
    <n v="2670"/>
    <n v="49927"/>
    <x v="0"/>
  </r>
  <r>
    <n v="14.711"/>
    <n v="2047"/>
    <n v="167"/>
    <n v="2"/>
    <n v="67"/>
    <n v="6"/>
    <s v="No"/>
    <s v="No"/>
    <s v="Yes"/>
    <x v="0"/>
    <n v="0"/>
    <n v="0"/>
    <n v="14711"/>
    <x v="0"/>
  </r>
  <r>
    <n v="18.966999999999999"/>
    <n v="1626"/>
    <n v="156"/>
    <n v="2"/>
    <n v="41"/>
    <n v="11"/>
    <s v="Yes"/>
    <s v="No"/>
    <s v="Yes"/>
    <x v="1"/>
    <n v="0"/>
    <n v="0"/>
    <n v="18967"/>
    <x v="0"/>
  </r>
  <r>
    <n v="18.036000000000001"/>
    <n v="1552"/>
    <n v="142"/>
    <n v="2"/>
    <n v="48"/>
    <n v="15"/>
    <s v="Yes"/>
    <s v="No"/>
    <s v="No"/>
    <x v="0"/>
    <n v="0"/>
    <n v="0"/>
    <n v="18036"/>
    <x v="0"/>
  </r>
  <r>
    <n v="60.448999999999998"/>
    <n v="3098"/>
    <n v="272"/>
    <n v="4"/>
    <n v="69"/>
    <n v="8"/>
    <s v="No"/>
    <s v="No"/>
    <s v="Yes"/>
    <x v="0"/>
    <n v="0"/>
    <n v="0"/>
    <n v="60449"/>
    <x v="1"/>
  </r>
  <r>
    <n v="16.710999999999999"/>
    <n v="5274"/>
    <n v="387"/>
    <n v="3"/>
    <n v="42"/>
    <n v="16"/>
    <s v="Yes"/>
    <s v="No"/>
    <s v="Yes"/>
    <x v="1"/>
    <n v="863"/>
    <n v="2589"/>
    <n v="16711"/>
    <x v="0"/>
  </r>
  <r>
    <n v="10.852"/>
    <n v="3907"/>
    <n v="296"/>
    <n v="2"/>
    <n v="30"/>
    <n v="9"/>
    <s v="No"/>
    <s v="No"/>
    <s v="No"/>
    <x v="0"/>
    <n v="485"/>
    <n v="970"/>
    <n v="10852"/>
    <x v="0"/>
  </r>
  <r>
    <n v="26.37"/>
    <n v="3235"/>
    <n v="268"/>
    <n v="5"/>
    <n v="78"/>
    <n v="11"/>
    <s v="No"/>
    <s v="No"/>
    <s v="Yes"/>
    <x v="1"/>
    <n v="159"/>
    <n v="795"/>
    <n v="26370"/>
    <x v="1"/>
  </r>
  <r>
    <n v="24.088000000000001"/>
    <n v="3665"/>
    <n v="287"/>
    <n v="4"/>
    <n v="56"/>
    <n v="13"/>
    <s v="Yes"/>
    <s v="No"/>
    <s v="Yes"/>
    <x v="0"/>
    <n v="309"/>
    <n v="1236"/>
    <n v="24088"/>
    <x v="1"/>
  </r>
  <r>
    <n v="51.531999999999996"/>
    <n v="5096"/>
    <n v="380"/>
    <n v="2"/>
    <n v="31"/>
    <n v="15"/>
    <s v="No"/>
    <s v="No"/>
    <s v="Yes"/>
    <x v="0"/>
    <n v="481"/>
    <n v="962"/>
    <n v="51532"/>
    <x v="0"/>
  </r>
  <r>
    <n v="140.672"/>
    <n v="11200"/>
    <n v="817"/>
    <n v="7"/>
    <n v="46"/>
    <n v="9"/>
    <s v="No"/>
    <s v="No"/>
    <s v="Yes"/>
    <x v="2"/>
    <n v="1677"/>
    <n v="11739"/>
    <n v="140672"/>
    <x v="1"/>
  </r>
  <r>
    <n v="42.914999999999999"/>
    <n v="2532"/>
    <n v="205"/>
    <n v="4"/>
    <n v="42"/>
    <n v="13"/>
    <s v="No"/>
    <s v="No"/>
    <s v="Yes"/>
    <x v="1"/>
    <n v="0"/>
    <n v="0"/>
    <n v="42915"/>
    <x v="1"/>
  </r>
  <r>
    <n v="27.271999999999998"/>
    <n v="1389"/>
    <n v="149"/>
    <n v="5"/>
    <n v="67"/>
    <n v="10"/>
    <s v="Yes"/>
    <s v="No"/>
    <s v="Yes"/>
    <x v="0"/>
    <n v="0"/>
    <n v="0"/>
    <n v="27272"/>
    <x v="1"/>
  </r>
  <r>
    <n v="65.896000000000001"/>
    <n v="5140"/>
    <n v="370"/>
    <n v="1"/>
    <n v="49"/>
    <n v="17"/>
    <s v="Yes"/>
    <s v="No"/>
    <s v="Yes"/>
    <x v="0"/>
    <n v="293"/>
    <n v="293"/>
    <n v="65896"/>
    <x v="0"/>
  </r>
  <r>
    <n v="55.054000000000002"/>
    <n v="4381"/>
    <n v="321"/>
    <n v="3"/>
    <n v="74"/>
    <n v="17"/>
    <s v="No"/>
    <s v="No"/>
    <s v="Yes"/>
    <x v="1"/>
    <n v="188"/>
    <n v="564"/>
    <n v="55054"/>
    <x v="0"/>
  </r>
  <r>
    <n v="20.791"/>
    <n v="2672"/>
    <n v="204"/>
    <n v="1"/>
    <n v="70"/>
    <n v="18"/>
    <s v="Yes"/>
    <s v="No"/>
    <s v="No"/>
    <x v="2"/>
    <n v="0"/>
    <n v="0"/>
    <n v="20791"/>
    <x v="0"/>
  </r>
  <r>
    <n v="24.919"/>
    <n v="5051"/>
    <n v="372"/>
    <n v="3"/>
    <n v="76"/>
    <n v="11"/>
    <s v="Yes"/>
    <s v="No"/>
    <s v="Yes"/>
    <x v="2"/>
    <n v="711"/>
    <n v="2133"/>
    <n v="24919"/>
    <x v="0"/>
  </r>
  <r>
    <n v="21.786000000000001"/>
    <n v="4632"/>
    <n v="355"/>
    <n v="1"/>
    <n v="50"/>
    <n v="17"/>
    <s v="No"/>
    <s v="No"/>
    <s v="Yes"/>
    <x v="0"/>
    <n v="580"/>
    <n v="580"/>
    <n v="21786"/>
    <x v="0"/>
  </r>
  <r>
    <n v="31.335000000000001"/>
    <n v="3526"/>
    <n v="289"/>
    <n v="3"/>
    <n v="38"/>
    <n v="7"/>
    <s v="Yes"/>
    <s v="No"/>
    <s v="No"/>
    <x v="0"/>
    <n v="172"/>
    <n v="516"/>
    <n v="31335"/>
    <x v="0"/>
  </r>
  <r>
    <n v="59.854999999999997"/>
    <n v="4964"/>
    <n v="365"/>
    <n v="1"/>
    <n v="46"/>
    <n v="13"/>
    <s v="Yes"/>
    <s v="No"/>
    <s v="Yes"/>
    <x v="0"/>
    <n v="295"/>
    <n v="295"/>
    <n v="59855"/>
    <x v="0"/>
  </r>
  <r>
    <n v="44.061"/>
    <n v="4970"/>
    <n v="352"/>
    <n v="1"/>
    <n v="79"/>
    <n v="11"/>
    <s v="No"/>
    <s v="No"/>
    <s v="Yes"/>
    <x v="2"/>
    <n v="414"/>
    <n v="414"/>
    <n v="44061"/>
    <x v="0"/>
  </r>
  <r>
    <n v="82.706000000000003"/>
    <n v="7506"/>
    <n v="536"/>
    <n v="2"/>
    <n v="64"/>
    <n v="13"/>
    <s v="Yes"/>
    <s v="No"/>
    <s v="Yes"/>
    <x v="1"/>
    <n v="905"/>
    <n v="1810"/>
    <n v="82706"/>
    <x v="0"/>
  </r>
  <r>
    <n v="24.46"/>
    <n v="1924"/>
    <n v="165"/>
    <n v="2"/>
    <n v="50"/>
    <n v="14"/>
    <s v="Yes"/>
    <s v="No"/>
    <s v="Yes"/>
    <x v="1"/>
    <n v="0"/>
    <n v="0"/>
    <n v="24460"/>
    <x v="0"/>
  </r>
  <r>
    <n v="45.12"/>
    <n v="3762"/>
    <n v="287"/>
    <n v="3"/>
    <n v="80"/>
    <n v="8"/>
    <s v="No"/>
    <s v="No"/>
    <s v="Yes"/>
    <x v="0"/>
    <n v="70"/>
    <n v="210"/>
    <n v="45120"/>
    <x v="0"/>
  </r>
  <r>
    <n v="75.406000000000006"/>
    <n v="3874"/>
    <n v="298"/>
    <n v="3"/>
    <n v="41"/>
    <n v="14"/>
    <s v="Yes"/>
    <s v="No"/>
    <s v="Yes"/>
    <x v="1"/>
    <n v="0"/>
    <n v="0"/>
    <n v="75406"/>
    <x v="0"/>
  </r>
  <r>
    <n v="14.956"/>
    <n v="4640"/>
    <n v="332"/>
    <n v="2"/>
    <n v="33"/>
    <n v="6"/>
    <s v="No"/>
    <s v="No"/>
    <s v="No"/>
    <x v="1"/>
    <n v="681"/>
    <n v="1362"/>
    <n v="14956"/>
    <x v="0"/>
  </r>
  <r>
    <n v="75.257000000000005"/>
    <n v="7010"/>
    <n v="494"/>
    <n v="3"/>
    <n v="34"/>
    <n v="18"/>
    <s v="Yes"/>
    <s v="No"/>
    <s v="Yes"/>
    <x v="0"/>
    <n v="885"/>
    <n v="2655"/>
    <n v="75257"/>
    <x v="0"/>
  </r>
  <r>
    <n v="33.694000000000003"/>
    <n v="4891"/>
    <n v="369"/>
    <n v="1"/>
    <n v="52"/>
    <n v="16"/>
    <s v="No"/>
    <s v="Yes"/>
    <s v="No"/>
    <x v="2"/>
    <n v="1036"/>
    <n v="1036"/>
    <n v="33694"/>
    <x v="0"/>
  </r>
  <r>
    <n v="23.375"/>
    <n v="5429"/>
    <n v="396"/>
    <n v="3"/>
    <n v="57"/>
    <n v="15"/>
    <s v="Yes"/>
    <s v="No"/>
    <s v="Yes"/>
    <x v="0"/>
    <n v="844"/>
    <n v="2532"/>
    <n v="23375"/>
    <x v="0"/>
  </r>
  <r>
    <n v="27.824999999999999"/>
    <n v="5227"/>
    <n v="386"/>
    <n v="6"/>
    <n v="63"/>
    <n v="11"/>
    <s v="No"/>
    <s v="No"/>
    <s v="Yes"/>
    <x v="0"/>
    <n v="823"/>
    <n v="4938"/>
    <n v="27825"/>
    <x v="1"/>
  </r>
  <r>
    <n v="92.385999999999996"/>
    <n v="7685"/>
    <n v="534"/>
    <n v="2"/>
    <n v="75"/>
    <n v="18"/>
    <s v="Yes"/>
    <s v="No"/>
    <s v="Yes"/>
    <x v="1"/>
    <n v="843"/>
    <n v="1686"/>
    <n v="92386"/>
    <x v="0"/>
  </r>
  <r>
    <n v="115.52"/>
    <n v="9272"/>
    <n v="656"/>
    <n v="2"/>
    <n v="69"/>
    <n v="14"/>
    <s v="No"/>
    <s v="No"/>
    <s v="No"/>
    <x v="2"/>
    <n v="1140"/>
    <n v="2280"/>
    <n v="115520"/>
    <x v="0"/>
  </r>
  <r>
    <n v="14.478999999999999"/>
    <n v="3907"/>
    <n v="296"/>
    <n v="3"/>
    <n v="43"/>
    <n v="16"/>
    <s v="No"/>
    <s v="No"/>
    <s v="Yes"/>
    <x v="0"/>
    <n v="463"/>
    <n v="1389"/>
    <n v="14479"/>
    <x v="0"/>
  </r>
  <r>
    <n v="52.179000000000002"/>
    <n v="7306"/>
    <n v="522"/>
    <n v="2"/>
    <n v="57"/>
    <n v="14"/>
    <s v="No"/>
    <s v="No"/>
    <s v="No"/>
    <x v="1"/>
    <n v="1142"/>
    <n v="2284"/>
    <n v="52179"/>
    <x v="0"/>
  </r>
  <r>
    <n v="68.462000000000003"/>
    <n v="4712"/>
    <n v="340"/>
    <n v="2"/>
    <n v="71"/>
    <n v="16"/>
    <s v="No"/>
    <s v="No"/>
    <s v="Yes"/>
    <x v="0"/>
    <n v="136"/>
    <n v="272"/>
    <n v="68462"/>
    <x v="0"/>
  </r>
  <r>
    <n v="18.951000000000001"/>
    <n v="1485"/>
    <n v="129"/>
    <n v="3"/>
    <n v="82"/>
    <n v="13"/>
    <s v="Yes"/>
    <s v="No"/>
    <s v="No"/>
    <x v="0"/>
    <n v="0"/>
    <n v="0"/>
    <n v="18951"/>
    <x v="0"/>
  </r>
  <r>
    <n v="27.59"/>
    <n v="2586"/>
    <n v="229"/>
    <n v="5"/>
    <n v="54"/>
    <n v="16"/>
    <s v="No"/>
    <s v="No"/>
    <s v="Yes"/>
    <x v="2"/>
    <n v="0"/>
    <n v="0"/>
    <n v="27590"/>
    <x v="1"/>
  </r>
  <r>
    <n v="16.279"/>
    <n v="1160"/>
    <n v="126"/>
    <n v="3"/>
    <n v="78"/>
    <n v="13"/>
    <s v="No"/>
    <s v="Yes"/>
    <s v="Yes"/>
    <x v="2"/>
    <n v="5"/>
    <n v="15"/>
    <n v="16279"/>
    <x v="0"/>
  </r>
  <r>
    <n v="25.077999999999999"/>
    <n v="3096"/>
    <n v="236"/>
    <n v="2"/>
    <n v="27"/>
    <n v="15"/>
    <s v="Yes"/>
    <s v="No"/>
    <s v="Yes"/>
    <x v="0"/>
    <n v="81"/>
    <n v="162"/>
    <n v="25078"/>
    <x v="0"/>
  </r>
  <r>
    <n v="27.228999999999999"/>
    <n v="3484"/>
    <n v="282"/>
    <n v="6"/>
    <n v="51"/>
    <n v="11"/>
    <s v="No"/>
    <s v="No"/>
    <s v="No"/>
    <x v="0"/>
    <n v="265"/>
    <n v="1590"/>
    <n v="27229"/>
    <x v="1"/>
  </r>
  <r>
    <n v="182.72800000000001"/>
    <n v="13913"/>
    <n v="982"/>
    <n v="4"/>
    <n v="98"/>
    <n v="17"/>
    <s v="No"/>
    <s v="No"/>
    <s v="Yes"/>
    <x v="0"/>
    <n v="1999"/>
    <n v="7996"/>
    <n v="182728"/>
    <x v="1"/>
  </r>
  <r>
    <n v="31.029"/>
    <n v="2863"/>
    <n v="223"/>
    <n v="2"/>
    <n v="66"/>
    <n v="17"/>
    <s v="No"/>
    <s v="Yes"/>
    <s v="Yes"/>
    <x v="1"/>
    <n v="415"/>
    <n v="830"/>
    <n v="31029"/>
    <x v="0"/>
  </r>
  <r>
    <n v="17.765000000000001"/>
    <n v="5072"/>
    <n v="364"/>
    <n v="1"/>
    <n v="66"/>
    <n v="12"/>
    <s v="Yes"/>
    <s v="No"/>
    <s v="Yes"/>
    <x v="0"/>
    <n v="732"/>
    <n v="732"/>
    <n v="17765"/>
    <x v="0"/>
  </r>
  <r>
    <n v="125.48"/>
    <n v="10230"/>
    <n v="721"/>
    <n v="3"/>
    <n v="82"/>
    <n v="16"/>
    <s v="No"/>
    <s v="No"/>
    <s v="Yes"/>
    <x v="0"/>
    <n v="1361"/>
    <n v="4083"/>
    <n v="125480"/>
    <x v="0"/>
  </r>
  <r>
    <n v="49.165999999999997"/>
    <n v="6662"/>
    <n v="508"/>
    <n v="3"/>
    <n v="68"/>
    <n v="14"/>
    <s v="Yes"/>
    <s v="No"/>
    <s v="No"/>
    <x v="1"/>
    <n v="984"/>
    <n v="2952"/>
    <n v="49166"/>
    <x v="0"/>
  </r>
  <r>
    <n v="41.192"/>
    <n v="3673"/>
    <n v="297"/>
    <n v="3"/>
    <n v="54"/>
    <n v="16"/>
    <s v="Yes"/>
    <s v="No"/>
    <s v="Yes"/>
    <x v="0"/>
    <n v="121"/>
    <n v="363"/>
    <n v="41192"/>
    <x v="0"/>
  </r>
  <r>
    <n v="94.192999999999998"/>
    <n v="7576"/>
    <n v="527"/>
    <n v="2"/>
    <n v="44"/>
    <n v="16"/>
    <s v="Yes"/>
    <s v="No"/>
    <s v="Yes"/>
    <x v="0"/>
    <n v="846"/>
    <n v="1692"/>
    <n v="94193"/>
    <x v="0"/>
  </r>
  <r>
    <n v="20.405000000000001"/>
    <n v="4543"/>
    <n v="329"/>
    <n v="2"/>
    <n v="72"/>
    <n v="17"/>
    <s v="No"/>
    <s v="Yes"/>
    <s v="No"/>
    <x v="1"/>
    <n v="1054"/>
    <n v="2108"/>
    <n v="20405"/>
    <x v="0"/>
  </r>
  <r>
    <n v="12.581"/>
    <n v="3976"/>
    <n v="291"/>
    <n v="2"/>
    <n v="48"/>
    <n v="16"/>
    <s v="No"/>
    <s v="No"/>
    <s v="Yes"/>
    <x v="0"/>
    <n v="474"/>
    <n v="948"/>
    <n v="12581"/>
    <x v="0"/>
  </r>
  <r>
    <n v="62.328000000000003"/>
    <n v="5228"/>
    <n v="377"/>
    <n v="3"/>
    <n v="83"/>
    <n v="15"/>
    <s v="No"/>
    <s v="No"/>
    <s v="No"/>
    <x v="0"/>
    <n v="380"/>
    <n v="1140"/>
    <n v="62328"/>
    <x v="0"/>
  </r>
  <r>
    <n v="21.010999999999999"/>
    <n v="3402"/>
    <n v="261"/>
    <n v="2"/>
    <n v="68"/>
    <n v="17"/>
    <s v="No"/>
    <s v="No"/>
    <s v="Yes"/>
    <x v="2"/>
    <n v="182"/>
    <n v="364"/>
    <n v="21011"/>
    <x v="0"/>
  </r>
  <r>
    <n v="24.23"/>
    <n v="4756"/>
    <n v="351"/>
    <n v="2"/>
    <n v="64"/>
    <n v="15"/>
    <s v="Yes"/>
    <s v="No"/>
    <s v="Yes"/>
    <x v="0"/>
    <n v="594"/>
    <n v="1188"/>
    <n v="24230"/>
    <x v="0"/>
  </r>
  <r>
    <n v="24.314"/>
    <n v="3409"/>
    <n v="270"/>
    <n v="2"/>
    <n v="23"/>
    <n v="7"/>
    <s v="Yes"/>
    <s v="No"/>
    <s v="Yes"/>
    <x v="0"/>
    <n v="194"/>
    <n v="388"/>
    <n v="24314"/>
    <x v="0"/>
  </r>
  <r>
    <n v="32.856000000000002"/>
    <n v="5884"/>
    <n v="438"/>
    <n v="4"/>
    <n v="68"/>
    <n v="13"/>
    <s v="No"/>
    <s v="No"/>
    <s v="No"/>
    <x v="0"/>
    <n v="926"/>
    <n v="3704"/>
    <n v="32856"/>
    <x v="1"/>
  </r>
  <r>
    <n v="12.414"/>
    <n v="855"/>
    <n v="119"/>
    <n v="3"/>
    <n v="32"/>
    <n v="12"/>
    <s v="No"/>
    <s v="No"/>
    <s v="Yes"/>
    <x v="2"/>
    <n v="0"/>
    <n v="0"/>
    <n v="12414"/>
    <x v="0"/>
  </r>
  <r>
    <n v="41.365000000000002"/>
    <n v="5303"/>
    <n v="377"/>
    <n v="1"/>
    <n v="45"/>
    <n v="14"/>
    <s v="No"/>
    <s v="No"/>
    <s v="No"/>
    <x v="0"/>
    <n v="606"/>
    <n v="606"/>
    <n v="41365"/>
    <x v="0"/>
  </r>
  <r>
    <n v="149.316"/>
    <n v="10278"/>
    <n v="707"/>
    <n v="1"/>
    <n v="80"/>
    <n v="16"/>
    <s v="No"/>
    <s v="No"/>
    <s v="No"/>
    <x v="2"/>
    <n v="1107"/>
    <n v="1107"/>
    <n v="149316"/>
    <x v="0"/>
  </r>
  <r>
    <n v="27.794"/>
    <n v="3807"/>
    <n v="301"/>
    <n v="4"/>
    <n v="35"/>
    <n v="8"/>
    <s v="Yes"/>
    <s v="No"/>
    <s v="Yes"/>
    <x v="2"/>
    <n v="320"/>
    <n v="1280"/>
    <n v="27794"/>
    <x v="1"/>
  </r>
  <r>
    <n v="13.234"/>
    <n v="3922"/>
    <n v="299"/>
    <n v="2"/>
    <n v="77"/>
    <n v="17"/>
    <s v="Yes"/>
    <s v="No"/>
    <s v="Yes"/>
    <x v="0"/>
    <n v="426"/>
    <n v="852"/>
    <n v="13234"/>
    <x v="0"/>
  </r>
  <r>
    <n v="14.595000000000001"/>
    <n v="2955"/>
    <n v="260"/>
    <n v="5"/>
    <n v="37"/>
    <n v="9"/>
    <s v="No"/>
    <s v="No"/>
    <s v="Yes"/>
    <x v="2"/>
    <n v="204"/>
    <n v="1020"/>
    <n v="14595"/>
    <x v="1"/>
  </r>
  <r>
    <n v="10.734999999999999"/>
    <n v="3746"/>
    <n v="280"/>
    <n v="2"/>
    <n v="44"/>
    <n v="17"/>
    <s v="Yes"/>
    <s v="No"/>
    <s v="Yes"/>
    <x v="0"/>
    <n v="410"/>
    <n v="820"/>
    <n v="10735"/>
    <x v="0"/>
  </r>
  <r>
    <n v="48.218000000000004"/>
    <n v="5199"/>
    <n v="401"/>
    <n v="7"/>
    <n v="39"/>
    <n v="10"/>
    <s v="No"/>
    <s v="No"/>
    <s v="Yes"/>
    <x v="1"/>
    <n v="633"/>
    <n v="4431"/>
    <n v="48218"/>
    <x v="1"/>
  </r>
  <r>
    <n v="30.012"/>
    <n v="1511"/>
    <n v="137"/>
    <n v="2"/>
    <n v="33"/>
    <n v="17"/>
    <s v="No"/>
    <s v="No"/>
    <s v="Yes"/>
    <x v="0"/>
    <n v="0"/>
    <n v="0"/>
    <n v="30012"/>
    <x v="0"/>
  </r>
  <r>
    <n v="21.550999999999998"/>
    <n v="5380"/>
    <n v="420"/>
    <n v="5"/>
    <n v="51"/>
    <n v="18"/>
    <s v="No"/>
    <s v="No"/>
    <s v="Yes"/>
    <x v="1"/>
    <n v="907"/>
    <n v="4535"/>
    <n v="21551"/>
    <x v="1"/>
  </r>
  <r>
    <n v="160.23099999999999"/>
    <n v="10748"/>
    <n v="754"/>
    <n v="2"/>
    <n v="69"/>
    <n v="17"/>
    <s v="No"/>
    <s v="No"/>
    <s v="No"/>
    <x v="0"/>
    <n v="1192"/>
    <n v="2384"/>
    <n v="160231"/>
    <x v="0"/>
  </r>
  <r>
    <n v="13.433"/>
    <n v="1134"/>
    <n v="112"/>
    <n v="3"/>
    <n v="70"/>
    <n v="14"/>
    <s v="No"/>
    <s v="No"/>
    <s v="Yes"/>
    <x v="0"/>
    <n v="0"/>
    <n v="0"/>
    <n v="13433"/>
    <x v="0"/>
  </r>
  <r>
    <n v="48.576999999999998"/>
    <n v="5145"/>
    <n v="389"/>
    <n v="3"/>
    <n v="71"/>
    <n v="13"/>
    <s v="Yes"/>
    <s v="No"/>
    <s v="Yes"/>
    <x v="1"/>
    <n v="503"/>
    <n v="1509"/>
    <n v="48577"/>
    <x v="0"/>
  </r>
  <r>
    <n v="30.001999999999999"/>
    <n v="1561"/>
    <n v="155"/>
    <n v="4"/>
    <n v="70"/>
    <n v="13"/>
    <s v="Yes"/>
    <s v="No"/>
    <s v="Yes"/>
    <x v="0"/>
    <n v="0"/>
    <n v="0"/>
    <n v="30002"/>
    <x v="1"/>
  </r>
  <r>
    <n v="61.62"/>
    <n v="5140"/>
    <n v="374"/>
    <n v="1"/>
    <n v="71"/>
    <n v="9"/>
    <s v="No"/>
    <s v="No"/>
    <s v="Yes"/>
    <x v="0"/>
    <n v="302"/>
    <n v="302"/>
    <n v="61620"/>
    <x v="0"/>
  </r>
  <r>
    <n v="104.483"/>
    <n v="7140"/>
    <n v="507"/>
    <n v="2"/>
    <n v="41"/>
    <n v="14"/>
    <s v="No"/>
    <s v="No"/>
    <s v="Yes"/>
    <x v="2"/>
    <n v="583"/>
    <n v="1166"/>
    <n v="104483"/>
    <x v="0"/>
  </r>
  <r>
    <n v="41.868000000000002"/>
    <n v="4716"/>
    <n v="342"/>
    <n v="2"/>
    <n v="47"/>
    <n v="18"/>
    <s v="No"/>
    <s v="No"/>
    <s v="No"/>
    <x v="0"/>
    <n v="425"/>
    <n v="850"/>
    <n v="41868"/>
    <x v="0"/>
  </r>
  <r>
    <n v="12.068"/>
    <n v="3873"/>
    <n v="292"/>
    <n v="1"/>
    <n v="44"/>
    <n v="18"/>
    <s v="Yes"/>
    <s v="No"/>
    <s v="Yes"/>
    <x v="1"/>
    <n v="413"/>
    <n v="413"/>
    <n v="12068"/>
    <x v="0"/>
  </r>
  <r>
    <n v="180.68199999999999"/>
    <n v="11966"/>
    <n v="832"/>
    <n v="2"/>
    <n v="58"/>
    <n v="8"/>
    <s v="Yes"/>
    <s v="No"/>
    <s v="Yes"/>
    <x v="2"/>
    <n v="1405"/>
    <n v="2810"/>
    <n v="180682"/>
    <x v="0"/>
  </r>
  <r>
    <n v="34.479999999999997"/>
    <n v="6090"/>
    <n v="442"/>
    <n v="3"/>
    <n v="36"/>
    <n v="14"/>
    <s v="No"/>
    <s v="No"/>
    <s v="No"/>
    <x v="0"/>
    <n v="962"/>
    <n v="2886"/>
    <n v="34480"/>
    <x v="0"/>
  </r>
  <r>
    <n v="39.609000000000002"/>
    <n v="2539"/>
    <n v="188"/>
    <n v="1"/>
    <n v="40"/>
    <n v="14"/>
    <s v="No"/>
    <s v="No"/>
    <s v="Yes"/>
    <x v="1"/>
    <n v="0"/>
    <n v="0"/>
    <n v="39609"/>
    <x v="0"/>
  </r>
  <r>
    <n v="30.111000000000001"/>
    <n v="4336"/>
    <n v="339"/>
    <n v="1"/>
    <n v="81"/>
    <n v="18"/>
    <s v="No"/>
    <s v="No"/>
    <s v="Yes"/>
    <x v="0"/>
    <n v="347"/>
    <n v="347"/>
    <n v="30111"/>
    <x v="0"/>
  </r>
  <r>
    <n v="12.335000000000001"/>
    <n v="4471"/>
    <n v="344"/>
    <n v="3"/>
    <n v="79"/>
    <n v="12"/>
    <s v="No"/>
    <s v="No"/>
    <s v="Yes"/>
    <x v="2"/>
    <n v="611"/>
    <n v="1833"/>
    <n v="12335"/>
    <x v="0"/>
  </r>
  <r>
    <n v="53.566000000000003"/>
    <n v="5891"/>
    <n v="434"/>
    <n v="4"/>
    <n v="82"/>
    <n v="10"/>
    <s v="Yes"/>
    <s v="No"/>
    <s v="No"/>
    <x v="0"/>
    <n v="712"/>
    <n v="2848"/>
    <n v="53566"/>
    <x v="1"/>
  </r>
  <r>
    <n v="53.216999999999999"/>
    <n v="4943"/>
    <n v="362"/>
    <n v="2"/>
    <n v="46"/>
    <n v="16"/>
    <s v="Yes"/>
    <s v="No"/>
    <s v="Yes"/>
    <x v="1"/>
    <n v="382"/>
    <n v="764"/>
    <n v="53217"/>
    <x v="0"/>
  </r>
  <r>
    <n v="26.161999999999999"/>
    <n v="5101"/>
    <n v="382"/>
    <n v="3"/>
    <n v="62"/>
    <n v="19"/>
    <s v="Yes"/>
    <s v="No"/>
    <s v="No"/>
    <x v="2"/>
    <n v="710"/>
    <n v="2130"/>
    <n v="26162"/>
    <x v="0"/>
  </r>
  <r>
    <n v="64.173000000000002"/>
    <n v="6127"/>
    <n v="433"/>
    <n v="1"/>
    <n v="80"/>
    <n v="10"/>
    <s v="No"/>
    <s v="No"/>
    <s v="Yes"/>
    <x v="0"/>
    <n v="578"/>
    <n v="578"/>
    <n v="64173"/>
    <x v="0"/>
  </r>
  <r>
    <n v="128.66900000000001"/>
    <n v="9824"/>
    <n v="685"/>
    <n v="3"/>
    <n v="67"/>
    <n v="16"/>
    <s v="No"/>
    <s v="No"/>
    <s v="Yes"/>
    <x v="1"/>
    <n v="1243"/>
    <n v="3729"/>
    <n v="128669.00000000001"/>
    <x v="0"/>
  </r>
  <r>
    <n v="113.77200000000001"/>
    <n v="6442"/>
    <n v="489"/>
    <n v="4"/>
    <n v="69"/>
    <n v="15"/>
    <s v="No"/>
    <s v="Yes"/>
    <s v="Yes"/>
    <x v="0"/>
    <n v="790"/>
    <n v="3160"/>
    <n v="113772"/>
    <x v="1"/>
  </r>
  <r>
    <n v="61.069000000000003"/>
    <n v="7871"/>
    <n v="564"/>
    <n v="3"/>
    <n v="56"/>
    <n v="14"/>
    <s v="No"/>
    <s v="No"/>
    <s v="Yes"/>
    <x v="0"/>
    <n v="1264"/>
    <n v="3792"/>
    <n v="61069"/>
    <x v="0"/>
  </r>
  <r>
    <n v="23.792999999999999"/>
    <n v="3615"/>
    <n v="263"/>
    <n v="2"/>
    <n v="70"/>
    <n v="14"/>
    <s v="No"/>
    <s v="No"/>
    <s v="No"/>
    <x v="2"/>
    <n v="216"/>
    <n v="432"/>
    <n v="23793"/>
    <x v="0"/>
  </r>
  <r>
    <n v="89"/>
    <n v="5759"/>
    <n v="440"/>
    <n v="3"/>
    <n v="37"/>
    <n v="6"/>
    <s v="Yes"/>
    <s v="No"/>
    <s v="No"/>
    <x v="0"/>
    <n v="345"/>
    <n v="1035"/>
    <n v="89000"/>
    <x v="0"/>
  </r>
  <r>
    <n v="71.682000000000002"/>
    <n v="8028"/>
    <n v="599"/>
    <n v="3"/>
    <n v="57"/>
    <n v="16"/>
    <s v="No"/>
    <s v="No"/>
    <s v="Yes"/>
    <x v="0"/>
    <n v="1208"/>
    <n v="3624"/>
    <n v="71682"/>
    <x v="0"/>
  </r>
  <r>
    <n v="35.61"/>
    <n v="6135"/>
    <n v="466"/>
    <n v="4"/>
    <n v="40"/>
    <n v="12"/>
    <s v="No"/>
    <s v="No"/>
    <s v="No"/>
    <x v="0"/>
    <n v="992"/>
    <n v="3968"/>
    <n v="35610"/>
    <x v="1"/>
  </r>
  <r>
    <n v="39.116"/>
    <n v="2150"/>
    <n v="173"/>
    <n v="4"/>
    <n v="75"/>
    <n v="15"/>
    <s v="No"/>
    <s v="No"/>
    <s v="No"/>
    <x v="0"/>
    <n v="0"/>
    <n v="0"/>
    <n v="39116"/>
    <x v="1"/>
  </r>
  <r>
    <n v="19.782"/>
    <n v="3782"/>
    <n v="293"/>
    <n v="2"/>
    <n v="46"/>
    <n v="16"/>
    <s v="Yes"/>
    <s v="Yes"/>
    <s v="No"/>
    <x v="0"/>
    <n v="840"/>
    <n v="1680"/>
    <n v="19782"/>
    <x v="0"/>
  </r>
  <r>
    <n v="55.411999999999999"/>
    <n v="5354"/>
    <n v="383"/>
    <n v="2"/>
    <n v="37"/>
    <n v="16"/>
    <s v="Yes"/>
    <s v="Yes"/>
    <s v="Yes"/>
    <x v="0"/>
    <n v="1003"/>
    <n v="2006"/>
    <n v="55412"/>
    <x v="0"/>
  </r>
  <r>
    <n v="29.4"/>
    <n v="4840"/>
    <n v="368"/>
    <n v="3"/>
    <n v="76"/>
    <n v="18"/>
    <s v="Yes"/>
    <s v="No"/>
    <s v="Yes"/>
    <x v="0"/>
    <n v="588"/>
    <n v="1764"/>
    <n v="29400"/>
    <x v="0"/>
  </r>
  <r>
    <n v="20.974"/>
    <n v="5673"/>
    <n v="413"/>
    <n v="5"/>
    <n v="44"/>
    <n v="16"/>
    <s v="Yes"/>
    <s v="No"/>
    <s v="Yes"/>
    <x v="0"/>
    <n v="1000"/>
    <n v="5000"/>
    <n v="20974"/>
    <x v="1"/>
  </r>
  <r>
    <n v="87.625"/>
    <n v="7167"/>
    <n v="515"/>
    <n v="2"/>
    <n v="46"/>
    <n v="10"/>
    <s v="Yes"/>
    <s v="No"/>
    <s v="No"/>
    <x v="2"/>
    <n v="767"/>
    <n v="1534"/>
    <n v="87625"/>
    <x v="0"/>
  </r>
  <r>
    <n v="28.143999999999998"/>
    <n v="1567"/>
    <n v="142"/>
    <n v="3"/>
    <n v="51"/>
    <n v="10"/>
    <s v="No"/>
    <s v="No"/>
    <s v="Yes"/>
    <x v="0"/>
    <n v="0"/>
    <n v="0"/>
    <n v="28144"/>
    <x v="0"/>
  </r>
  <r>
    <n v="19.349"/>
    <n v="4941"/>
    <n v="366"/>
    <n v="1"/>
    <n v="33"/>
    <n v="19"/>
    <s v="No"/>
    <s v="No"/>
    <s v="Yes"/>
    <x v="0"/>
    <n v="717"/>
    <n v="717"/>
    <n v="19349"/>
    <x v="0"/>
  </r>
  <r>
    <n v="53.308"/>
    <n v="2860"/>
    <n v="214"/>
    <n v="1"/>
    <n v="84"/>
    <n v="10"/>
    <s v="No"/>
    <s v="No"/>
    <s v="Yes"/>
    <x v="0"/>
    <n v="0"/>
    <n v="0"/>
    <n v="53308"/>
    <x v="0"/>
  </r>
  <r>
    <n v="115.123"/>
    <n v="7760"/>
    <n v="538"/>
    <n v="3"/>
    <n v="83"/>
    <n v="14"/>
    <s v="Yes"/>
    <s v="No"/>
    <s v="No"/>
    <x v="2"/>
    <n v="661"/>
    <n v="1983"/>
    <n v="115123"/>
    <x v="0"/>
  </r>
  <r>
    <n v="101.788"/>
    <n v="8029"/>
    <n v="574"/>
    <n v="2"/>
    <n v="84"/>
    <n v="11"/>
    <s v="No"/>
    <s v="No"/>
    <s v="Yes"/>
    <x v="0"/>
    <n v="849"/>
    <n v="1698"/>
    <n v="101788"/>
    <x v="0"/>
  </r>
  <r>
    <n v="24.824000000000002"/>
    <n v="5495"/>
    <n v="409"/>
    <n v="1"/>
    <n v="33"/>
    <n v="9"/>
    <s v="No"/>
    <s v="Yes"/>
    <s v="No"/>
    <x v="0"/>
    <n v="1352"/>
    <n v="1352"/>
    <n v="24824"/>
    <x v="0"/>
  </r>
  <r>
    <n v="14.292"/>
    <n v="3274"/>
    <n v="282"/>
    <n v="9"/>
    <n v="64"/>
    <n v="9"/>
    <s v="No"/>
    <s v="No"/>
    <s v="Yes"/>
    <x v="0"/>
    <n v="382"/>
    <n v="3438"/>
    <n v="14292"/>
    <x v="1"/>
  </r>
  <r>
    <n v="20.088000000000001"/>
    <n v="1870"/>
    <n v="180"/>
    <n v="3"/>
    <n v="76"/>
    <n v="16"/>
    <s v="No"/>
    <s v="No"/>
    <s v="No"/>
    <x v="2"/>
    <n v="0"/>
    <n v="0"/>
    <n v="20088"/>
    <x v="0"/>
  </r>
  <r>
    <n v="26.4"/>
    <n v="5640"/>
    <n v="398"/>
    <n v="3"/>
    <n v="58"/>
    <n v="15"/>
    <s v="Yes"/>
    <s v="No"/>
    <s v="No"/>
    <x v="1"/>
    <n v="905"/>
    <n v="2715"/>
    <n v="26400"/>
    <x v="0"/>
  </r>
  <r>
    <n v="19.253"/>
    <n v="3683"/>
    <n v="287"/>
    <n v="4"/>
    <n v="57"/>
    <n v="10"/>
    <s v="No"/>
    <s v="No"/>
    <s v="No"/>
    <x v="2"/>
    <n v="371"/>
    <n v="1484"/>
    <n v="19253"/>
    <x v="1"/>
  </r>
  <r>
    <n v="16.529"/>
    <n v="1357"/>
    <n v="126"/>
    <n v="3"/>
    <n v="62"/>
    <n v="9"/>
    <s v="No"/>
    <s v="No"/>
    <s v="No"/>
    <x v="1"/>
    <n v="0"/>
    <n v="0"/>
    <n v="16529"/>
    <x v="0"/>
  </r>
  <r>
    <n v="37.878"/>
    <n v="6827"/>
    <n v="482"/>
    <n v="2"/>
    <n v="80"/>
    <n v="13"/>
    <s v="Yes"/>
    <s v="No"/>
    <s v="No"/>
    <x v="0"/>
    <n v="1129"/>
    <n v="2258"/>
    <n v="37878"/>
    <x v="0"/>
  </r>
  <r>
    <n v="83.947999999999993"/>
    <n v="7100"/>
    <n v="503"/>
    <n v="2"/>
    <n v="44"/>
    <n v="18"/>
    <s v="No"/>
    <s v="No"/>
    <s v="No"/>
    <x v="0"/>
    <n v="806"/>
    <n v="1612"/>
    <n v="83948"/>
    <x v="0"/>
  </r>
  <r>
    <n v="135.11799999999999"/>
    <n v="10578"/>
    <n v="747"/>
    <n v="3"/>
    <n v="81"/>
    <n v="15"/>
    <s v="Yes"/>
    <s v="No"/>
    <s v="Yes"/>
    <x v="1"/>
    <n v="1393"/>
    <n v="4179"/>
    <n v="135118"/>
    <x v="0"/>
  </r>
  <r>
    <n v="73.326999999999998"/>
    <n v="6555"/>
    <n v="472"/>
    <n v="2"/>
    <n v="43"/>
    <n v="15"/>
    <s v="Yes"/>
    <s v="No"/>
    <s v="No"/>
    <x v="0"/>
    <n v="721"/>
    <n v="1442"/>
    <n v="73327"/>
    <x v="0"/>
  </r>
  <r>
    <n v="25.974"/>
    <n v="2308"/>
    <n v="196"/>
    <n v="2"/>
    <n v="24"/>
    <n v="10"/>
    <s v="No"/>
    <s v="No"/>
    <s v="No"/>
    <x v="1"/>
    <n v="0"/>
    <n v="0"/>
    <n v="25974"/>
    <x v="0"/>
  </r>
  <r>
    <n v="17.315999999999999"/>
    <n v="1335"/>
    <n v="138"/>
    <n v="2"/>
    <n v="65"/>
    <n v="13"/>
    <s v="No"/>
    <s v="No"/>
    <s v="No"/>
    <x v="2"/>
    <n v="0"/>
    <n v="0"/>
    <n v="17316"/>
    <x v="0"/>
  </r>
  <r>
    <n v="49.793999999999997"/>
    <n v="5758"/>
    <n v="410"/>
    <n v="4"/>
    <n v="40"/>
    <n v="8"/>
    <s v="No"/>
    <s v="No"/>
    <s v="No"/>
    <x v="0"/>
    <n v="734"/>
    <n v="2936"/>
    <n v="49794"/>
    <x v="1"/>
  </r>
  <r>
    <n v="12.096"/>
    <n v="4100"/>
    <n v="307"/>
    <n v="3"/>
    <n v="32"/>
    <n v="13"/>
    <s v="No"/>
    <s v="No"/>
    <s v="Yes"/>
    <x v="0"/>
    <n v="560"/>
    <n v="1680"/>
    <n v="12096"/>
    <x v="0"/>
  </r>
  <r>
    <n v="13.364000000000001"/>
    <n v="3838"/>
    <n v="296"/>
    <n v="5"/>
    <n v="65"/>
    <n v="17"/>
    <s v="No"/>
    <s v="No"/>
    <s v="No"/>
    <x v="2"/>
    <n v="480"/>
    <n v="2400"/>
    <n v="13364"/>
    <x v="1"/>
  </r>
  <r>
    <n v="57.872"/>
    <n v="4171"/>
    <n v="321"/>
    <n v="5"/>
    <n v="67"/>
    <n v="12"/>
    <s v="Yes"/>
    <s v="No"/>
    <s v="Yes"/>
    <x v="0"/>
    <n v="138"/>
    <n v="690"/>
    <n v="57872"/>
    <x v="1"/>
  </r>
  <r>
    <n v="37.728000000000002"/>
    <n v="2525"/>
    <n v="192"/>
    <n v="1"/>
    <n v="44"/>
    <n v="13"/>
    <s v="No"/>
    <s v="No"/>
    <s v="Yes"/>
    <x v="0"/>
    <n v="0"/>
    <n v="0"/>
    <n v="37728"/>
    <x v="0"/>
  </r>
  <r>
    <n v="18.701000000000001"/>
    <n v="5524"/>
    <n v="415"/>
    <n v="5"/>
    <n v="64"/>
    <n v="7"/>
    <s v="Yes"/>
    <s v="No"/>
    <s v="No"/>
    <x v="1"/>
    <n v="966"/>
    <n v="4830"/>
    <n v="1870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5FC51-A95B-4D90-A23A-CDE0A27064FA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>
      <items count="3">
        <item x="1"/>
        <item x="0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redit Card Number" fld="13" subtotal="count" baseField="0" baseItem="0"/>
  </dataField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5DE3-3E98-4188-B4AF-5AA3A4A275A4}">
  <dimension ref="A1:P403"/>
  <sheetViews>
    <sheetView workbookViewId="0">
      <pane ySplit="1" topLeftCell="A2" activePane="bottomLeft" state="frozen"/>
      <selection pane="bottomLeft" activeCell="O7" sqref="O7"/>
    </sheetView>
  </sheetViews>
  <sheetFormatPr defaultRowHeight="14.5" x14ac:dyDescent="0.35"/>
  <cols>
    <col min="11" max="11" width="13.26953125" customWidth="1"/>
    <col min="12" max="12" width="16.81640625" customWidth="1"/>
    <col min="13" max="13" width="17" customWidth="1"/>
    <col min="14" max="14" width="17.08984375" customWidth="1"/>
    <col min="18" max="18" width="12" customWidth="1"/>
    <col min="21" max="21" width="12.36328125" customWidth="1"/>
    <col min="24" max="24" width="11.08984375" customWidth="1"/>
    <col min="27" max="27" width="11.6328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17</v>
      </c>
      <c r="N1" t="s">
        <v>37</v>
      </c>
    </row>
    <row r="2" spans="1:16" x14ac:dyDescent="0.35">
      <c r="A2">
        <v>14.891</v>
      </c>
      <c r="B2">
        <v>3606</v>
      </c>
      <c r="C2">
        <v>283</v>
      </c>
      <c r="D2">
        <v>2</v>
      </c>
      <c r="E2">
        <v>34</v>
      </c>
      <c r="F2">
        <v>11</v>
      </c>
      <c r="G2" t="s">
        <v>12</v>
      </c>
      <c r="H2" t="s">
        <v>12</v>
      </c>
      <c r="I2" t="s">
        <v>13</v>
      </c>
      <c r="J2" t="s">
        <v>14</v>
      </c>
      <c r="K2">
        <v>333</v>
      </c>
      <c r="L2">
        <v>666</v>
      </c>
      <c r="M2">
        <f>A2*1000</f>
        <v>14891</v>
      </c>
      <c r="N2" s="10" t="str">
        <f>IF(D2&lt;=3, "Low", "High")</f>
        <v>Low</v>
      </c>
    </row>
    <row r="3" spans="1:16" x14ac:dyDescent="0.35">
      <c r="A3">
        <v>106.02500000000001</v>
      </c>
      <c r="B3">
        <v>6645</v>
      </c>
      <c r="C3">
        <v>483</v>
      </c>
      <c r="D3">
        <v>3</v>
      </c>
      <c r="E3">
        <v>82</v>
      </c>
      <c r="F3">
        <v>15</v>
      </c>
      <c r="G3" t="s">
        <v>13</v>
      </c>
      <c r="H3" t="s">
        <v>13</v>
      </c>
      <c r="I3" t="s">
        <v>13</v>
      </c>
      <c r="J3" t="s">
        <v>15</v>
      </c>
      <c r="K3">
        <v>903</v>
      </c>
      <c r="L3">
        <v>2709</v>
      </c>
      <c r="M3">
        <f t="shared" ref="M3:M66" si="0">A3*1000</f>
        <v>106025</v>
      </c>
      <c r="N3" s="10" t="str">
        <f t="shared" ref="N3:N66" si="1">IF(D3&lt;=3, "Low", "High")</f>
        <v>Low</v>
      </c>
      <c r="P3">
        <f>AVERAGE(A2:A401)</f>
        <v>45.218885000000036</v>
      </c>
    </row>
    <row r="4" spans="1:16" x14ac:dyDescent="0.35">
      <c r="A4">
        <v>104.593</v>
      </c>
      <c r="B4">
        <v>7075</v>
      </c>
      <c r="C4">
        <v>514</v>
      </c>
      <c r="D4">
        <v>4</v>
      </c>
      <c r="E4">
        <v>71</v>
      </c>
      <c r="F4">
        <v>11</v>
      </c>
      <c r="G4" t="s">
        <v>12</v>
      </c>
      <c r="H4" t="s">
        <v>12</v>
      </c>
      <c r="I4" t="s">
        <v>12</v>
      </c>
      <c r="J4" t="s">
        <v>15</v>
      </c>
      <c r="K4">
        <v>580</v>
      </c>
      <c r="L4">
        <v>2320</v>
      </c>
      <c r="M4">
        <f t="shared" si="0"/>
        <v>104593</v>
      </c>
      <c r="N4" s="10" t="str">
        <f t="shared" si="1"/>
        <v>High</v>
      </c>
    </row>
    <row r="5" spans="1:16" x14ac:dyDescent="0.35">
      <c r="A5">
        <v>148.92400000000001</v>
      </c>
      <c r="B5">
        <v>9504</v>
      </c>
      <c r="C5">
        <v>681</v>
      </c>
      <c r="D5">
        <v>3</v>
      </c>
      <c r="E5">
        <v>36</v>
      </c>
      <c r="F5">
        <v>11</v>
      </c>
      <c r="G5" t="s">
        <v>13</v>
      </c>
      <c r="H5" t="s">
        <v>12</v>
      </c>
      <c r="I5" t="s">
        <v>12</v>
      </c>
      <c r="J5" t="s">
        <v>15</v>
      </c>
      <c r="K5">
        <v>964</v>
      </c>
      <c r="L5">
        <v>2892</v>
      </c>
      <c r="M5">
        <f t="shared" si="0"/>
        <v>148924</v>
      </c>
      <c r="N5" s="10" t="str">
        <f t="shared" si="1"/>
        <v>Low</v>
      </c>
      <c r="P5">
        <f>QUARTILE(A2:A401, 1)</f>
        <v>21.007249999999999</v>
      </c>
    </row>
    <row r="6" spans="1:16" x14ac:dyDescent="0.35">
      <c r="A6">
        <v>55.881999999999998</v>
      </c>
      <c r="B6">
        <v>4897</v>
      </c>
      <c r="C6">
        <v>357</v>
      </c>
      <c r="D6">
        <v>2</v>
      </c>
      <c r="E6">
        <v>68</v>
      </c>
      <c r="F6">
        <v>16</v>
      </c>
      <c r="G6" t="s">
        <v>12</v>
      </c>
      <c r="H6" t="s">
        <v>12</v>
      </c>
      <c r="I6" t="s">
        <v>13</v>
      </c>
      <c r="J6" t="s">
        <v>14</v>
      </c>
      <c r="K6">
        <v>331</v>
      </c>
      <c r="L6">
        <v>662</v>
      </c>
      <c r="M6">
        <f t="shared" si="0"/>
        <v>55882</v>
      </c>
      <c r="N6" s="10" t="str">
        <f t="shared" si="1"/>
        <v>Low</v>
      </c>
    </row>
    <row r="7" spans="1:16" x14ac:dyDescent="0.35">
      <c r="A7">
        <v>80.180000000000007</v>
      </c>
      <c r="B7">
        <v>8047</v>
      </c>
      <c r="C7">
        <v>569</v>
      </c>
      <c r="D7">
        <v>4</v>
      </c>
      <c r="E7">
        <v>77</v>
      </c>
      <c r="F7">
        <v>10</v>
      </c>
      <c r="G7" t="s">
        <v>12</v>
      </c>
      <c r="H7" t="s">
        <v>12</v>
      </c>
      <c r="I7" t="s">
        <v>12</v>
      </c>
      <c r="J7" t="s">
        <v>14</v>
      </c>
      <c r="K7">
        <v>1151</v>
      </c>
      <c r="L7">
        <v>4604</v>
      </c>
      <c r="M7">
        <f t="shared" si="0"/>
        <v>80180</v>
      </c>
      <c r="N7" s="10" t="str">
        <f t="shared" si="1"/>
        <v>High</v>
      </c>
      <c r="P7">
        <f>QUARTILE(A2:A401, 2)</f>
        <v>33.115499999999997</v>
      </c>
    </row>
    <row r="8" spans="1:16" x14ac:dyDescent="0.35">
      <c r="A8">
        <v>20.995999999999999</v>
      </c>
      <c r="B8">
        <v>3388</v>
      </c>
      <c r="C8">
        <v>259</v>
      </c>
      <c r="D8">
        <v>2</v>
      </c>
      <c r="E8">
        <v>37</v>
      </c>
      <c r="F8">
        <v>12</v>
      </c>
      <c r="G8" t="s">
        <v>13</v>
      </c>
      <c r="H8" t="s">
        <v>12</v>
      </c>
      <c r="I8" t="s">
        <v>12</v>
      </c>
      <c r="J8" t="s">
        <v>16</v>
      </c>
      <c r="K8">
        <v>203</v>
      </c>
      <c r="L8">
        <v>406</v>
      </c>
      <c r="M8">
        <f t="shared" si="0"/>
        <v>20996</v>
      </c>
      <c r="N8" s="10" t="str">
        <f t="shared" si="1"/>
        <v>Low</v>
      </c>
    </row>
    <row r="9" spans="1:16" x14ac:dyDescent="0.35">
      <c r="A9">
        <v>71.408000000000001</v>
      </c>
      <c r="B9">
        <v>7114</v>
      </c>
      <c r="C9">
        <v>512</v>
      </c>
      <c r="D9">
        <v>2</v>
      </c>
      <c r="E9">
        <v>87</v>
      </c>
      <c r="F9">
        <v>9</v>
      </c>
      <c r="G9" t="s">
        <v>12</v>
      </c>
      <c r="H9" t="s">
        <v>12</v>
      </c>
      <c r="I9" t="s">
        <v>12</v>
      </c>
      <c r="J9" t="s">
        <v>15</v>
      </c>
      <c r="K9">
        <v>872</v>
      </c>
      <c r="L9">
        <v>1744</v>
      </c>
      <c r="M9">
        <f t="shared" si="0"/>
        <v>71408</v>
      </c>
      <c r="N9" s="10" t="str">
        <f t="shared" si="1"/>
        <v>Low</v>
      </c>
      <c r="P9">
        <f>QUARTILE(A2:A401, 3)</f>
        <v>57.470750000000002</v>
      </c>
    </row>
    <row r="10" spans="1:16" x14ac:dyDescent="0.35">
      <c r="A10">
        <v>15.125</v>
      </c>
      <c r="B10">
        <v>3300</v>
      </c>
      <c r="C10">
        <v>266</v>
      </c>
      <c r="D10">
        <v>5</v>
      </c>
      <c r="E10">
        <v>66</v>
      </c>
      <c r="F10">
        <v>13</v>
      </c>
      <c r="G10" t="s">
        <v>13</v>
      </c>
      <c r="H10" t="s">
        <v>12</v>
      </c>
      <c r="I10" t="s">
        <v>12</v>
      </c>
      <c r="J10" t="s">
        <v>14</v>
      </c>
      <c r="K10">
        <v>279</v>
      </c>
      <c r="L10">
        <v>1395</v>
      </c>
      <c r="M10">
        <f t="shared" si="0"/>
        <v>15125</v>
      </c>
      <c r="N10" s="10" t="str">
        <f t="shared" si="1"/>
        <v>High</v>
      </c>
    </row>
    <row r="11" spans="1:16" x14ac:dyDescent="0.35">
      <c r="A11">
        <v>71.061000000000007</v>
      </c>
      <c r="B11">
        <v>6819</v>
      </c>
      <c r="C11">
        <v>491</v>
      </c>
      <c r="D11">
        <v>3</v>
      </c>
      <c r="E11">
        <v>41</v>
      </c>
      <c r="F11">
        <v>19</v>
      </c>
      <c r="G11" t="s">
        <v>13</v>
      </c>
      <c r="H11" t="s">
        <v>13</v>
      </c>
      <c r="I11" t="s">
        <v>13</v>
      </c>
      <c r="J11" t="s">
        <v>16</v>
      </c>
      <c r="K11">
        <v>1350</v>
      </c>
      <c r="L11">
        <v>4050</v>
      </c>
      <c r="M11">
        <f t="shared" si="0"/>
        <v>71061</v>
      </c>
      <c r="N11" s="10" t="str">
        <f t="shared" si="1"/>
        <v>Low</v>
      </c>
    </row>
    <row r="12" spans="1:16" x14ac:dyDescent="0.35">
      <c r="A12">
        <v>63.094999999999999</v>
      </c>
      <c r="B12">
        <v>8117</v>
      </c>
      <c r="C12">
        <v>589</v>
      </c>
      <c r="D12">
        <v>4</v>
      </c>
      <c r="E12">
        <v>30</v>
      </c>
      <c r="F12">
        <v>14</v>
      </c>
      <c r="G12" t="s">
        <v>12</v>
      </c>
      <c r="H12" t="s">
        <v>12</v>
      </c>
      <c r="I12" t="s">
        <v>13</v>
      </c>
      <c r="J12" t="s">
        <v>14</v>
      </c>
      <c r="K12">
        <v>1407</v>
      </c>
      <c r="L12">
        <v>5628</v>
      </c>
      <c r="M12">
        <f t="shared" si="0"/>
        <v>63095</v>
      </c>
      <c r="N12" s="10" t="str">
        <f t="shared" si="1"/>
        <v>High</v>
      </c>
      <c r="P12">
        <f>QUARTILE(A2:A401, 3) - QUARTILE(A2:A401, 1)</f>
        <v>36.463500000000003</v>
      </c>
    </row>
    <row r="13" spans="1:16" x14ac:dyDescent="0.35">
      <c r="A13">
        <v>15.045</v>
      </c>
      <c r="B13">
        <v>1311</v>
      </c>
      <c r="C13">
        <v>138</v>
      </c>
      <c r="D13">
        <v>3</v>
      </c>
      <c r="E13">
        <v>64</v>
      </c>
      <c r="F13">
        <v>16</v>
      </c>
      <c r="G13" t="s">
        <v>12</v>
      </c>
      <c r="H13" t="s">
        <v>12</v>
      </c>
      <c r="I13" t="s">
        <v>12</v>
      </c>
      <c r="J13" t="s">
        <v>14</v>
      </c>
      <c r="K13">
        <v>0</v>
      </c>
      <c r="L13">
        <v>0</v>
      </c>
      <c r="M13">
        <f t="shared" si="0"/>
        <v>15045</v>
      </c>
      <c r="N13" s="10" t="str">
        <f t="shared" si="1"/>
        <v>Low</v>
      </c>
    </row>
    <row r="14" spans="1:16" x14ac:dyDescent="0.35">
      <c r="A14">
        <v>80.616</v>
      </c>
      <c r="B14">
        <v>5308</v>
      </c>
      <c r="C14">
        <v>394</v>
      </c>
      <c r="D14">
        <v>1</v>
      </c>
      <c r="E14">
        <v>57</v>
      </c>
      <c r="F14">
        <v>7</v>
      </c>
      <c r="G14" t="s">
        <v>13</v>
      </c>
      <c r="H14" t="s">
        <v>12</v>
      </c>
      <c r="I14" t="s">
        <v>13</v>
      </c>
      <c r="J14" t="s">
        <v>15</v>
      </c>
      <c r="K14">
        <v>204</v>
      </c>
      <c r="L14">
        <v>204</v>
      </c>
      <c r="M14">
        <f t="shared" si="0"/>
        <v>80616</v>
      </c>
      <c r="N14" s="10" t="str">
        <f t="shared" si="1"/>
        <v>Low</v>
      </c>
    </row>
    <row r="15" spans="1:16" x14ac:dyDescent="0.35">
      <c r="A15">
        <v>43.682000000000002</v>
      </c>
      <c r="B15">
        <v>6922</v>
      </c>
      <c r="C15">
        <v>511</v>
      </c>
      <c r="D15">
        <v>1</v>
      </c>
      <c r="E15">
        <v>49</v>
      </c>
      <c r="F15">
        <v>9</v>
      </c>
      <c r="G15" t="s">
        <v>12</v>
      </c>
      <c r="H15" t="s">
        <v>12</v>
      </c>
      <c r="I15" t="s">
        <v>13</v>
      </c>
      <c r="J15" t="s">
        <v>14</v>
      </c>
      <c r="K15">
        <v>1081</v>
      </c>
      <c r="L15">
        <v>1081</v>
      </c>
      <c r="M15">
        <f t="shared" si="0"/>
        <v>43682</v>
      </c>
      <c r="N15" s="10" t="str">
        <f t="shared" si="1"/>
        <v>Low</v>
      </c>
    </row>
    <row r="16" spans="1:16" x14ac:dyDescent="0.35">
      <c r="A16">
        <v>19.143999999999998</v>
      </c>
      <c r="B16">
        <v>3291</v>
      </c>
      <c r="C16">
        <v>269</v>
      </c>
      <c r="D16">
        <v>2</v>
      </c>
      <c r="E16">
        <v>75</v>
      </c>
      <c r="F16">
        <v>13</v>
      </c>
      <c r="G16" t="s">
        <v>13</v>
      </c>
      <c r="H16" t="s">
        <v>12</v>
      </c>
      <c r="I16" t="s">
        <v>12</v>
      </c>
      <c r="J16" t="s">
        <v>16</v>
      </c>
      <c r="K16">
        <v>148</v>
      </c>
      <c r="L16">
        <v>296</v>
      </c>
      <c r="M16">
        <f t="shared" si="0"/>
        <v>19144</v>
      </c>
      <c r="N16" s="10" t="str">
        <f t="shared" si="1"/>
        <v>Low</v>
      </c>
    </row>
    <row r="17" spans="1:14" x14ac:dyDescent="0.35">
      <c r="A17">
        <v>20.088999999999999</v>
      </c>
      <c r="B17">
        <v>2525</v>
      </c>
      <c r="C17">
        <v>200</v>
      </c>
      <c r="D17">
        <v>3</v>
      </c>
      <c r="E17">
        <v>57</v>
      </c>
      <c r="F17">
        <v>15</v>
      </c>
      <c r="G17" t="s">
        <v>13</v>
      </c>
      <c r="H17" t="s">
        <v>12</v>
      </c>
      <c r="I17" t="s">
        <v>13</v>
      </c>
      <c r="J17" t="s">
        <v>16</v>
      </c>
      <c r="K17">
        <v>0</v>
      </c>
      <c r="L17">
        <v>0</v>
      </c>
      <c r="M17">
        <f t="shared" si="0"/>
        <v>20089</v>
      </c>
      <c r="N17" s="10" t="str">
        <f t="shared" si="1"/>
        <v>Low</v>
      </c>
    </row>
    <row r="18" spans="1:14" x14ac:dyDescent="0.35">
      <c r="A18">
        <v>53.597999999999999</v>
      </c>
      <c r="B18">
        <v>3714</v>
      </c>
      <c r="C18">
        <v>286</v>
      </c>
      <c r="D18">
        <v>3</v>
      </c>
      <c r="E18">
        <v>73</v>
      </c>
      <c r="F18">
        <v>17</v>
      </c>
      <c r="G18" t="s">
        <v>13</v>
      </c>
      <c r="H18" t="s">
        <v>12</v>
      </c>
      <c r="I18" t="s">
        <v>13</v>
      </c>
      <c r="J18" t="s">
        <v>16</v>
      </c>
      <c r="K18">
        <v>0</v>
      </c>
      <c r="L18">
        <v>0</v>
      </c>
      <c r="M18">
        <f t="shared" si="0"/>
        <v>53598</v>
      </c>
      <c r="N18" s="10" t="str">
        <f t="shared" si="1"/>
        <v>Low</v>
      </c>
    </row>
    <row r="19" spans="1:14" x14ac:dyDescent="0.35">
      <c r="A19">
        <v>36.496000000000002</v>
      </c>
      <c r="B19">
        <v>4378</v>
      </c>
      <c r="C19">
        <v>339</v>
      </c>
      <c r="D19">
        <v>3</v>
      </c>
      <c r="E19">
        <v>69</v>
      </c>
      <c r="F19">
        <v>15</v>
      </c>
      <c r="G19" t="s">
        <v>13</v>
      </c>
      <c r="H19" t="s">
        <v>12</v>
      </c>
      <c r="I19" t="s">
        <v>13</v>
      </c>
      <c r="J19" t="s">
        <v>15</v>
      </c>
      <c r="K19">
        <v>368</v>
      </c>
      <c r="L19">
        <v>1104</v>
      </c>
      <c r="M19">
        <f t="shared" si="0"/>
        <v>36496</v>
      </c>
      <c r="N19" s="10" t="str">
        <f t="shared" si="1"/>
        <v>Low</v>
      </c>
    </row>
    <row r="20" spans="1:14" x14ac:dyDescent="0.35">
      <c r="A20">
        <v>49.57</v>
      </c>
      <c r="B20">
        <v>6384</v>
      </c>
      <c r="C20">
        <v>448</v>
      </c>
      <c r="D20">
        <v>1</v>
      </c>
      <c r="E20">
        <v>28</v>
      </c>
      <c r="F20">
        <v>9</v>
      </c>
      <c r="G20" t="s">
        <v>13</v>
      </c>
      <c r="H20" t="s">
        <v>12</v>
      </c>
      <c r="I20" t="s">
        <v>13</v>
      </c>
      <c r="J20" t="s">
        <v>15</v>
      </c>
      <c r="K20">
        <v>891</v>
      </c>
      <c r="L20">
        <v>891</v>
      </c>
      <c r="M20">
        <f t="shared" si="0"/>
        <v>49570</v>
      </c>
      <c r="N20" s="10" t="str">
        <f t="shared" si="1"/>
        <v>Low</v>
      </c>
    </row>
    <row r="21" spans="1:14" x14ac:dyDescent="0.35">
      <c r="A21">
        <v>42.079000000000001</v>
      </c>
      <c r="B21">
        <v>6626</v>
      </c>
      <c r="C21">
        <v>479</v>
      </c>
      <c r="D21">
        <v>2</v>
      </c>
      <c r="E21">
        <v>44</v>
      </c>
      <c r="F21">
        <v>9</v>
      </c>
      <c r="G21" t="s">
        <v>12</v>
      </c>
      <c r="H21" t="s">
        <v>12</v>
      </c>
      <c r="I21" t="s">
        <v>12</v>
      </c>
      <c r="J21" t="s">
        <v>15</v>
      </c>
      <c r="K21">
        <v>1048</v>
      </c>
      <c r="L21">
        <v>2096</v>
      </c>
      <c r="M21">
        <f t="shared" si="0"/>
        <v>42079</v>
      </c>
      <c r="N21" s="10" t="str">
        <f t="shared" si="1"/>
        <v>Low</v>
      </c>
    </row>
    <row r="22" spans="1:14" x14ac:dyDescent="0.35">
      <c r="A22">
        <v>17.7</v>
      </c>
      <c r="B22">
        <v>2860</v>
      </c>
      <c r="C22">
        <v>235</v>
      </c>
      <c r="D22">
        <v>4</v>
      </c>
      <c r="E22">
        <v>63</v>
      </c>
      <c r="F22">
        <v>16</v>
      </c>
      <c r="G22" t="s">
        <v>13</v>
      </c>
      <c r="H22" t="s">
        <v>12</v>
      </c>
      <c r="I22" t="s">
        <v>12</v>
      </c>
      <c r="J22" t="s">
        <v>15</v>
      </c>
      <c r="K22">
        <v>89</v>
      </c>
      <c r="L22">
        <v>356</v>
      </c>
      <c r="M22">
        <f t="shared" si="0"/>
        <v>17700</v>
      </c>
      <c r="N22" s="10" t="str">
        <f t="shared" si="1"/>
        <v>High</v>
      </c>
    </row>
    <row r="23" spans="1:14" x14ac:dyDescent="0.35">
      <c r="A23">
        <v>37.347999999999999</v>
      </c>
      <c r="B23">
        <v>6378</v>
      </c>
      <c r="C23">
        <v>458</v>
      </c>
      <c r="D23">
        <v>1</v>
      </c>
      <c r="E23">
        <v>72</v>
      </c>
      <c r="F23">
        <v>17</v>
      </c>
      <c r="G23" t="s">
        <v>13</v>
      </c>
      <c r="H23" t="s">
        <v>12</v>
      </c>
      <c r="I23" t="s">
        <v>12</v>
      </c>
      <c r="J23" t="s">
        <v>14</v>
      </c>
      <c r="K23">
        <v>968</v>
      </c>
      <c r="L23">
        <v>968</v>
      </c>
      <c r="M23">
        <f t="shared" si="0"/>
        <v>37348</v>
      </c>
      <c r="N23" s="10" t="str">
        <f t="shared" si="1"/>
        <v>Low</v>
      </c>
    </row>
    <row r="24" spans="1:14" x14ac:dyDescent="0.35">
      <c r="A24">
        <v>20.103000000000002</v>
      </c>
      <c r="B24">
        <v>2631</v>
      </c>
      <c r="C24">
        <v>213</v>
      </c>
      <c r="D24">
        <v>3</v>
      </c>
      <c r="E24">
        <v>61</v>
      </c>
      <c r="F24">
        <v>10</v>
      </c>
      <c r="G24" t="s">
        <v>12</v>
      </c>
      <c r="H24" t="s">
        <v>12</v>
      </c>
      <c r="I24" t="s">
        <v>13</v>
      </c>
      <c r="J24" t="s">
        <v>16</v>
      </c>
      <c r="K24">
        <v>0</v>
      </c>
      <c r="L24">
        <v>0</v>
      </c>
      <c r="M24">
        <f t="shared" si="0"/>
        <v>20103</v>
      </c>
      <c r="N24" s="10" t="str">
        <f t="shared" si="1"/>
        <v>Low</v>
      </c>
    </row>
    <row r="25" spans="1:14" x14ac:dyDescent="0.35">
      <c r="A25">
        <v>64.027000000000001</v>
      </c>
      <c r="B25">
        <v>5179</v>
      </c>
      <c r="C25">
        <v>398</v>
      </c>
      <c r="D25">
        <v>5</v>
      </c>
      <c r="E25">
        <v>48</v>
      </c>
      <c r="F25">
        <v>8</v>
      </c>
      <c r="G25" t="s">
        <v>12</v>
      </c>
      <c r="H25" t="s">
        <v>12</v>
      </c>
      <c r="I25" t="s">
        <v>13</v>
      </c>
      <c r="J25" t="s">
        <v>16</v>
      </c>
      <c r="K25">
        <v>411</v>
      </c>
      <c r="L25">
        <v>2055</v>
      </c>
      <c r="M25">
        <f t="shared" si="0"/>
        <v>64027</v>
      </c>
      <c r="N25" s="10" t="str">
        <f t="shared" si="1"/>
        <v>High</v>
      </c>
    </row>
    <row r="26" spans="1:14" x14ac:dyDescent="0.35">
      <c r="A26">
        <v>10.742000000000001</v>
      </c>
      <c r="B26">
        <v>1757</v>
      </c>
      <c r="C26">
        <v>156</v>
      </c>
      <c r="D26">
        <v>3</v>
      </c>
      <c r="E26">
        <v>57</v>
      </c>
      <c r="F26">
        <v>15</v>
      </c>
      <c r="G26" t="s">
        <v>13</v>
      </c>
      <c r="H26" t="s">
        <v>12</v>
      </c>
      <c r="I26" t="s">
        <v>12</v>
      </c>
      <c r="J26" t="s">
        <v>14</v>
      </c>
      <c r="K26">
        <v>0</v>
      </c>
      <c r="L26">
        <v>0</v>
      </c>
      <c r="M26">
        <f t="shared" si="0"/>
        <v>10742</v>
      </c>
      <c r="N26" s="10" t="str">
        <f t="shared" si="1"/>
        <v>Low</v>
      </c>
    </row>
    <row r="27" spans="1:14" x14ac:dyDescent="0.35">
      <c r="A27">
        <v>14.09</v>
      </c>
      <c r="B27">
        <v>4323</v>
      </c>
      <c r="C27">
        <v>326</v>
      </c>
      <c r="D27">
        <v>5</v>
      </c>
      <c r="E27">
        <v>25</v>
      </c>
      <c r="F27">
        <v>16</v>
      </c>
      <c r="G27" t="s">
        <v>13</v>
      </c>
      <c r="H27" t="s">
        <v>12</v>
      </c>
      <c r="I27" t="s">
        <v>13</v>
      </c>
      <c r="J27" t="s">
        <v>16</v>
      </c>
      <c r="K27">
        <v>671</v>
      </c>
      <c r="L27">
        <v>3355</v>
      </c>
      <c r="M27">
        <f t="shared" si="0"/>
        <v>14090</v>
      </c>
      <c r="N27" s="10" t="str">
        <f t="shared" si="1"/>
        <v>High</v>
      </c>
    </row>
    <row r="28" spans="1:14" x14ac:dyDescent="0.35">
      <c r="A28">
        <v>42.470999999999997</v>
      </c>
      <c r="B28">
        <v>3625</v>
      </c>
      <c r="C28">
        <v>289</v>
      </c>
      <c r="D28">
        <v>6</v>
      </c>
      <c r="E28">
        <v>44</v>
      </c>
      <c r="F28">
        <v>12</v>
      </c>
      <c r="G28" t="s">
        <v>13</v>
      </c>
      <c r="H28" t="s">
        <v>13</v>
      </c>
      <c r="I28" t="s">
        <v>12</v>
      </c>
      <c r="J28" t="s">
        <v>14</v>
      </c>
      <c r="K28">
        <v>654</v>
      </c>
      <c r="L28">
        <v>3924</v>
      </c>
      <c r="M28">
        <f t="shared" si="0"/>
        <v>42471</v>
      </c>
      <c r="N28" s="10" t="str">
        <f t="shared" si="1"/>
        <v>High</v>
      </c>
    </row>
    <row r="29" spans="1:14" x14ac:dyDescent="0.35">
      <c r="A29">
        <v>32.792999999999999</v>
      </c>
      <c r="B29">
        <v>4534</v>
      </c>
      <c r="C29">
        <v>333</v>
      </c>
      <c r="D29">
        <v>2</v>
      </c>
      <c r="E29">
        <v>44</v>
      </c>
      <c r="F29">
        <v>16</v>
      </c>
      <c r="G29" t="s">
        <v>12</v>
      </c>
      <c r="H29" t="s">
        <v>12</v>
      </c>
      <c r="I29" t="s">
        <v>12</v>
      </c>
      <c r="J29" t="s">
        <v>16</v>
      </c>
      <c r="K29">
        <v>467</v>
      </c>
      <c r="L29">
        <v>934</v>
      </c>
      <c r="M29">
        <f t="shared" si="0"/>
        <v>32793</v>
      </c>
      <c r="N29" s="10" t="str">
        <f t="shared" si="1"/>
        <v>Low</v>
      </c>
    </row>
    <row r="30" spans="1:14" x14ac:dyDescent="0.35">
      <c r="A30">
        <v>186.63399999999999</v>
      </c>
      <c r="B30">
        <v>13414</v>
      </c>
      <c r="C30">
        <v>949</v>
      </c>
      <c r="D30">
        <v>2</v>
      </c>
      <c r="E30">
        <v>41</v>
      </c>
      <c r="F30">
        <v>14</v>
      </c>
      <c r="G30" t="s">
        <v>13</v>
      </c>
      <c r="H30" t="s">
        <v>12</v>
      </c>
      <c r="I30" t="s">
        <v>13</v>
      </c>
      <c r="J30" t="s">
        <v>16</v>
      </c>
      <c r="K30">
        <v>1809</v>
      </c>
      <c r="L30">
        <v>3618</v>
      </c>
      <c r="M30">
        <f t="shared" si="0"/>
        <v>186634</v>
      </c>
      <c r="N30" s="10" t="str">
        <f t="shared" si="1"/>
        <v>Low</v>
      </c>
    </row>
    <row r="31" spans="1:14" x14ac:dyDescent="0.35">
      <c r="A31">
        <v>26.812999999999999</v>
      </c>
      <c r="B31">
        <v>5611</v>
      </c>
      <c r="C31">
        <v>411</v>
      </c>
      <c r="D31">
        <v>4</v>
      </c>
      <c r="E31">
        <v>55</v>
      </c>
      <c r="F31">
        <v>16</v>
      </c>
      <c r="G31" t="s">
        <v>13</v>
      </c>
      <c r="H31" t="s">
        <v>12</v>
      </c>
      <c r="I31" t="s">
        <v>12</v>
      </c>
      <c r="J31" t="s">
        <v>14</v>
      </c>
      <c r="K31">
        <v>915</v>
      </c>
      <c r="L31">
        <v>3660</v>
      </c>
      <c r="M31">
        <f t="shared" si="0"/>
        <v>26813</v>
      </c>
      <c r="N31" s="10" t="str">
        <f t="shared" si="1"/>
        <v>High</v>
      </c>
    </row>
    <row r="32" spans="1:14" x14ac:dyDescent="0.35">
      <c r="A32">
        <v>34.142000000000003</v>
      </c>
      <c r="B32">
        <v>5666</v>
      </c>
      <c r="C32">
        <v>413</v>
      </c>
      <c r="D32">
        <v>4</v>
      </c>
      <c r="E32">
        <v>47</v>
      </c>
      <c r="F32">
        <v>5</v>
      </c>
      <c r="G32" t="s">
        <v>13</v>
      </c>
      <c r="H32" t="s">
        <v>12</v>
      </c>
      <c r="I32" t="s">
        <v>13</v>
      </c>
      <c r="J32" t="s">
        <v>14</v>
      </c>
      <c r="K32">
        <v>863</v>
      </c>
      <c r="L32">
        <v>3452</v>
      </c>
      <c r="M32">
        <f t="shared" si="0"/>
        <v>34142</v>
      </c>
      <c r="N32" s="10" t="str">
        <f t="shared" si="1"/>
        <v>High</v>
      </c>
    </row>
    <row r="33" spans="1:14" x14ac:dyDescent="0.35">
      <c r="A33">
        <v>28.940999999999999</v>
      </c>
      <c r="B33">
        <v>2733</v>
      </c>
      <c r="C33">
        <v>210</v>
      </c>
      <c r="D33">
        <v>5</v>
      </c>
      <c r="E33">
        <v>43</v>
      </c>
      <c r="F33">
        <v>16</v>
      </c>
      <c r="G33" t="s">
        <v>12</v>
      </c>
      <c r="H33" t="s">
        <v>12</v>
      </c>
      <c r="I33" t="s">
        <v>13</v>
      </c>
      <c r="J33" t="s">
        <v>15</v>
      </c>
      <c r="K33">
        <v>0</v>
      </c>
      <c r="L33">
        <v>0</v>
      </c>
      <c r="M33">
        <f t="shared" si="0"/>
        <v>28941</v>
      </c>
      <c r="N33" s="10" t="str">
        <f t="shared" si="1"/>
        <v>High</v>
      </c>
    </row>
    <row r="34" spans="1:14" x14ac:dyDescent="0.35">
      <c r="A34">
        <v>134.18100000000001</v>
      </c>
      <c r="B34">
        <v>7838</v>
      </c>
      <c r="C34">
        <v>563</v>
      </c>
      <c r="D34">
        <v>2</v>
      </c>
      <c r="E34">
        <v>48</v>
      </c>
      <c r="F34">
        <v>13</v>
      </c>
      <c r="G34" t="s">
        <v>13</v>
      </c>
      <c r="H34" t="s">
        <v>12</v>
      </c>
      <c r="I34" t="s">
        <v>12</v>
      </c>
      <c r="J34" t="s">
        <v>14</v>
      </c>
      <c r="K34">
        <v>526</v>
      </c>
      <c r="L34">
        <v>1052</v>
      </c>
      <c r="M34">
        <f t="shared" si="0"/>
        <v>134181</v>
      </c>
      <c r="N34" s="10" t="str">
        <f t="shared" si="1"/>
        <v>Low</v>
      </c>
    </row>
    <row r="35" spans="1:14" x14ac:dyDescent="0.35">
      <c r="A35">
        <v>31.367000000000001</v>
      </c>
      <c r="B35">
        <v>1829</v>
      </c>
      <c r="C35">
        <v>162</v>
      </c>
      <c r="D35">
        <v>4</v>
      </c>
      <c r="E35">
        <v>30</v>
      </c>
      <c r="F35">
        <v>10</v>
      </c>
      <c r="G35" t="s">
        <v>12</v>
      </c>
      <c r="H35" t="s">
        <v>12</v>
      </c>
      <c r="I35" t="s">
        <v>13</v>
      </c>
      <c r="J35" t="s">
        <v>14</v>
      </c>
      <c r="K35">
        <v>0</v>
      </c>
      <c r="L35">
        <v>0</v>
      </c>
      <c r="M35">
        <f t="shared" si="0"/>
        <v>31367</v>
      </c>
      <c r="N35" s="10" t="str">
        <f t="shared" si="1"/>
        <v>High</v>
      </c>
    </row>
    <row r="36" spans="1:14" x14ac:dyDescent="0.35">
      <c r="A36">
        <v>20.149999999999999</v>
      </c>
      <c r="B36">
        <v>2646</v>
      </c>
      <c r="C36">
        <v>199</v>
      </c>
      <c r="D36">
        <v>2</v>
      </c>
      <c r="E36">
        <v>25</v>
      </c>
      <c r="F36">
        <v>14</v>
      </c>
      <c r="G36" t="s">
        <v>13</v>
      </c>
      <c r="H36" t="s">
        <v>12</v>
      </c>
      <c r="I36" t="s">
        <v>13</v>
      </c>
      <c r="J36" t="s">
        <v>15</v>
      </c>
      <c r="K36">
        <v>0</v>
      </c>
      <c r="L36">
        <v>0</v>
      </c>
      <c r="M36">
        <f t="shared" si="0"/>
        <v>20150</v>
      </c>
      <c r="N36" s="10" t="str">
        <f t="shared" si="1"/>
        <v>Low</v>
      </c>
    </row>
    <row r="37" spans="1:14" x14ac:dyDescent="0.35">
      <c r="A37">
        <v>23.35</v>
      </c>
      <c r="B37">
        <v>2558</v>
      </c>
      <c r="C37">
        <v>220</v>
      </c>
      <c r="D37">
        <v>3</v>
      </c>
      <c r="E37">
        <v>49</v>
      </c>
      <c r="F37">
        <v>12</v>
      </c>
      <c r="G37" t="s">
        <v>13</v>
      </c>
      <c r="H37" t="s">
        <v>13</v>
      </c>
      <c r="I37" t="s">
        <v>12</v>
      </c>
      <c r="J37" t="s">
        <v>14</v>
      </c>
      <c r="K37">
        <v>419</v>
      </c>
      <c r="L37">
        <v>1257</v>
      </c>
      <c r="M37">
        <f t="shared" si="0"/>
        <v>23350</v>
      </c>
      <c r="N37" s="10" t="str">
        <f t="shared" si="1"/>
        <v>Low</v>
      </c>
    </row>
    <row r="38" spans="1:14" x14ac:dyDescent="0.35">
      <c r="A38">
        <v>62.412999999999997</v>
      </c>
      <c r="B38">
        <v>6457</v>
      </c>
      <c r="C38">
        <v>455</v>
      </c>
      <c r="D38">
        <v>2</v>
      </c>
      <c r="E38">
        <v>71</v>
      </c>
      <c r="F38">
        <v>11</v>
      </c>
      <c r="G38" t="s">
        <v>13</v>
      </c>
      <c r="H38" t="s">
        <v>12</v>
      </c>
      <c r="I38" t="s">
        <v>13</v>
      </c>
      <c r="J38" t="s">
        <v>14</v>
      </c>
      <c r="K38">
        <v>762</v>
      </c>
      <c r="L38">
        <v>1524</v>
      </c>
      <c r="M38">
        <f t="shared" si="0"/>
        <v>62413</v>
      </c>
      <c r="N38" s="10" t="str">
        <f t="shared" si="1"/>
        <v>Low</v>
      </c>
    </row>
    <row r="39" spans="1:14" x14ac:dyDescent="0.35">
      <c r="A39">
        <v>30.007000000000001</v>
      </c>
      <c r="B39">
        <v>6481</v>
      </c>
      <c r="C39">
        <v>462</v>
      </c>
      <c r="D39">
        <v>2</v>
      </c>
      <c r="E39">
        <v>69</v>
      </c>
      <c r="F39">
        <v>9</v>
      </c>
      <c r="G39" t="s">
        <v>13</v>
      </c>
      <c r="H39" t="s">
        <v>12</v>
      </c>
      <c r="I39" t="s">
        <v>13</v>
      </c>
      <c r="J39" t="s">
        <v>14</v>
      </c>
      <c r="K39">
        <v>1093</v>
      </c>
      <c r="L39">
        <v>2186</v>
      </c>
      <c r="M39">
        <f t="shared" si="0"/>
        <v>30007</v>
      </c>
      <c r="N39" s="10" t="str">
        <f t="shared" si="1"/>
        <v>Low</v>
      </c>
    </row>
    <row r="40" spans="1:14" x14ac:dyDescent="0.35">
      <c r="A40">
        <v>11.795</v>
      </c>
      <c r="B40">
        <v>3899</v>
      </c>
      <c r="C40">
        <v>300</v>
      </c>
      <c r="D40">
        <v>4</v>
      </c>
      <c r="E40">
        <v>25</v>
      </c>
      <c r="F40">
        <v>10</v>
      </c>
      <c r="G40" t="s">
        <v>13</v>
      </c>
      <c r="H40" t="s">
        <v>12</v>
      </c>
      <c r="I40" t="s">
        <v>12</v>
      </c>
      <c r="J40" t="s">
        <v>14</v>
      </c>
      <c r="K40">
        <v>531</v>
      </c>
      <c r="L40">
        <v>2124</v>
      </c>
      <c r="M40">
        <f t="shared" si="0"/>
        <v>11795</v>
      </c>
      <c r="N40" s="10" t="str">
        <f t="shared" si="1"/>
        <v>High</v>
      </c>
    </row>
    <row r="41" spans="1:14" x14ac:dyDescent="0.35">
      <c r="A41">
        <v>13.647</v>
      </c>
      <c r="B41">
        <v>3461</v>
      </c>
      <c r="C41">
        <v>264</v>
      </c>
      <c r="D41">
        <v>4</v>
      </c>
      <c r="E41">
        <v>47</v>
      </c>
      <c r="F41">
        <v>14</v>
      </c>
      <c r="G41" t="s">
        <v>12</v>
      </c>
      <c r="H41" t="s">
        <v>12</v>
      </c>
      <c r="I41" t="s">
        <v>13</v>
      </c>
      <c r="J41" t="s">
        <v>14</v>
      </c>
      <c r="K41">
        <v>344</v>
      </c>
      <c r="L41">
        <v>1376</v>
      </c>
      <c r="M41">
        <f t="shared" si="0"/>
        <v>13647</v>
      </c>
      <c r="N41" s="10" t="str">
        <f t="shared" si="1"/>
        <v>High</v>
      </c>
    </row>
    <row r="42" spans="1:14" x14ac:dyDescent="0.35">
      <c r="A42">
        <v>34.950000000000003</v>
      </c>
      <c r="B42">
        <v>3327</v>
      </c>
      <c r="C42">
        <v>253</v>
      </c>
      <c r="D42">
        <v>3</v>
      </c>
      <c r="E42">
        <v>54</v>
      </c>
      <c r="F42">
        <v>14</v>
      </c>
      <c r="G42" t="s">
        <v>13</v>
      </c>
      <c r="H42" t="s">
        <v>12</v>
      </c>
      <c r="I42" t="s">
        <v>12</v>
      </c>
      <c r="J42" t="s">
        <v>16</v>
      </c>
      <c r="K42">
        <v>50</v>
      </c>
      <c r="L42">
        <v>150</v>
      </c>
      <c r="M42">
        <f t="shared" si="0"/>
        <v>34950</v>
      </c>
      <c r="N42" s="10" t="str">
        <f t="shared" si="1"/>
        <v>Low</v>
      </c>
    </row>
    <row r="43" spans="1:14" x14ac:dyDescent="0.35">
      <c r="A43">
        <v>113.65900000000001</v>
      </c>
      <c r="B43">
        <v>7659</v>
      </c>
      <c r="C43">
        <v>538</v>
      </c>
      <c r="D43">
        <v>2</v>
      </c>
      <c r="E43">
        <v>66</v>
      </c>
      <c r="F43">
        <v>15</v>
      </c>
      <c r="G43" t="s">
        <v>12</v>
      </c>
      <c r="H43" t="s">
        <v>13</v>
      </c>
      <c r="I43" t="s">
        <v>13</v>
      </c>
      <c r="J43" t="s">
        <v>16</v>
      </c>
      <c r="K43">
        <v>1155</v>
      </c>
      <c r="L43">
        <v>2310</v>
      </c>
      <c r="M43">
        <f t="shared" si="0"/>
        <v>113659</v>
      </c>
      <c r="N43" s="10" t="str">
        <f t="shared" si="1"/>
        <v>Low</v>
      </c>
    </row>
    <row r="44" spans="1:14" x14ac:dyDescent="0.35">
      <c r="A44">
        <v>44.158000000000001</v>
      </c>
      <c r="B44">
        <v>4763</v>
      </c>
      <c r="C44">
        <v>351</v>
      </c>
      <c r="D44">
        <v>2</v>
      </c>
      <c r="E44">
        <v>66</v>
      </c>
      <c r="F44">
        <v>13</v>
      </c>
      <c r="G44" t="s">
        <v>13</v>
      </c>
      <c r="H44" t="s">
        <v>12</v>
      </c>
      <c r="I44" t="s">
        <v>13</v>
      </c>
      <c r="J44" t="s">
        <v>15</v>
      </c>
      <c r="K44">
        <v>385</v>
      </c>
      <c r="L44">
        <v>770</v>
      </c>
      <c r="M44">
        <f t="shared" si="0"/>
        <v>44158</v>
      </c>
      <c r="N44" s="10" t="str">
        <f t="shared" si="1"/>
        <v>Low</v>
      </c>
    </row>
    <row r="45" spans="1:14" x14ac:dyDescent="0.35">
      <c r="A45">
        <v>36.929000000000002</v>
      </c>
      <c r="B45">
        <v>6257</v>
      </c>
      <c r="C45">
        <v>445</v>
      </c>
      <c r="D45">
        <v>1</v>
      </c>
      <c r="E45">
        <v>24</v>
      </c>
      <c r="F45">
        <v>14</v>
      </c>
      <c r="G45" t="s">
        <v>13</v>
      </c>
      <c r="H45" t="s">
        <v>12</v>
      </c>
      <c r="I45" t="s">
        <v>13</v>
      </c>
      <c r="J45" t="s">
        <v>15</v>
      </c>
      <c r="K45">
        <v>976</v>
      </c>
      <c r="L45">
        <v>976</v>
      </c>
      <c r="M45">
        <f t="shared" si="0"/>
        <v>36929</v>
      </c>
      <c r="N45" s="10" t="str">
        <f t="shared" si="1"/>
        <v>Low</v>
      </c>
    </row>
    <row r="46" spans="1:14" x14ac:dyDescent="0.35">
      <c r="A46">
        <v>31.861000000000001</v>
      </c>
      <c r="B46">
        <v>6375</v>
      </c>
      <c r="C46">
        <v>469</v>
      </c>
      <c r="D46">
        <v>3</v>
      </c>
      <c r="E46">
        <v>25</v>
      </c>
      <c r="F46">
        <v>16</v>
      </c>
      <c r="G46" t="s">
        <v>13</v>
      </c>
      <c r="H46" t="s">
        <v>12</v>
      </c>
      <c r="I46" t="s">
        <v>13</v>
      </c>
      <c r="J46" t="s">
        <v>14</v>
      </c>
      <c r="K46">
        <v>1120</v>
      </c>
      <c r="L46">
        <v>3360</v>
      </c>
      <c r="M46">
        <f t="shared" si="0"/>
        <v>31861</v>
      </c>
      <c r="N46" s="10" t="str">
        <f t="shared" si="1"/>
        <v>Low</v>
      </c>
    </row>
    <row r="47" spans="1:14" x14ac:dyDescent="0.35">
      <c r="A47">
        <v>77.38</v>
      </c>
      <c r="B47">
        <v>7569</v>
      </c>
      <c r="C47">
        <v>564</v>
      </c>
      <c r="D47">
        <v>3</v>
      </c>
      <c r="E47">
        <v>50</v>
      </c>
      <c r="F47">
        <v>12</v>
      </c>
      <c r="G47" t="s">
        <v>13</v>
      </c>
      <c r="H47" t="s">
        <v>12</v>
      </c>
      <c r="I47" t="s">
        <v>13</v>
      </c>
      <c r="J47" t="s">
        <v>14</v>
      </c>
      <c r="K47">
        <v>997</v>
      </c>
      <c r="L47">
        <v>2991</v>
      </c>
      <c r="M47">
        <f t="shared" si="0"/>
        <v>77380</v>
      </c>
      <c r="N47" s="10" t="str">
        <f t="shared" si="1"/>
        <v>Low</v>
      </c>
    </row>
    <row r="48" spans="1:14" x14ac:dyDescent="0.35">
      <c r="A48">
        <v>19.530999999999999</v>
      </c>
      <c r="B48">
        <v>5043</v>
      </c>
      <c r="C48">
        <v>376</v>
      </c>
      <c r="D48">
        <v>2</v>
      </c>
      <c r="E48">
        <v>64</v>
      </c>
      <c r="F48">
        <v>16</v>
      </c>
      <c r="G48" t="s">
        <v>13</v>
      </c>
      <c r="H48" t="s">
        <v>13</v>
      </c>
      <c r="I48" t="s">
        <v>13</v>
      </c>
      <c r="J48" t="s">
        <v>15</v>
      </c>
      <c r="K48">
        <v>1241</v>
      </c>
      <c r="L48">
        <v>2482</v>
      </c>
      <c r="M48">
        <f t="shared" si="0"/>
        <v>19531</v>
      </c>
      <c r="N48" s="10" t="str">
        <f t="shared" si="1"/>
        <v>Low</v>
      </c>
    </row>
    <row r="49" spans="1:14" x14ac:dyDescent="0.35">
      <c r="A49">
        <v>44.646000000000001</v>
      </c>
      <c r="B49">
        <v>4431</v>
      </c>
      <c r="C49">
        <v>320</v>
      </c>
      <c r="D49">
        <v>2</v>
      </c>
      <c r="E49">
        <v>49</v>
      </c>
      <c r="F49">
        <v>15</v>
      </c>
      <c r="G49" t="s">
        <v>12</v>
      </c>
      <c r="H49" t="s">
        <v>13</v>
      </c>
      <c r="I49" t="s">
        <v>13</v>
      </c>
      <c r="J49" t="s">
        <v>14</v>
      </c>
      <c r="K49">
        <v>797</v>
      </c>
      <c r="L49">
        <v>1594</v>
      </c>
      <c r="M49">
        <f t="shared" si="0"/>
        <v>44646</v>
      </c>
      <c r="N49" s="10" t="str">
        <f t="shared" si="1"/>
        <v>Low</v>
      </c>
    </row>
    <row r="50" spans="1:14" x14ac:dyDescent="0.35">
      <c r="A50">
        <v>44.521999999999998</v>
      </c>
      <c r="B50">
        <v>2252</v>
      </c>
      <c r="C50">
        <v>205</v>
      </c>
      <c r="D50">
        <v>6</v>
      </c>
      <c r="E50">
        <v>72</v>
      </c>
      <c r="F50">
        <v>15</v>
      </c>
      <c r="G50" t="s">
        <v>12</v>
      </c>
      <c r="H50" t="s">
        <v>12</v>
      </c>
      <c r="I50" t="s">
        <v>13</v>
      </c>
      <c r="J50" t="s">
        <v>15</v>
      </c>
      <c r="K50">
        <v>0</v>
      </c>
      <c r="L50">
        <v>0</v>
      </c>
      <c r="M50">
        <f t="shared" si="0"/>
        <v>44522</v>
      </c>
      <c r="N50" s="10" t="str">
        <f t="shared" si="1"/>
        <v>High</v>
      </c>
    </row>
    <row r="51" spans="1:14" x14ac:dyDescent="0.35">
      <c r="A51">
        <v>43.478999999999999</v>
      </c>
      <c r="B51">
        <v>4569</v>
      </c>
      <c r="C51">
        <v>354</v>
      </c>
      <c r="D51">
        <v>4</v>
      </c>
      <c r="E51">
        <v>49</v>
      </c>
      <c r="F51">
        <v>13</v>
      </c>
      <c r="G51" t="s">
        <v>12</v>
      </c>
      <c r="H51" t="s">
        <v>13</v>
      </c>
      <c r="I51" t="s">
        <v>13</v>
      </c>
      <c r="J51" t="s">
        <v>16</v>
      </c>
      <c r="K51">
        <v>902</v>
      </c>
      <c r="L51">
        <v>3608</v>
      </c>
      <c r="M51">
        <f t="shared" si="0"/>
        <v>43479</v>
      </c>
      <c r="N51" s="10" t="str">
        <f t="shared" si="1"/>
        <v>High</v>
      </c>
    </row>
    <row r="52" spans="1:14" x14ac:dyDescent="0.35">
      <c r="A52">
        <v>36.362000000000002</v>
      </c>
      <c r="B52">
        <v>5183</v>
      </c>
      <c r="C52">
        <v>376</v>
      </c>
      <c r="D52">
        <v>3</v>
      </c>
      <c r="E52">
        <v>49</v>
      </c>
      <c r="F52">
        <v>15</v>
      </c>
      <c r="G52" t="s">
        <v>12</v>
      </c>
      <c r="H52" t="s">
        <v>12</v>
      </c>
      <c r="I52" t="s">
        <v>13</v>
      </c>
      <c r="J52" t="s">
        <v>16</v>
      </c>
      <c r="K52">
        <v>654</v>
      </c>
      <c r="L52">
        <v>1962</v>
      </c>
      <c r="M52">
        <f t="shared" si="0"/>
        <v>36362</v>
      </c>
      <c r="N52" s="10" t="str">
        <f t="shared" si="1"/>
        <v>Low</v>
      </c>
    </row>
    <row r="53" spans="1:14" x14ac:dyDescent="0.35">
      <c r="A53">
        <v>39.704999999999998</v>
      </c>
      <c r="B53">
        <v>3969</v>
      </c>
      <c r="C53">
        <v>301</v>
      </c>
      <c r="D53">
        <v>2</v>
      </c>
      <c r="E53">
        <v>27</v>
      </c>
      <c r="F53">
        <v>20</v>
      </c>
      <c r="G53" t="s">
        <v>12</v>
      </c>
      <c r="H53" t="s">
        <v>12</v>
      </c>
      <c r="I53" t="s">
        <v>13</v>
      </c>
      <c r="J53" t="s">
        <v>16</v>
      </c>
      <c r="K53">
        <v>211</v>
      </c>
      <c r="L53">
        <v>422</v>
      </c>
      <c r="M53">
        <f t="shared" si="0"/>
        <v>39705</v>
      </c>
      <c r="N53" s="10" t="str">
        <f t="shared" si="1"/>
        <v>Low</v>
      </c>
    </row>
    <row r="54" spans="1:14" x14ac:dyDescent="0.35">
      <c r="A54">
        <v>44.204999999999998</v>
      </c>
      <c r="B54">
        <v>5441</v>
      </c>
      <c r="C54">
        <v>394</v>
      </c>
      <c r="D54">
        <v>1</v>
      </c>
      <c r="E54">
        <v>32</v>
      </c>
      <c r="F54">
        <v>12</v>
      </c>
      <c r="G54" t="s">
        <v>12</v>
      </c>
      <c r="H54" t="s">
        <v>12</v>
      </c>
      <c r="I54" t="s">
        <v>13</v>
      </c>
      <c r="J54" t="s">
        <v>14</v>
      </c>
      <c r="K54">
        <v>607</v>
      </c>
      <c r="L54">
        <v>607</v>
      </c>
      <c r="M54">
        <f t="shared" si="0"/>
        <v>44205</v>
      </c>
      <c r="N54" s="10" t="str">
        <f t="shared" si="1"/>
        <v>Low</v>
      </c>
    </row>
    <row r="55" spans="1:14" x14ac:dyDescent="0.35">
      <c r="A55">
        <v>16.303999999999998</v>
      </c>
      <c r="B55">
        <v>5466</v>
      </c>
      <c r="C55">
        <v>413</v>
      </c>
      <c r="D55">
        <v>4</v>
      </c>
      <c r="E55">
        <v>66</v>
      </c>
      <c r="F55">
        <v>10</v>
      </c>
      <c r="G55" t="s">
        <v>12</v>
      </c>
      <c r="H55" t="s">
        <v>12</v>
      </c>
      <c r="I55" t="s">
        <v>13</v>
      </c>
      <c r="J55" t="s">
        <v>15</v>
      </c>
      <c r="K55">
        <v>957</v>
      </c>
      <c r="L55">
        <v>3828</v>
      </c>
      <c r="M55">
        <f t="shared" si="0"/>
        <v>16303.999999999998</v>
      </c>
      <c r="N55" s="10" t="str">
        <f t="shared" si="1"/>
        <v>High</v>
      </c>
    </row>
    <row r="56" spans="1:14" x14ac:dyDescent="0.35">
      <c r="A56">
        <v>15.333</v>
      </c>
      <c r="B56">
        <v>1499</v>
      </c>
      <c r="C56">
        <v>138</v>
      </c>
      <c r="D56">
        <v>2</v>
      </c>
      <c r="E56">
        <v>47</v>
      </c>
      <c r="F56">
        <v>9</v>
      </c>
      <c r="G56" t="s">
        <v>13</v>
      </c>
      <c r="H56" t="s">
        <v>12</v>
      </c>
      <c r="I56" t="s">
        <v>13</v>
      </c>
      <c r="J56" t="s">
        <v>15</v>
      </c>
      <c r="K56">
        <v>0</v>
      </c>
      <c r="L56">
        <v>0</v>
      </c>
      <c r="M56">
        <f t="shared" si="0"/>
        <v>15333</v>
      </c>
      <c r="N56" s="10" t="str">
        <f t="shared" si="1"/>
        <v>Low</v>
      </c>
    </row>
    <row r="57" spans="1:14" x14ac:dyDescent="0.35">
      <c r="A57">
        <v>32.915999999999997</v>
      </c>
      <c r="B57">
        <v>1786</v>
      </c>
      <c r="C57">
        <v>154</v>
      </c>
      <c r="D57">
        <v>2</v>
      </c>
      <c r="E57">
        <v>60</v>
      </c>
      <c r="F57">
        <v>8</v>
      </c>
      <c r="G57" t="s">
        <v>13</v>
      </c>
      <c r="H57" t="s">
        <v>12</v>
      </c>
      <c r="I57" t="s">
        <v>13</v>
      </c>
      <c r="J57" t="s">
        <v>15</v>
      </c>
      <c r="K57">
        <v>0</v>
      </c>
      <c r="L57">
        <v>0</v>
      </c>
      <c r="M57">
        <f t="shared" si="0"/>
        <v>32916</v>
      </c>
      <c r="N57" s="10" t="str">
        <f t="shared" si="1"/>
        <v>Low</v>
      </c>
    </row>
    <row r="58" spans="1:14" x14ac:dyDescent="0.35">
      <c r="A58">
        <v>57.1</v>
      </c>
      <c r="B58">
        <v>4742</v>
      </c>
      <c r="C58">
        <v>372</v>
      </c>
      <c r="D58">
        <v>7</v>
      </c>
      <c r="E58">
        <v>79</v>
      </c>
      <c r="F58">
        <v>18</v>
      </c>
      <c r="G58" t="s">
        <v>13</v>
      </c>
      <c r="H58" t="s">
        <v>12</v>
      </c>
      <c r="I58" t="s">
        <v>13</v>
      </c>
      <c r="J58" t="s">
        <v>15</v>
      </c>
      <c r="K58">
        <v>379</v>
      </c>
      <c r="L58">
        <v>2653</v>
      </c>
      <c r="M58">
        <f t="shared" si="0"/>
        <v>57100</v>
      </c>
      <c r="N58" s="10" t="str">
        <f t="shared" si="1"/>
        <v>High</v>
      </c>
    </row>
    <row r="59" spans="1:14" x14ac:dyDescent="0.35">
      <c r="A59">
        <v>76.272999999999996</v>
      </c>
      <c r="B59">
        <v>4779</v>
      </c>
      <c r="C59">
        <v>367</v>
      </c>
      <c r="D59">
        <v>4</v>
      </c>
      <c r="E59">
        <v>65</v>
      </c>
      <c r="F59">
        <v>14</v>
      </c>
      <c r="G59" t="s">
        <v>13</v>
      </c>
      <c r="H59" t="s">
        <v>12</v>
      </c>
      <c r="I59" t="s">
        <v>13</v>
      </c>
      <c r="J59" t="s">
        <v>14</v>
      </c>
      <c r="K59">
        <v>133</v>
      </c>
      <c r="L59">
        <v>532</v>
      </c>
      <c r="M59">
        <f t="shared" si="0"/>
        <v>76273</v>
      </c>
      <c r="N59" s="10" t="str">
        <f t="shared" si="1"/>
        <v>High</v>
      </c>
    </row>
    <row r="60" spans="1:14" x14ac:dyDescent="0.35">
      <c r="A60">
        <v>10.353999999999999</v>
      </c>
      <c r="B60">
        <v>3480</v>
      </c>
      <c r="C60">
        <v>281</v>
      </c>
      <c r="D60">
        <v>2</v>
      </c>
      <c r="E60">
        <v>70</v>
      </c>
      <c r="F60">
        <v>17</v>
      </c>
      <c r="G60" t="s">
        <v>12</v>
      </c>
      <c r="H60" t="s">
        <v>12</v>
      </c>
      <c r="I60" t="s">
        <v>13</v>
      </c>
      <c r="J60" t="s">
        <v>14</v>
      </c>
      <c r="K60">
        <v>333</v>
      </c>
      <c r="L60">
        <v>666</v>
      </c>
      <c r="M60">
        <f t="shared" si="0"/>
        <v>10354</v>
      </c>
      <c r="N60" s="10" t="str">
        <f t="shared" si="1"/>
        <v>Low</v>
      </c>
    </row>
    <row r="61" spans="1:14" x14ac:dyDescent="0.35">
      <c r="A61">
        <v>51.872</v>
      </c>
      <c r="B61">
        <v>5294</v>
      </c>
      <c r="C61">
        <v>390</v>
      </c>
      <c r="D61">
        <v>4</v>
      </c>
      <c r="E61">
        <v>81</v>
      </c>
      <c r="F61">
        <v>17</v>
      </c>
      <c r="G61" t="s">
        <v>13</v>
      </c>
      <c r="H61" t="s">
        <v>12</v>
      </c>
      <c r="I61" t="s">
        <v>12</v>
      </c>
      <c r="J61" t="s">
        <v>14</v>
      </c>
      <c r="K61">
        <v>531</v>
      </c>
      <c r="L61">
        <v>2124</v>
      </c>
      <c r="M61">
        <f t="shared" si="0"/>
        <v>51872</v>
      </c>
      <c r="N61" s="10" t="str">
        <f t="shared" si="1"/>
        <v>High</v>
      </c>
    </row>
    <row r="62" spans="1:14" x14ac:dyDescent="0.35">
      <c r="A62">
        <v>35.51</v>
      </c>
      <c r="B62">
        <v>5198</v>
      </c>
      <c r="C62">
        <v>364</v>
      </c>
      <c r="D62">
        <v>2</v>
      </c>
      <c r="E62">
        <v>35</v>
      </c>
      <c r="F62">
        <v>20</v>
      </c>
      <c r="G62" t="s">
        <v>13</v>
      </c>
      <c r="H62" t="s">
        <v>12</v>
      </c>
      <c r="I62" t="s">
        <v>12</v>
      </c>
      <c r="J62" t="s">
        <v>15</v>
      </c>
      <c r="K62">
        <v>631</v>
      </c>
      <c r="L62">
        <v>1262</v>
      </c>
      <c r="M62">
        <f t="shared" si="0"/>
        <v>35510</v>
      </c>
      <c r="N62" s="10" t="str">
        <f t="shared" si="1"/>
        <v>Low</v>
      </c>
    </row>
    <row r="63" spans="1:14" x14ac:dyDescent="0.35">
      <c r="A63">
        <v>21.238</v>
      </c>
      <c r="B63">
        <v>3089</v>
      </c>
      <c r="C63">
        <v>254</v>
      </c>
      <c r="D63">
        <v>3</v>
      </c>
      <c r="E63">
        <v>59</v>
      </c>
      <c r="F63">
        <v>10</v>
      </c>
      <c r="G63" t="s">
        <v>13</v>
      </c>
      <c r="H63" t="s">
        <v>12</v>
      </c>
      <c r="I63" t="s">
        <v>12</v>
      </c>
      <c r="J63" t="s">
        <v>14</v>
      </c>
      <c r="K63">
        <v>108</v>
      </c>
      <c r="L63">
        <v>324</v>
      </c>
      <c r="M63">
        <f t="shared" si="0"/>
        <v>21238</v>
      </c>
      <c r="N63" s="10" t="str">
        <f t="shared" si="1"/>
        <v>Low</v>
      </c>
    </row>
    <row r="64" spans="1:14" x14ac:dyDescent="0.35">
      <c r="A64">
        <v>30.681999999999999</v>
      </c>
      <c r="B64">
        <v>1671</v>
      </c>
      <c r="C64">
        <v>160</v>
      </c>
      <c r="D64">
        <v>2</v>
      </c>
      <c r="E64">
        <v>77</v>
      </c>
      <c r="F64">
        <v>7</v>
      </c>
      <c r="G64" t="s">
        <v>13</v>
      </c>
      <c r="H64" t="s">
        <v>12</v>
      </c>
      <c r="I64" t="s">
        <v>12</v>
      </c>
      <c r="J64" t="s">
        <v>14</v>
      </c>
      <c r="K64">
        <v>0</v>
      </c>
      <c r="L64">
        <v>0</v>
      </c>
      <c r="M64">
        <f t="shared" si="0"/>
        <v>30682</v>
      </c>
      <c r="N64" s="10" t="str">
        <f t="shared" si="1"/>
        <v>Low</v>
      </c>
    </row>
    <row r="65" spans="1:14" x14ac:dyDescent="0.35">
      <c r="A65">
        <v>14.132</v>
      </c>
      <c r="B65">
        <v>2998</v>
      </c>
      <c r="C65">
        <v>251</v>
      </c>
      <c r="D65">
        <v>4</v>
      </c>
      <c r="E65">
        <v>75</v>
      </c>
      <c r="F65">
        <v>17</v>
      </c>
      <c r="G65" t="s">
        <v>12</v>
      </c>
      <c r="H65" t="s">
        <v>12</v>
      </c>
      <c r="I65" t="s">
        <v>12</v>
      </c>
      <c r="J65" t="s">
        <v>14</v>
      </c>
      <c r="K65">
        <v>133</v>
      </c>
      <c r="L65">
        <v>532</v>
      </c>
      <c r="M65">
        <f t="shared" si="0"/>
        <v>14132</v>
      </c>
      <c r="N65" s="10" t="str">
        <f t="shared" si="1"/>
        <v>High</v>
      </c>
    </row>
    <row r="66" spans="1:14" x14ac:dyDescent="0.35">
      <c r="A66">
        <v>32.164000000000001</v>
      </c>
      <c r="B66">
        <v>2937</v>
      </c>
      <c r="C66">
        <v>223</v>
      </c>
      <c r="D66">
        <v>2</v>
      </c>
      <c r="E66">
        <v>79</v>
      </c>
      <c r="F66">
        <v>15</v>
      </c>
      <c r="G66" t="s">
        <v>13</v>
      </c>
      <c r="H66" t="s">
        <v>12</v>
      </c>
      <c r="I66" t="s">
        <v>13</v>
      </c>
      <c r="J66" t="s">
        <v>16</v>
      </c>
      <c r="K66">
        <v>0</v>
      </c>
      <c r="L66">
        <v>0</v>
      </c>
      <c r="M66">
        <f t="shared" si="0"/>
        <v>32164</v>
      </c>
      <c r="N66" s="10" t="str">
        <f t="shared" si="1"/>
        <v>Low</v>
      </c>
    </row>
    <row r="67" spans="1:14" x14ac:dyDescent="0.35">
      <c r="A67">
        <v>12</v>
      </c>
      <c r="B67">
        <v>4160</v>
      </c>
      <c r="C67">
        <v>320</v>
      </c>
      <c r="D67">
        <v>4</v>
      </c>
      <c r="E67">
        <v>28</v>
      </c>
      <c r="F67">
        <v>14</v>
      </c>
      <c r="G67" t="s">
        <v>13</v>
      </c>
      <c r="H67" t="s">
        <v>12</v>
      </c>
      <c r="I67" t="s">
        <v>13</v>
      </c>
      <c r="J67" t="s">
        <v>14</v>
      </c>
      <c r="K67">
        <v>602</v>
      </c>
      <c r="L67">
        <v>2408</v>
      </c>
      <c r="M67">
        <f t="shared" ref="M67:M130" si="2">A67*1000</f>
        <v>12000</v>
      </c>
      <c r="N67" s="10" t="str">
        <f t="shared" ref="N67:N130" si="3">IF(D67&lt;=3, "Low", "High")</f>
        <v>High</v>
      </c>
    </row>
    <row r="68" spans="1:14" x14ac:dyDescent="0.35">
      <c r="A68">
        <v>113.82899999999999</v>
      </c>
      <c r="B68">
        <v>9704</v>
      </c>
      <c r="C68">
        <v>694</v>
      </c>
      <c r="D68">
        <v>4</v>
      </c>
      <c r="E68">
        <v>38</v>
      </c>
      <c r="F68">
        <v>13</v>
      </c>
      <c r="G68" t="s">
        <v>13</v>
      </c>
      <c r="H68" t="s">
        <v>12</v>
      </c>
      <c r="I68" t="s">
        <v>13</v>
      </c>
      <c r="J68" t="s">
        <v>15</v>
      </c>
      <c r="K68">
        <v>1388</v>
      </c>
      <c r="L68">
        <v>5552</v>
      </c>
      <c r="M68">
        <f t="shared" si="2"/>
        <v>113829</v>
      </c>
      <c r="N68" s="10" t="str">
        <f t="shared" si="3"/>
        <v>High</v>
      </c>
    </row>
    <row r="69" spans="1:14" x14ac:dyDescent="0.35">
      <c r="A69">
        <v>11.186999999999999</v>
      </c>
      <c r="B69">
        <v>5099</v>
      </c>
      <c r="C69">
        <v>380</v>
      </c>
      <c r="D69">
        <v>4</v>
      </c>
      <c r="E69">
        <v>69</v>
      </c>
      <c r="F69">
        <v>16</v>
      </c>
      <c r="G69" t="s">
        <v>13</v>
      </c>
      <c r="H69" t="s">
        <v>12</v>
      </c>
      <c r="I69" t="s">
        <v>12</v>
      </c>
      <c r="J69" t="s">
        <v>16</v>
      </c>
      <c r="K69">
        <v>889</v>
      </c>
      <c r="L69">
        <v>3556</v>
      </c>
      <c r="M69">
        <f t="shared" si="2"/>
        <v>11187</v>
      </c>
      <c r="N69" s="10" t="str">
        <f t="shared" si="3"/>
        <v>High</v>
      </c>
    </row>
    <row r="70" spans="1:14" x14ac:dyDescent="0.35">
      <c r="A70">
        <v>27.847000000000001</v>
      </c>
      <c r="B70">
        <v>5619</v>
      </c>
      <c r="C70">
        <v>418</v>
      </c>
      <c r="D70">
        <v>2</v>
      </c>
      <c r="E70">
        <v>78</v>
      </c>
      <c r="F70">
        <v>15</v>
      </c>
      <c r="G70" t="s">
        <v>13</v>
      </c>
      <c r="H70" t="s">
        <v>12</v>
      </c>
      <c r="I70" t="s">
        <v>13</v>
      </c>
      <c r="J70" t="s">
        <v>14</v>
      </c>
      <c r="K70">
        <v>822</v>
      </c>
      <c r="L70">
        <v>1644</v>
      </c>
      <c r="M70">
        <f t="shared" si="2"/>
        <v>27847</v>
      </c>
      <c r="N70" s="10" t="str">
        <f t="shared" si="3"/>
        <v>Low</v>
      </c>
    </row>
    <row r="71" spans="1:14" x14ac:dyDescent="0.35">
      <c r="A71">
        <v>49.502000000000002</v>
      </c>
      <c r="B71">
        <v>6819</v>
      </c>
      <c r="C71">
        <v>505</v>
      </c>
      <c r="D71">
        <v>4</v>
      </c>
      <c r="E71">
        <v>55</v>
      </c>
      <c r="F71">
        <v>14</v>
      </c>
      <c r="G71" t="s">
        <v>12</v>
      </c>
      <c r="H71" t="s">
        <v>12</v>
      </c>
      <c r="I71" t="s">
        <v>13</v>
      </c>
      <c r="J71" t="s">
        <v>14</v>
      </c>
      <c r="K71">
        <v>1084</v>
      </c>
      <c r="L71">
        <v>4336</v>
      </c>
      <c r="M71">
        <f t="shared" si="2"/>
        <v>49502</v>
      </c>
      <c r="N71" s="10" t="str">
        <f t="shared" si="3"/>
        <v>High</v>
      </c>
    </row>
    <row r="72" spans="1:14" x14ac:dyDescent="0.35">
      <c r="A72">
        <v>24.888999999999999</v>
      </c>
      <c r="B72">
        <v>3954</v>
      </c>
      <c r="C72">
        <v>318</v>
      </c>
      <c r="D72">
        <v>4</v>
      </c>
      <c r="E72">
        <v>75</v>
      </c>
      <c r="F72">
        <v>12</v>
      </c>
      <c r="G72" t="s">
        <v>12</v>
      </c>
      <c r="H72" t="s">
        <v>12</v>
      </c>
      <c r="I72" t="s">
        <v>13</v>
      </c>
      <c r="J72" t="s">
        <v>14</v>
      </c>
      <c r="K72">
        <v>357</v>
      </c>
      <c r="L72">
        <v>1428</v>
      </c>
      <c r="M72">
        <f t="shared" si="2"/>
        <v>24889</v>
      </c>
      <c r="N72" s="10" t="str">
        <f t="shared" si="3"/>
        <v>High</v>
      </c>
    </row>
    <row r="73" spans="1:14" x14ac:dyDescent="0.35">
      <c r="A73">
        <v>58.780999999999999</v>
      </c>
      <c r="B73">
        <v>7402</v>
      </c>
      <c r="C73">
        <v>538</v>
      </c>
      <c r="D73">
        <v>2</v>
      </c>
      <c r="E73">
        <v>81</v>
      </c>
      <c r="F73">
        <v>12</v>
      </c>
      <c r="G73" t="s">
        <v>13</v>
      </c>
      <c r="H73" t="s">
        <v>12</v>
      </c>
      <c r="I73" t="s">
        <v>13</v>
      </c>
      <c r="J73" t="s">
        <v>15</v>
      </c>
      <c r="K73">
        <v>1103</v>
      </c>
      <c r="L73">
        <v>2206</v>
      </c>
      <c r="M73">
        <f t="shared" si="2"/>
        <v>58781</v>
      </c>
      <c r="N73" s="10" t="str">
        <f t="shared" si="3"/>
        <v>Low</v>
      </c>
    </row>
    <row r="74" spans="1:14" x14ac:dyDescent="0.35">
      <c r="A74">
        <v>22.939</v>
      </c>
      <c r="B74">
        <v>4923</v>
      </c>
      <c r="C74">
        <v>355</v>
      </c>
      <c r="D74">
        <v>1</v>
      </c>
      <c r="E74">
        <v>47</v>
      </c>
      <c r="F74">
        <v>18</v>
      </c>
      <c r="G74" t="s">
        <v>13</v>
      </c>
      <c r="H74" t="s">
        <v>12</v>
      </c>
      <c r="I74" t="s">
        <v>13</v>
      </c>
      <c r="J74" t="s">
        <v>15</v>
      </c>
      <c r="K74">
        <v>663</v>
      </c>
      <c r="L74">
        <v>663</v>
      </c>
      <c r="M74">
        <f t="shared" si="2"/>
        <v>22939</v>
      </c>
      <c r="N74" s="10" t="str">
        <f t="shared" si="3"/>
        <v>Low</v>
      </c>
    </row>
    <row r="75" spans="1:14" x14ac:dyDescent="0.35">
      <c r="A75">
        <v>23.989000000000001</v>
      </c>
      <c r="B75">
        <v>4523</v>
      </c>
      <c r="C75">
        <v>338</v>
      </c>
      <c r="D75">
        <v>4</v>
      </c>
      <c r="E75">
        <v>31</v>
      </c>
      <c r="F75">
        <v>15</v>
      </c>
      <c r="G75" t="s">
        <v>12</v>
      </c>
      <c r="H75" t="s">
        <v>12</v>
      </c>
      <c r="I75" t="s">
        <v>12</v>
      </c>
      <c r="J75" t="s">
        <v>14</v>
      </c>
      <c r="K75">
        <v>601</v>
      </c>
      <c r="L75">
        <v>2404</v>
      </c>
      <c r="M75">
        <f t="shared" si="2"/>
        <v>23989</v>
      </c>
      <c r="N75" s="10" t="str">
        <f t="shared" si="3"/>
        <v>High</v>
      </c>
    </row>
    <row r="76" spans="1:14" x14ac:dyDescent="0.35">
      <c r="A76">
        <v>16.103000000000002</v>
      </c>
      <c r="B76">
        <v>5390</v>
      </c>
      <c r="C76">
        <v>418</v>
      </c>
      <c r="D76">
        <v>4</v>
      </c>
      <c r="E76">
        <v>45</v>
      </c>
      <c r="F76">
        <v>10</v>
      </c>
      <c r="G76" t="s">
        <v>13</v>
      </c>
      <c r="H76" t="s">
        <v>12</v>
      </c>
      <c r="I76" t="s">
        <v>13</v>
      </c>
      <c r="J76" t="s">
        <v>14</v>
      </c>
      <c r="K76">
        <v>945</v>
      </c>
      <c r="L76">
        <v>3780</v>
      </c>
      <c r="M76">
        <f t="shared" si="2"/>
        <v>16103.000000000002</v>
      </c>
      <c r="N76" s="10" t="str">
        <f t="shared" si="3"/>
        <v>High</v>
      </c>
    </row>
    <row r="77" spans="1:14" x14ac:dyDescent="0.35">
      <c r="A77">
        <v>33.017000000000003</v>
      </c>
      <c r="B77">
        <v>3180</v>
      </c>
      <c r="C77">
        <v>224</v>
      </c>
      <c r="D77">
        <v>2</v>
      </c>
      <c r="E77">
        <v>28</v>
      </c>
      <c r="F77">
        <v>16</v>
      </c>
      <c r="G77" t="s">
        <v>12</v>
      </c>
      <c r="H77" t="s">
        <v>12</v>
      </c>
      <c r="I77" t="s">
        <v>13</v>
      </c>
      <c r="J77" t="s">
        <v>16</v>
      </c>
      <c r="K77">
        <v>29</v>
      </c>
      <c r="L77">
        <v>58</v>
      </c>
      <c r="M77">
        <f t="shared" si="2"/>
        <v>33017</v>
      </c>
      <c r="N77" s="10" t="str">
        <f t="shared" si="3"/>
        <v>Low</v>
      </c>
    </row>
    <row r="78" spans="1:14" x14ac:dyDescent="0.35">
      <c r="A78">
        <v>30.622</v>
      </c>
      <c r="B78">
        <v>3293</v>
      </c>
      <c r="C78">
        <v>251</v>
      </c>
      <c r="D78">
        <v>1</v>
      </c>
      <c r="E78">
        <v>68</v>
      </c>
      <c r="F78">
        <v>16</v>
      </c>
      <c r="G78" t="s">
        <v>12</v>
      </c>
      <c r="H78" t="s">
        <v>13</v>
      </c>
      <c r="I78" t="s">
        <v>12</v>
      </c>
      <c r="J78" t="s">
        <v>14</v>
      </c>
      <c r="K78">
        <v>532</v>
      </c>
      <c r="L78">
        <v>532</v>
      </c>
      <c r="M78">
        <f t="shared" si="2"/>
        <v>30622</v>
      </c>
      <c r="N78" s="10" t="str">
        <f t="shared" si="3"/>
        <v>Low</v>
      </c>
    </row>
    <row r="79" spans="1:14" x14ac:dyDescent="0.35">
      <c r="A79">
        <v>20.936</v>
      </c>
      <c r="B79">
        <v>3254</v>
      </c>
      <c r="C79">
        <v>253</v>
      </c>
      <c r="D79">
        <v>1</v>
      </c>
      <c r="E79">
        <v>30</v>
      </c>
      <c r="F79">
        <v>15</v>
      </c>
      <c r="G79" t="s">
        <v>13</v>
      </c>
      <c r="H79" t="s">
        <v>12</v>
      </c>
      <c r="I79" t="s">
        <v>12</v>
      </c>
      <c r="J79" t="s">
        <v>15</v>
      </c>
      <c r="K79">
        <v>145</v>
      </c>
      <c r="L79">
        <v>145</v>
      </c>
      <c r="M79">
        <f t="shared" si="2"/>
        <v>20936</v>
      </c>
      <c r="N79" s="10" t="str">
        <f t="shared" si="3"/>
        <v>Low</v>
      </c>
    </row>
    <row r="80" spans="1:14" x14ac:dyDescent="0.35">
      <c r="A80">
        <v>110.968</v>
      </c>
      <c r="B80">
        <v>6662</v>
      </c>
      <c r="C80">
        <v>468</v>
      </c>
      <c r="D80">
        <v>3</v>
      </c>
      <c r="E80">
        <v>45</v>
      </c>
      <c r="F80">
        <v>11</v>
      </c>
      <c r="G80" t="s">
        <v>13</v>
      </c>
      <c r="H80" t="s">
        <v>12</v>
      </c>
      <c r="I80" t="s">
        <v>13</v>
      </c>
      <c r="J80" t="s">
        <v>14</v>
      </c>
      <c r="K80">
        <v>391</v>
      </c>
      <c r="L80">
        <v>1173</v>
      </c>
      <c r="M80">
        <f t="shared" si="2"/>
        <v>110968</v>
      </c>
      <c r="N80" s="10" t="str">
        <f t="shared" si="3"/>
        <v>Low</v>
      </c>
    </row>
    <row r="81" spans="1:14" x14ac:dyDescent="0.35">
      <c r="A81">
        <v>15.353999999999999</v>
      </c>
      <c r="B81">
        <v>2101</v>
      </c>
      <c r="C81">
        <v>171</v>
      </c>
      <c r="D81">
        <v>2</v>
      </c>
      <c r="E81">
        <v>65</v>
      </c>
      <c r="F81">
        <v>14</v>
      </c>
      <c r="G81" t="s">
        <v>12</v>
      </c>
      <c r="H81" t="s">
        <v>12</v>
      </c>
      <c r="I81" t="s">
        <v>12</v>
      </c>
      <c r="J81" t="s">
        <v>15</v>
      </c>
      <c r="K81">
        <v>0</v>
      </c>
      <c r="L81">
        <v>0</v>
      </c>
      <c r="M81">
        <f t="shared" si="2"/>
        <v>15354</v>
      </c>
      <c r="N81" s="10" t="str">
        <f t="shared" si="3"/>
        <v>Low</v>
      </c>
    </row>
    <row r="82" spans="1:14" x14ac:dyDescent="0.35">
      <c r="A82">
        <v>27.369</v>
      </c>
      <c r="B82">
        <v>3449</v>
      </c>
      <c r="C82">
        <v>288</v>
      </c>
      <c r="D82">
        <v>3</v>
      </c>
      <c r="E82">
        <v>40</v>
      </c>
      <c r="F82">
        <v>9</v>
      </c>
      <c r="G82" t="s">
        <v>13</v>
      </c>
      <c r="H82" t="s">
        <v>12</v>
      </c>
      <c r="I82" t="s">
        <v>13</v>
      </c>
      <c r="J82" t="s">
        <v>14</v>
      </c>
      <c r="K82">
        <v>162</v>
      </c>
      <c r="L82">
        <v>486</v>
      </c>
      <c r="M82">
        <f t="shared" si="2"/>
        <v>27369</v>
      </c>
      <c r="N82" s="10" t="str">
        <f t="shared" si="3"/>
        <v>Low</v>
      </c>
    </row>
    <row r="83" spans="1:14" x14ac:dyDescent="0.35">
      <c r="A83">
        <v>53.48</v>
      </c>
      <c r="B83">
        <v>4263</v>
      </c>
      <c r="C83">
        <v>317</v>
      </c>
      <c r="D83">
        <v>1</v>
      </c>
      <c r="E83">
        <v>83</v>
      </c>
      <c r="F83">
        <v>15</v>
      </c>
      <c r="G83" t="s">
        <v>12</v>
      </c>
      <c r="H83" t="s">
        <v>12</v>
      </c>
      <c r="I83" t="s">
        <v>12</v>
      </c>
      <c r="J83" t="s">
        <v>14</v>
      </c>
      <c r="K83">
        <v>99</v>
      </c>
      <c r="L83">
        <v>99</v>
      </c>
      <c r="M83">
        <f t="shared" si="2"/>
        <v>53480</v>
      </c>
      <c r="N83" s="10" t="str">
        <f t="shared" si="3"/>
        <v>Low</v>
      </c>
    </row>
    <row r="84" spans="1:14" x14ac:dyDescent="0.35">
      <c r="A84">
        <v>23.672000000000001</v>
      </c>
      <c r="B84">
        <v>4433</v>
      </c>
      <c r="C84">
        <v>344</v>
      </c>
      <c r="D84">
        <v>3</v>
      </c>
      <c r="E84">
        <v>63</v>
      </c>
      <c r="F84">
        <v>11</v>
      </c>
      <c r="G84" t="s">
        <v>12</v>
      </c>
      <c r="H84" t="s">
        <v>12</v>
      </c>
      <c r="I84" t="s">
        <v>12</v>
      </c>
      <c r="J84" t="s">
        <v>14</v>
      </c>
      <c r="K84">
        <v>503</v>
      </c>
      <c r="L84">
        <v>1509</v>
      </c>
      <c r="M84">
        <f t="shared" si="2"/>
        <v>23672</v>
      </c>
      <c r="N84" s="10" t="str">
        <f t="shared" si="3"/>
        <v>Low</v>
      </c>
    </row>
    <row r="85" spans="1:14" x14ac:dyDescent="0.35">
      <c r="A85">
        <v>19.225000000000001</v>
      </c>
      <c r="B85">
        <v>1433</v>
      </c>
      <c r="C85">
        <v>122</v>
      </c>
      <c r="D85">
        <v>3</v>
      </c>
      <c r="E85">
        <v>38</v>
      </c>
      <c r="F85">
        <v>14</v>
      </c>
      <c r="G85" t="s">
        <v>13</v>
      </c>
      <c r="H85" t="s">
        <v>12</v>
      </c>
      <c r="I85" t="s">
        <v>12</v>
      </c>
      <c r="J85" t="s">
        <v>14</v>
      </c>
      <c r="K85">
        <v>0</v>
      </c>
      <c r="L85">
        <v>0</v>
      </c>
      <c r="M85">
        <f t="shared" si="2"/>
        <v>19225</v>
      </c>
      <c r="N85" s="10" t="str">
        <f t="shared" si="3"/>
        <v>Low</v>
      </c>
    </row>
    <row r="86" spans="1:14" x14ac:dyDescent="0.35">
      <c r="A86">
        <v>43.54</v>
      </c>
      <c r="B86">
        <v>2906</v>
      </c>
      <c r="C86">
        <v>232</v>
      </c>
      <c r="D86">
        <v>4</v>
      </c>
      <c r="E86">
        <v>69</v>
      </c>
      <c r="F86">
        <v>11</v>
      </c>
      <c r="G86" t="s">
        <v>12</v>
      </c>
      <c r="H86" t="s">
        <v>12</v>
      </c>
      <c r="I86" t="s">
        <v>12</v>
      </c>
      <c r="J86" t="s">
        <v>14</v>
      </c>
      <c r="K86">
        <v>0</v>
      </c>
      <c r="L86">
        <v>0</v>
      </c>
      <c r="M86">
        <f t="shared" si="2"/>
        <v>43540</v>
      </c>
      <c r="N86" s="10" t="str">
        <f t="shared" si="3"/>
        <v>High</v>
      </c>
    </row>
    <row r="87" spans="1:14" x14ac:dyDescent="0.35">
      <c r="A87">
        <v>152.298</v>
      </c>
      <c r="B87">
        <v>12066</v>
      </c>
      <c r="C87">
        <v>828</v>
      </c>
      <c r="D87">
        <v>4</v>
      </c>
      <c r="E87">
        <v>41</v>
      </c>
      <c r="F87">
        <v>12</v>
      </c>
      <c r="G87" t="s">
        <v>13</v>
      </c>
      <c r="H87" t="s">
        <v>12</v>
      </c>
      <c r="I87" t="s">
        <v>13</v>
      </c>
      <c r="J87" t="s">
        <v>15</v>
      </c>
      <c r="K87">
        <v>1779</v>
      </c>
      <c r="L87">
        <v>7116</v>
      </c>
      <c r="M87">
        <f t="shared" si="2"/>
        <v>152298</v>
      </c>
      <c r="N87" s="10" t="str">
        <f t="shared" si="3"/>
        <v>High</v>
      </c>
    </row>
    <row r="88" spans="1:14" x14ac:dyDescent="0.35">
      <c r="A88">
        <v>55.366999999999997</v>
      </c>
      <c r="B88">
        <v>6340</v>
      </c>
      <c r="C88">
        <v>448</v>
      </c>
      <c r="D88">
        <v>1</v>
      </c>
      <c r="E88">
        <v>33</v>
      </c>
      <c r="F88">
        <v>15</v>
      </c>
      <c r="G88" t="s">
        <v>12</v>
      </c>
      <c r="H88" t="s">
        <v>12</v>
      </c>
      <c r="I88" t="s">
        <v>13</v>
      </c>
      <c r="J88" t="s">
        <v>14</v>
      </c>
      <c r="K88">
        <v>815</v>
      </c>
      <c r="L88">
        <v>815</v>
      </c>
      <c r="M88">
        <f t="shared" si="2"/>
        <v>55367</v>
      </c>
      <c r="N88" s="10" t="str">
        <f t="shared" si="3"/>
        <v>Low</v>
      </c>
    </row>
    <row r="89" spans="1:14" x14ac:dyDescent="0.35">
      <c r="A89">
        <v>11.741</v>
      </c>
      <c r="B89">
        <v>2271</v>
      </c>
      <c r="C89">
        <v>182</v>
      </c>
      <c r="D89">
        <v>4</v>
      </c>
      <c r="E89">
        <v>59</v>
      </c>
      <c r="F89">
        <v>12</v>
      </c>
      <c r="G89" t="s">
        <v>13</v>
      </c>
      <c r="H89" t="s">
        <v>12</v>
      </c>
      <c r="I89" t="s">
        <v>12</v>
      </c>
      <c r="J89" t="s">
        <v>15</v>
      </c>
      <c r="K89">
        <v>0</v>
      </c>
      <c r="L89">
        <v>0</v>
      </c>
      <c r="M89">
        <f t="shared" si="2"/>
        <v>11741</v>
      </c>
      <c r="N89" s="10" t="str">
        <f t="shared" si="3"/>
        <v>High</v>
      </c>
    </row>
    <row r="90" spans="1:14" x14ac:dyDescent="0.35">
      <c r="A90">
        <v>15.56</v>
      </c>
      <c r="B90">
        <v>4307</v>
      </c>
      <c r="C90">
        <v>352</v>
      </c>
      <c r="D90">
        <v>4</v>
      </c>
      <c r="E90">
        <v>57</v>
      </c>
      <c r="F90">
        <v>8</v>
      </c>
      <c r="G90" t="s">
        <v>12</v>
      </c>
      <c r="H90" t="s">
        <v>12</v>
      </c>
      <c r="I90" t="s">
        <v>13</v>
      </c>
      <c r="J90" t="s">
        <v>16</v>
      </c>
      <c r="K90">
        <v>579</v>
      </c>
      <c r="L90">
        <v>2316</v>
      </c>
      <c r="M90">
        <f t="shared" si="2"/>
        <v>15560</v>
      </c>
      <c r="N90" s="10" t="str">
        <f t="shared" si="3"/>
        <v>High</v>
      </c>
    </row>
    <row r="91" spans="1:14" x14ac:dyDescent="0.35">
      <c r="A91">
        <v>59.53</v>
      </c>
      <c r="B91">
        <v>7518</v>
      </c>
      <c r="C91">
        <v>543</v>
      </c>
      <c r="D91">
        <v>3</v>
      </c>
      <c r="E91">
        <v>52</v>
      </c>
      <c r="F91">
        <v>9</v>
      </c>
      <c r="G91" t="s">
        <v>13</v>
      </c>
      <c r="H91" t="s">
        <v>12</v>
      </c>
      <c r="I91" t="s">
        <v>12</v>
      </c>
      <c r="J91" t="s">
        <v>16</v>
      </c>
      <c r="K91">
        <v>1176</v>
      </c>
      <c r="L91">
        <v>3528</v>
      </c>
      <c r="M91">
        <f t="shared" si="2"/>
        <v>59530</v>
      </c>
      <c r="N91" s="10" t="str">
        <f t="shared" si="3"/>
        <v>Low</v>
      </c>
    </row>
    <row r="92" spans="1:14" x14ac:dyDescent="0.35">
      <c r="A92">
        <v>20.190999999999999</v>
      </c>
      <c r="B92">
        <v>5767</v>
      </c>
      <c r="C92">
        <v>431</v>
      </c>
      <c r="D92">
        <v>4</v>
      </c>
      <c r="E92">
        <v>42</v>
      </c>
      <c r="F92">
        <v>16</v>
      </c>
      <c r="G92" t="s">
        <v>12</v>
      </c>
      <c r="H92" t="s">
        <v>12</v>
      </c>
      <c r="I92" t="s">
        <v>13</v>
      </c>
      <c r="J92" t="s">
        <v>16</v>
      </c>
      <c r="K92">
        <v>1023</v>
      </c>
      <c r="L92">
        <v>4092</v>
      </c>
      <c r="M92">
        <f t="shared" si="2"/>
        <v>20191</v>
      </c>
      <c r="N92" s="10" t="str">
        <f t="shared" si="3"/>
        <v>High</v>
      </c>
    </row>
    <row r="93" spans="1:14" x14ac:dyDescent="0.35">
      <c r="A93">
        <v>48.497999999999998</v>
      </c>
      <c r="B93">
        <v>6040</v>
      </c>
      <c r="C93">
        <v>456</v>
      </c>
      <c r="D93">
        <v>3</v>
      </c>
      <c r="E93">
        <v>47</v>
      </c>
      <c r="F93">
        <v>16</v>
      </c>
      <c r="G93" t="s">
        <v>12</v>
      </c>
      <c r="H93" t="s">
        <v>12</v>
      </c>
      <c r="I93" t="s">
        <v>13</v>
      </c>
      <c r="J93" t="s">
        <v>14</v>
      </c>
      <c r="K93">
        <v>812</v>
      </c>
      <c r="L93">
        <v>2436</v>
      </c>
      <c r="M93">
        <f t="shared" si="2"/>
        <v>48498</v>
      </c>
      <c r="N93" s="10" t="str">
        <f t="shared" si="3"/>
        <v>Low</v>
      </c>
    </row>
    <row r="94" spans="1:14" x14ac:dyDescent="0.35">
      <c r="A94">
        <v>30.733000000000001</v>
      </c>
      <c r="B94">
        <v>2832</v>
      </c>
      <c r="C94">
        <v>249</v>
      </c>
      <c r="D94">
        <v>4</v>
      </c>
      <c r="E94">
        <v>51</v>
      </c>
      <c r="F94">
        <v>13</v>
      </c>
      <c r="G94" t="s">
        <v>12</v>
      </c>
      <c r="H94" t="s">
        <v>12</v>
      </c>
      <c r="I94" t="s">
        <v>12</v>
      </c>
      <c r="J94" t="s">
        <v>14</v>
      </c>
      <c r="K94">
        <v>0</v>
      </c>
      <c r="L94">
        <v>0</v>
      </c>
      <c r="M94">
        <f t="shared" si="2"/>
        <v>30733</v>
      </c>
      <c r="N94" s="10" t="str">
        <f t="shared" si="3"/>
        <v>High</v>
      </c>
    </row>
    <row r="95" spans="1:14" x14ac:dyDescent="0.35">
      <c r="A95">
        <v>16.478999999999999</v>
      </c>
      <c r="B95">
        <v>5435</v>
      </c>
      <c r="C95">
        <v>388</v>
      </c>
      <c r="D95">
        <v>2</v>
      </c>
      <c r="E95">
        <v>26</v>
      </c>
      <c r="F95">
        <v>16</v>
      </c>
      <c r="G95" t="s">
        <v>12</v>
      </c>
      <c r="H95" t="s">
        <v>12</v>
      </c>
      <c r="I95" t="s">
        <v>12</v>
      </c>
      <c r="J95" t="s">
        <v>16</v>
      </c>
      <c r="K95">
        <v>937</v>
      </c>
      <c r="L95">
        <v>1874</v>
      </c>
      <c r="M95">
        <f t="shared" si="2"/>
        <v>16479</v>
      </c>
      <c r="N95" s="10" t="str">
        <f t="shared" si="3"/>
        <v>Low</v>
      </c>
    </row>
    <row r="96" spans="1:14" x14ac:dyDescent="0.35">
      <c r="A96">
        <v>38.009</v>
      </c>
      <c r="B96">
        <v>3075</v>
      </c>
      <c r="C96">
        <v>245</v>
      </c>
      <c r="D96">
        <v>3</v>
      </c>
      <c r="E96">
        <v>45</v>
      </c>
      <c r="F96">
        <v>15</v>
      </c>
      <c r="G96" t="s">
        <v>13</v>
      </c>
      <c r="H96" t="s">
        <v>12</v>
      </c>
      <c r="I96" t="s">
        <v>12</v>
      </c>
      <c r="J96" t="s">
        <v>16</v>
      </c>
      <c r="K96">
        <v>0</v>
      </c>
      <c r="L96">
        <v>0</v>
      </c>
      <c r="M96">
        <f t="shared" si="2"/>
        <v>38009</v>
      </c>
      <c r="N96" s="10" t="str">
        <f t="shared" si="3"/>
        <v>Low</v>
      </c>
    </row>
    <row r="97" spans="1:14" x14ac:dyDescent="0.35">
      <c r="A97">
        <v>14.084</v>
      </c>
      <c r="B97">
        <v>855</v>
      </c>
      <c r="C97">
        <v>120</v>
      </c>
      <c r="D97">
        <v>5</v>
      </c>
      <c r="E97">
        <v>46</v>
      </c>
      <c r="F97">
        <v>17</v>
      </c>
      <c r="G97" t="s">
        <v>13</v>
      </c>
      <c r="H97" t="s">
        <v>12</v>
      </c>
      <c r="I97" t="s">
        <v>13</v>
      </c>
      <c r="J97" t="s">
        <v>16</v>
      </c>
      <c r="K97">
        <v>0</v>
      </c>
      <c r="L97">
        <v>0</v>
      </c>
      <c r="M97">
        <f t="shared" si="2"/>
        <v>14084</v>
      </c>
      <c r="N97" s="10" t="str">
        <f t="shared" si="3"/>
        <v>High</v>
      </c>
    </row>
    <row r="98" spans="1:14" x14ac:dyDescent="0.35">
      <c r="A98">
        <v>14.311999999999999</v>
      </c>
      <c r="B98">
        <v>5382</v>
      </c>
      <c r="C98">
        <v>367</v>
      </c>
      <c r="D98">
        <v>1</v>
      </c>
      <c r="E98">
        <v>59</v>
      </c>
      <c r="F98">
        <v>17</v>
      </c>
      <c r="G98" t="s">
        <v>12</v>
      </c>
      <c r="H98" t="s">
        <v>13</v>
      </c>
      <c r="I98" t="s">
        <v>12</v>
      </c>
      <c r="J98" t="s">
        <v>15</v>
      </c>
      <c r="K98">
        <v>1380</v>
      </c>
      <c r="L98">
        <v>1380</v>
      </c>
      <c r="M98">
        <f t="shared" si="2"/>
        <v>14312</v>
      </c>
      <c r="N98" s="10" t="str">
        <f t="shared" si="3"/>
        <v>Low</v>
      </c>
    </row>
    <row r="99" spans="1:14" x14ac:dyDescent="0.35">
      <c r="A99">
        <v>26.067</v>
      </c>
      <c r="B99">
        <v>3388</v>
      </c>
      <c r="C99">
        <v>266</v>
      </c>
      <c r="D99">
        <v>4</v>
      </c>
      <c r="E99">
        <v>74</v>
      </c>
      <c r="F99">
        <v>17</v>
      </c>
      <c r="G99" t="s">
        <v>13</v>
      </c>
      <c r="H99" t="s">
        <v>12</v>
      </c>
      <c r="I99" t="s">
        <v>13</v>
      </c>
      <c r="J99" t="s">
        <v>16</v>
      </c>
      <c r="K99">
        <v>155</v>
      </c>
      <c r="L99">
        <v>620</v>
      </c>
      <c r="M99">
        <f t="shared" si="2"/>
        <v>26067</v>
      </c>
      <c r="N99" s="10" t="str">
        <f t="shared" si="3"/>
        <v>High</v>
      </c>
    </row>
    <row r="100" spans="1:14" x14ac:dyDescent="0.35">
      <c r="A100">
        <v>36.295000000000002</v>
      </c>
      <c r="B100">
        <v>2963</v>
      </c>
      <c r="C100">
        <v>241</v>
      </c>
      <c r="D100">
        <v>2</v>
      </c>
      <c r="E100">
        <v>68</v>
      </c>
      <c r="F100">
        <v>14</v>
      </c>
      <c r="G100" t="s">
        <v>13</v>
      </c>
      <c r="H100" t="s">
        <v>13</v>
      </c>
      <c r="I100" t="s">
        <v>12</v>
      </c>
      <c r="J100" t="s">
        <v>16</v>
      </c>
      <c r="K100">
        <v>375</v>
      </c>
      <c r="L100">
        <v>750</v>
      </c>
      <c r="M100">
        <f t="shared" si="2"/>
        <v>36295</v>
      </c>
      <c r="N100" s="10" t="str">
        <f t="shared" si="3"/>
        <v>Low</v>
      </c>
    </row>
    <row r="101" spans="1:14" x14ac:dyDescent="0.35">
      <c r="A101">
        <v>83.850999999999999</v>
      </c>
      <c r="B101">
        <v>8494</v>
      </c>
      <c r="C101">
        <v>607</v>
      </c>
      <c r="D101">
        <v>5</v>
      </c>
      <c r="E101">
        <v>47</v>
      </c>
      <c r="F101">
        <v>18</v>
      </c>
      <c r="G101" t="s">
        <v>12</v>
      </c>
      <c r="H101" t="s">
        <v>12</v>
      </c>
      <c r="I101" t="s">
        <v>12</v>
      </c>
      <c r="J101" t="s">
        <v>14</v>
      </c>
      <c r="K101">
        <v>1311</v>
      </c>
      <c r="L101">
        <v>6555</v>
      </c>
      <c r="M101">
        <f t="shared" si="2"/>
        <v>83851</v>
      </c>
      <c r="N101" s="10" t="str">
        <f t="shared" si="3"/>
        <v>High</v>
      </c>
    </row>
    <row r="102" spans="1:14" x14ac:dyDescent="0.35">
      <c r="A102">
        <v>21.152999999999999</v>
      </c>
      <c r="B102">
        <v>3736</v>
      </c>
      <c r="C102">
        <v>256</v>
      </c>
      <c r="D102">
        <v>1</v>
      </c>
      <c r="E102">
        <v>41</v>
      </c>
      <c r="F102">
        <v>11</v>
      </c>
      <c r="G102" t="s">
        <v>12</v>
      </c>
      <c r="H102" t="s">
        <v>12</v>
      </c>
      <c r="I102" t="s">
        <v>12</v>
      </c>
      <c r="J102" t="s">
        <v>14</v>
      </c>
      <c r="K102">
        <v>298</v>
      </c>
      <c r="L102">
        <v>298</v>
      </c>
      <c r="M102">
        <f t="shared" si="2"/>
        <v>21153</v>
      </c>
      <c r="N102" s="10" t="str">
        <f t="shared" si="3"/>
        <v>Low</v>
      </c>
    </row>
    <row r="103" spans="1:14" x14ac:dyDescent="0.35">
      <c r="A103">
        <v>17.975999999999999</v>
      </c>
      <c r="B103">
        <v>2433</v>
      </c>
      <c r="C103">
        <v>190</v>
      </c>
      <c r="D103">
        <v>3</v>
      </c>
      <c r="E103">
        <v>70</v>
      </c>
      <c r="F103">
        <v>16</v>
      </c>
      <c r="G103" t="s">
        <v>13</v>
      </c>
      <c r="H103" t="s">
        <v>13</v>
      </c>
      <c r="I103" t="s">
        <v>12</v>
      </c>
      <c r="J103" t="s">
        <v>14</v>
      </c>
      <c r="K103">
        <v>431</v>
      </c>
      <c r="L103">
        <v>1293</v>
      </c>
      <c r="M103">
        <f t="shared" si="2"/>
        <v>17976</v>
      </c>
      <c r="N103" s="10" t="str">
        <f t="shared" si="3"/>
        <v>Low</v>
      </c>
    </row>
    <row r="104" spans="1:14" x14ac:dyDescent="0.35">
      <c r="A104">
        <v>68.712999999999994</v>
      </c>
      <c r="B104">
        <v>7582</v>
      </c>
      <c r="C104">
        <v>531</v>
      </c>
      <c r="D104">
        <v>2</v>
      </c>
      <c r="E104">
        <v>56</v>
      </c>
      <c r="F104">
        <v>16</v>
      </c>
      <c r="G104" t="s">
        <v>12</v>
      </c>
      <c r="H104" t="s">
        <v>13</v>
      </c>
      <c r="I104" t="s">
        <v>12</v>
      </c>
      <c r="J104" t="s">
        <v>14</v>
      </c>
      <c r="K104">
        <v>1587</v>
      </c>
      <c r="L104">
        <v>3174</v>
      </c>
      <c r="M104">
        <f t="shared" si="2"/>
        <v>68713</v>
      </c>
      <c r="N104" s="10" t="str">
        <f t="shared" si="3"/>
        <v>Low</v>
      </c>
    </row>
    <row r="105" spans="1:14" x14ac:dyDescent="0.35">
      <c r="A105">
        <v>146.18299999999999</v>
      </c>
      <c r="B105">
        <v>9540</v>
      </c>
      <c r="C105">
        <v>682</v>
      </c>
      <c r="D105">
        <v>6</v>
      </c>
      <c r="E105">
        <v>66</v>
      </c>
      <c r="F105">
        <v>15</v>
      </c>
      <c r="G105" t="s">
        <v>12</v>
      </c>
      <c r="H105" t="s">
        <v>12</v>
      </c>
      <c r="I105" t="s">
        <v>12</v>
      </c>
      <c r="J105" t="s">
        <v>14</v>
      </c>
      <c r="K105">
        <v>1050</v>
      </c>
      <c r="L105">
        <v>6300</v>
      </c>
      <c r="M105">
        <f t="shared" si="2"/>
        <v>146183</v>
      </c>
      <c r="N105" s="10" t="str">
        <f t="shared" si="3"/>
        <v>High</v>
      </c>
    </row>
    <row r="106" spans="1:14" x14ac:dyDescent="0.35">
      <c r="A106">
        <v>15.846</v>
      </c>
      <c r="B106">
        <v>4768</v>
      </c>
      <c r="C106">
        <v>365</v>
      </c>
      <c r="D106">
        <v>4</v>
      </c>
      <c r="E106">
        <v>53</v>
      </c>
      <c r="F106">
        <v>12</v>
      </c>
      <c r="G106" t="s">
        <v>13</v>
      </c>
      <c r="H106" t="s">
        <v>12</v>
      </c>
      <c r="I106" t="s">
        <v>12</v>
      </c>
      <c r="J106" t="s">
        <v>14</v>
      </c>
      <c r="K106">
        <v>745</v>
      </c>
      <c r="L106">
        <v>2980</v>
      </c>
      <c r="M106">
        <f t="shared" si="2"/>
        <v>15846</v>
      </c>
      <c r="N106" s="10" t="str">
        <f t="shared" si="3"/>
        <v>High</v>
      </c>
    </row>
    <row r="107" spans="1:14" x14ac:dyDescent="0.35">
      <c r="A107">
        <v>12.031000000000001</v>
      </c>
      <c r="B107">
        <v>3182</v>
      </c>
      <c r="C107">
        <v>259</v>
      </c>
      <c r="D107">
        <v>2</v>
      </c>
      <c r="E107">
        <v>58</v>
      </c>
      <c r="F107">
        <v>18</v>
      </c>
      <c r="G107" t="s">
        <v>13</v>
      </c>
      <c r="H107" t="s">
        <v>12</v>
      </c>
      <c r="I107" t="s">
        <v>13</v>
      </c>
      <c r="J107" t="s">
        <v>14</v>
      </c>
      <c r="K107">
        <v>210</v>
      </c>
      <c r="L107">
        <v>420</v>
      </c>
      <c r="M107">
        <f t="shared" si="2"/>
        <v>12031</v>
      </c>
      <c r="N107" s="10" t="str">
        <f t="shared" si="3"/>
        <v>Low</v>
      </c>
    </row>
    <row r="108" spans="1:14" x14ac:dyDescent="0.35">
      <c r="A108">
        <v>16.818999999999999</v>
      </c>
      <c r="B108">
        <v>1337</v>
      </c>
      <c r="C108">
        <v>115</v>
      </c>
      <c r="D108">
        <v>2</v>
      </c>
      <c r="E108">
        <v>74</v>
      </c>
      <c r="F108">
        <v>15</v>
      </c>
      <c r="G108" t="s">
        <v>12</v>
      </c>
      <c r="H108" t="s">
        <v>12</v>
      </c>
      <c r="I108" t="s">
        <v>13</v>
      </c>
      <c r="J108" t="s">
        <v>15</v>
      </c>
      <c r="K108">
        <v>0</v>
      </c>
      <c r="L108">
        <v>0</v>
      </c>
      <c r="M108">
        <f t="shared" si="2"/>
        <v>16819</v>
      </c>
      <c r="N108" s="10" t="str">
        <f t="shared" si="3"/>
        <v>Low</v>
      </c>
    </row>
    <row r="109" spans="1:14" x14ac:dyDescent="0.35">
      <c r="A109">
        <v>39.11</v>
      </c>
      <c r="B109">
        <v>3189</v>
      </c>
      <c r="C109">
        <v>263</v>
      </c>
      <c r="D109">
        <v>3</v>
      </c>
      <c r="E109">
        <v>72</v>
      </c>
      <c r="F109">
        <v>12</v>
      </c>
      <c r="G109" t="s">
        <v>12</v>
      </c>
      <c r="H109" t="s">
        <v>12</v>
      </c>
      <c r="I109" t="s">
        <v>12</v>
      </c>
      <c r="J109" t="s">
        <v>15</v>
      </c>
      <c r="K109">
        <v>0</v>
      </c>
      <c r="L109">
        <v>0</v>
      </c>
      <c r="M109">
        <f t="shared" si="2"/>
        <v>39110</v>
      </c>
      <c r="N109" s="10" t="str">
        <f t="shared" si="3"/>
        <v>Low</v>
      </c>
    </row>
    <row r="110" spans="1:14" x14ac:dyDescent="0.35">
      <c r="A110">
        <v>107.986</v>
      </c>
      <c r="B110">
        <v>6033</v>
      </c>
      <c r="C110">
        <v>449</v>
      </c>
      <c r="D110">
        <v>4</v>
      </c>
      <c r="E110">
        <v>64</v>
      </c>
      <c r="F110">
        <v>14</v>
      </c>
      <c r="G110" t="s">
        <v>12</v>
      </c>
      <c r="H110" t="s">
        <v>12</v>
      </c>
      <c r="I110" t="s">
        <v>13</v>
      </c>
      <c r="J110" t="s">
        <v>14</v>
      </c>
      <c r="K110">
        <v>227</v>
      </c>
      <c r="L110">
        <v>908</v>
      </c>
      <c r="M110">
        <f t="shared" si="2"/>
        <v>107986</v>
      </c>
      <c r="N110" s="10" t="str">
        <f t="shared" si="3"/>
        <v>High</v>
      </c>
    </row>
    <row r="111" spans="1:14" x14ac:dyDescent="0.35">
      <c r="A111">
        <v>13.561</v>
      </c>
      <c r="B111">
        <v>3261</v>
      </c>
      <c r="C111">
        <v>279</v>
      </c>
      <c r="D111">
        <v>5</v>
      </c>
      <c r="E111">
        <v>37</v>
      </c>
      <c r="F111">
        <v>19</v>
      </c>
      <c r="G111" t="s">
        <v>12</v>
      </c>
      <c r="H111" t="s">
        <v>12</v>
      </c>
      <c r="I111" t="s">
        <v>13</v>
      </c>
      <c r="J111" t="s">
        <v>15</v>
      </c>
      <c r="K111">
        <v>297</v>
      </c>
      <c r="L111">
        <v>1485</v>
      </c>
      <c r="M111">
        <f t="shared" si="2"/>
        <v>13561</v>
      </c>
      <c r="N111" s="10" t="str">
        <f t="shared" si="3"/>
        <v>High</v>
      </c>
    </row>
    <row r="112" spans="1:14" x14ac:dyDescent="0.35">
      <c r="A112">
        <v>34.536999999999999</v>
      </c>
      <c r="B112">
        <v>3271</v>
      </c>
      <c r="C112">
        <v>250</v>
      </c>
      <c r="D112">
        <v>3</v>
      </c>
      <c r="E112">
        <v>57</v>
      </c>
      <c r="F112">
        <v>17</v>
      </c>
      <c r="G112" t="s">
        <v>13</v>
      </c>
      <c r="H112" t="s">
        <v>12</v>
      </c>
      <c r="I112" t="s">
        <v>13</v>
      </c>
      <c r="J112" t="s">
        <v>15</v>
      </c>
      <c r="K112">
        <v>47</v>
      </c>
      <c r="L112">
        <v>141</v>
      </c>
      <c r="M112">
        <f t="shared" si="2"/>
        <v>34537</v>
      </c>
      <c r="N112" s="10" t="str">
        <f t="shared" si="3"/>
        <v>Low</v>
      </c>
    </row>
    <row r="113" spans="1:14" x14ac:dyDescent="0.35">
      <c r="A113">
        <v>28.574999999999999</v>
      </c>
      <c r="B113">
        <v>2959</v>
      </c>
      <c r="C113">
        <v>231</v>
      </c>
      <c r="D113">
        <v>2</v>
      </c>
      <c r="E113">
        <v>60</v>
      </c>
      <c r="F113">
        <v>11</v>
      </c>
      <c r="G113" t="s">
        <v>13</v>
      </c>
      <c r="H113" t="s">
        <v>12</v>
      </c>
      <c r="I113" t="s">
        <v>12</v>
      </c>
      <c r="J113" t="s">
        <v>16</v>
      </c>
      <c r="K113">
        <v>0</v>
      </c>
      <c r="L113">
        <v>0</v>
      </c>
      <c r="M113">
        <f t="shared" si="2"/>
        <v>28575</v>
      </c>
      <c r="N113" s="10" t="str">
        <f t="shared" si="3"/>
        <v>Low</v>
      </c>
    </row>
    <row r="114" spans="1:14" x14ac:dyDescent="0.35">
      <c r="A114">
        <v>46.006999999999998</v>
      </c>
      <c r="B114">
        <v>6637</v>
      </c>
      <c r="C114">
        <v>491</v>
      </c>
      <c r="D114">
        <v>4</v>
      </c>
      <c r="E114">
        <v>42</v>
      </c>
      <c r="F114">
        <v>14</v>
      </c>
      <c r="G114" t="s">
        <v>12</v>
      </c>
      <c r="H114" t="s">
        <v>12</v>
      </c>
      <c r="I114" t="s">
        <v>13</v>
      </c>
      <c r="J114" t="s">
        <v>14</v>
      </c>
      <c r="K114">
        <v>1046</v>
      </c>
      <c r="L114">
        <v>4184</v>
      </c>
      <c r="M114">
        <f t="shared" si="2"/>
        <v>46007</v>
      </c>
      <c r="N114" s="10" t="str">
        <f t="shared" si="3"/>
        <v>High</v>
      </c>
    </row>
    <row r="115" spans="1:14" x14ac:dyDescent="0.35">
      <c r="A115">
        <v>69.251000000000005</v>
      </c>
      <c r="B115">
        <v>6386</v>
      </c>
      <c r="C115">
        <v>474</v>
      </c>
      <c r="D115">
        <v>4</v>
      </c>
      <c r="E115">
        <v>30</v>
      </c>
      <c r="F115">
        <v>12</v>
      </c>
      <c r="G115" t="s">
        <v>13</v>
      </c>
      <c r="H115" t="s">
        <v>12</v>
      </c>
      <c r="I115" t="s">
        <v>13</v>
      </c>
      <c r="J115" t="s">
        <v>15</v>
      </c>
      <c r="K115">
        <v>768</v>
      </c>
      <c r="L115">
        <v>3072</v>
      </c>
      <c r="M115">
        <f t="shared" si="2"/>
        <v>69251</v>
      </c>
      <c r="N115" s="10" t="str">
        <f t="shared" si="3"/>
        <v>High</v>
      </c>
    </row>
    <row r="116" spans="1:14" x14ac:dyDescent="0.35">
      <c r="A116">
        <v>16.481999999999999</v>
      </c>
      <c r="B116">
        <v>3326</v>
      </c>
      <c r="C116">
        <v>268</v>
      </c>
      <c r="D116">
        <v>4</v>
      </c>
      <c r="E116">
        <v>41</v>
      </c>
      <c r="F116">
        <v>15</v>
      </c>
      <c r="G116" t="s">
        <v>12</v>
      </c>
      <c r="H116" t="s">
        <v>12</v>
      </c>
      <c r="I116" t="s">
        <v>12</v>
      </c>
      <c r="J116" t="s">
        <v>14</v>
      </c>
      <c r="K116">
        <v>271</v>
      </c>
      <c r="L116">
        <v>1084</v>
      </c>
      <c r="M116">
        <f t="shared" si="2"/>
        <v>16482</v>
      </c>
      <c r="N116" s="10" t="str">
        <f t="shared" si="3"/>
        <v>High</v>
      </c>
    </row>
    <row r="117" spans="1:14" x14ac:dyDescent="0.35">
      <c r="A117">
        <v>40.442</v>
      </c>
      <c r="B117">
        <v>4828</v>
      </c>
      <c r="C117">
        <v>369</v>
      </c>
      <c r="D117">
        <v>5</v>
      </c>
      <c r="E117">
        <v>81</v>
      </c>
      <c r="F117">
        <v>8</v>
      </c>
      <c r="G117" t="s">
        <v>13</v>
      </c>
      <c r="H117" t="s">
        <v>12</v>
      </c>
      <c r="I117" t="s">
        <v>12</v>
      </c>
      <c r="J117" t="s">
        <v>16</v>
      </c>
      <c r="K117">
        <v>510</v>
      </c>
      <c r="L117">
        <v>2550</v>
      </c>
      <c r="M117">
        <f t="shared" si="2"/>
        <v>40442</v>
      </c>
      <c r="N117" s="10" t="str">
        <f t="shared" si="3"/>
        <v>High</v>
      </c>
    </row>
    <row r="118" spans="1:14" x14ac:dyDescent="0.35">
      <c r="A118">
        <v>35.177</v>
      </c>
      <c r="B118">
        <v>2117</v>
      </c>
      <c r="C118">
        <v>186</v>
      </c>
      <c r="D118">
        <v>3</v>
      </c>
      <c r="E118">
        <v>62</v>
      </c>
      <c r="F118">
        <v>16</v>
      </c>
      <c r="G118" t="s">
        <v>13</v>
      </c>
      <c r="H118" t="s">
        <v>12</v>
      </c>
      <c r="I118" t="s">
        <v>12</v>
      </c>
      <c r="J118" t="s">
        <v>14</v>
      </c>
      <c r="K118">
        <v>0</v>
      </c>
      <c r="L118">
        <v>0</v>
      </c>
      <c r="M118">
        <f t="shared" si="2"/>
        <v>35177</v>
      </c>
      <c r="N118" s="10" t="str">
        <f t="shared" si="3"/>
        <v>Low</v>
      </c>
    </row>
    <row r="119" spans="1:14" x14ac:dyDescent="0.35">
      <c r="A119">
        <v>91.361999999999995</v>
      </c>
      <c r="B119">
        <v>9113</v>
      </c>
      <c r="C119">
        <v>626</v>
      </c>
      <c r="D119">
        <v>1</v>
      </c>
      <c r="E119">
        <v>47</v>
      </c>
      <c r="F119">
        <v>17</v>
      </c>
      <c r="G119" t="s">
        <v>12</v>
      </c>
      <c r="H119" t="s">
        <v>12</v>
      </c>
      <c r="I119" t="s">
        <v>13</v>
      </c>
      <c r="J119" t="s">
        <v>15</v>
      </c>
      <c r="K119">
        <v>1341</v>
      </c>
      <c r="L119">
        <v>1341</v>
      </c>
      <c r="M119">
        <f t="shared" si="2"/>
        <v>91362</v>
      </c>
      <c r="N119" s="10" t="str">
        <f t="shared" si="3"/>
        <v>Low</v>
      </c>
    </row>
    <row r="120" spans="1:14" x14ac:dyDescent="0.35">
      <c r="A120">
        <v>27.039000000000001</v>
      </c>
      <c r="B120">
        <v>2161</v>
      </c>
      <c r="C120">
        <v>173</v>
      </c>
      <c r="D120">
        <v>3</v>
      </c>
      <c r="E120">
        <v>40</v>
      </c>
      <c r="F120">
        <v>17</v>
      </c>
      <c r="G120" t="s">
        <v>13</v>
      </c>
      <c r="H120" t="s">
        <v>12</v>
      </c>
      <c r="I120" t="s">
        <v>12</v>
      </c>
      <c r="J120" t="s">
        <v>14</v>
      </c>
      <c r="K120">
        <v>0</v>
      </c>
      <c r="L120">
        <v>0</v>
      </c>
      <c r="M120">
        <f t="shared" si="2"/>
        <v>27039</v>
      </c>
      <c r="N120" s="10" t="str">
        <f t="shared" si="3"/>
        <v>Low</v>
      </c>
    </row>
    <row r="121" spans="1:14" x14ac:dyDescent="0.35">
      <c r="A121">
        <v>23.012</v>
      </c>
      <c r="B121">
        <v>1410</v>
      </c>
      <c r="C121">
        <v>137</v>
      </c>
      <c r="D121">
        <v>3</v>
      </c>
      <c r="E121">
        <v>81</v>
      </c>
      <c r="F121">
        <v>16</v>
      </c>
      <c r="G121" t="s">
        <v>12</v>
      </c>
      <c r="H121" t="s">
        <v>12</v>
      </c>
      <c r="I121" t="s">
        <v>12</v>
      </c>
      <c r="J121" t="s">
        <v>14</v>
      </c>
      <c r="K121">
        <v>0</v>
      </c>
      <c r="L121">
        <v>0</v>
      </c>
      <c r="M121">
        <f t="shared" si="2"/>
        <v>23012</v>
      </c>
      <c r="N121" s="10" t="str">
        <f t="shared" si="3"/>
        <v>Low</v>
      </c>
    </row>
    <row r="122" spans="1:14" x14ac:dyDescent="0.35">
      <c r="A122">
        <v>27.241</v>
      </c>
      <c r="B122">
        <v>1402</v>
      </c>
      <c r="C122">
        <v>128</v>
      </c>
      <c r="D122">
        <v>2</v>
      </c>
      <c r="E122">
        <v>67</v>
      </c>
      <c r="F122">
        <v>15</v>
      </c>
      <c r="G122" t="s">
        <v>13</v>
      </c>
      <c r="H122" t="s">
        <v>12</v>
      </c>
      <c r="I122" t="s">
        <v>13</v>
      </c>
      <c r="J122" t="s">
        <v>15</v>
      </c>
      <c r="K122">
        <v>0</v>
      </c>
      <c r="L122">
        <v>0</v>
      </c>
      <c r="M122">
        <f t="shared" si="2"/>
        <v>27241</v>
      </c>
      <c r="N122" s="10" t="str">
        <f t="shared" si="3"/>
        <v>Low</v>
      </c>
    </row>
    <row r="123" spans="1:14" x14ac:dyDescent="0.35">
      <c r="A123">
        <v>148.08000000000001</v>
      </c>
      <c r="B123">
        <v>8157</v>
      </c>
      <c r="C123">
        <v>599</v>
      </c>
      <c r="D123">
        <v>2</v>
      </c>
      <c r="E123">
        <v>83</v>
      </c>
      <c r="F123">
        <v>13</v>
      </c>
      <c r="G123" t="s">
        <v>12</v>
      </c>
      <c r="H123" t="s">
        <v>12</v>
      </c>
      <c r="I123" t="s">
        <v>13</v>
      </c>
      <c r="J123" t="s">
        <v>14</v>
      </c>
      <c r="K123">
        <v>454</v>
      </c>
      <c r="L123">
        <v>908</v>
      </c>
      <c r="M123">
        <f t="shared" si="2"/>
        <v>148080</v>
      </c>
      <c r="N123" s="10" t="str">
        <f t="shared" si="3"/>
        <v>Low</v>
      </c>
    </row>
    <row r="124" spans="1:14" x14ac:dyDescent="0.35">
      <c r="A124">
        <v>62.601999999999997</v>
      </c>
      <c r="B124">
        <v>7056</v>
      </c>
      <c r="C124">
        <v>481</v>
      </c>
      <c r="D124">
        <v>1</v>
      </c>
      <c r="E124">
        <v>84</v>
      </c>
      <c r="F124">
        <v>11</v>
      </c>
      <c r="G124" t="s">
        <v>13</v>
      </c>
      <c r="H124" t="s">
        <v>12</v>
      </c>
      <c r="I124" t="s">
        <v>12</v>
      </c>
      <c r="J124" t="s">
        <v>14</v>
      </c>
      <c r="K124">
        <v>904</v>
      </c>
      <c r="L124">
        <v>904</v>
      </c>
      <c r="M124">
        <f t="shared" si="2"/>
        <v>62602</v>
      </c>
      <c r="N124" s="10" t="str">
        <f t="shared" si="3"/>
        <v>Low</v>
      </c>
    </row>
    <row r="125" spans="1:14" x14ac:dyDescent="0.35">
      <c r="A125">
        <v>11.808</v>
      </c>
      <c r="B125">
        <v>1300</v>
      </c>
      <c r="C125">
        <v>117</v>
      </c>
      <c r="D125">
        <v>3</v>
      </c>
      <c r="E125">
        <v>77</v>
      </c>
      <c r="F125">
        <v>14</v>
      </c>
      <c r="G125" t="s">
        <v>13</v>
      </c>
      <c r="H125" t="s">
        <v>12</v>
      </c>
      <c r="I125" t="s">
        <v>12</v>
      </c>
      <c r="J125" t="s">
        <v>16</v>
      </c>
      <c r="K125">
        <v>0</v>
      </c>
      <c r="L125">
        <v>0</v>
      </c>
      <c r="M125">
        <f t="shared" si="2"/>
        <v>11808</v>
      </c>
      <c r="N125" s="10" t="str">
        <f t="shared" si="3"/>
        <v>Low</v>
      </c>
    </row>
    <row r="126" spans="1:14" x14ac:dyDescent="0.35">
      <c r="A126">
        <v>29.564</v>
      </c>
      <c r="B126">
        <v>2529</v>
      </c>
      <c r="C126">
        <v>192</v>
      </c>
      <c r="D126">
        <v>1</v>
      </c>
      <c r="E126">
        <v>30</v>
      </c>
      <c r="F126">
        <v>12</v>
      </c>
      <c r="G126" t="s">
        <v>13</v>
      </c>
      <c r="H126" t="s">
        <v>12</v>
      </c>
      <c r="I126" t="s">
        <v>13</v>
      </c>
      <c r="J126" t="s">
        <v>14</v>
      </c>
      <c r="K126">
        <v>0</v>
      </c>
      <c r="L126">
        <v>0</v>
      </c>
      <c r="M126">
        <f t="shared" si="2"/>
        <v>29564</v>
      </c>
      <c r="N126" s="10" t="str">
        <f t="shared" si="3"/>
        <v>Low</v>
      </c>
    </row>
    <row r="127" spans="1:14" x14ac:dyDescent="0.35">
      <c r="A127">
        <v>27.577999999999999</v>
      </c>
      <c r="B127">
        <v>2531</v>
      </c>
      <c r="C127">
        <v>195</v>
      </c>
      <c r="D127">
        <v>1</v>
      </c>
      <c r="E127">
        <v>34</v>
      </c>
      <c r="F127">
        <v>15</v>
      </c>
      <c r="G127" t="s">
        <v>13</v>
      </c>
      <c r="H127" t="s">
        <v>12</v>
      </c>
      <c r="I127" t="s">
        <v>13</v>
      </c>
      <c r="J127" t="s">
        <v>14</v>
      </c>
      <c r="K127">
        <v>0</v>
      </c>
      <c r="L127">
        <v>0</v>
      </c>
      <c r="M127">
        <f t="shared" si="2"/>
        <v>27578</v>
      </c>
      <c r="N127" s="10" t="str">
        <f t="shared" si="3"/>
        <v>Low</v>
      </c>
    </row>
    <row r="128" spans="1:14" x14ac:dyDescent="0.35">
      <c r="A128">
        <v>26.427</v>
      </c>
      <c r="B128">
        <v>5533</v>
      </c>
      <c r="C128">
        <v>433</v>
      </c>
      <c r="D128">
        <v>5</v>
      </c>
      <c r="E128">
        <v>50</v>
      </c>
      <c r="F128">
        <v>15</v>
      </c>
      <c r="G128" t="s">
        <v>13</v>
      </c>
      <c r="H128" t="s">
        <v>13</v>
      </c>
      <c r="I128" t="s">
        <v>13</v>
      </c>
      <c r="J128" t="s">
        <v>15</v>
      </c>
      <c r="K128">
        <v>1404</v>
      </c>
      <c r="L128">
        <v>7020</v>
      </c>
      <c r="M128">
        <f t="shared" si="2"/>
        <v>26427</v>
      </c>
      <c r="N128" s="10" t="str">
        <f t="shared" si="3"/>
        <v>High</v>
      </c>
    </row>
    <row r="129" spans="1:14" x14ac:dyDescent="0.35">
      <c r="A129">
        <v>57.201999999999998</v>
      </c>
      <c r="B129">
        <v>3411</v>
      </c>
      <c r="C129">
        <v>259</v>
      </c>
      <c r="D129">
        <v>3</v>
      </c>
      <c r="E129">
        <v>72</v>
      </c>
      <c r="F129">
        <v>11</v>
      </c>
      <c r="G129" t="s">
        <v>13</v>
      </c>
      <c r="H129" t="s">
        <v>12</v>
      </c>
      <c r="I129" t="s">
        <v>12</v>
      </c>
      <c r="J129" t="s">
        <v>14</v>
      </c>
      <c r="K129">
        <v>0</v>
      </c>
      <c r="L129">
        <v>0</v>
      </c>
      <c r="M129">
        <f t="shared" si="2"/>
        <v>57202</v>
      </c>
      <c r="N129" s="10" t="str">
        <f t="shared" si="3"/>
        <v>Low</v>
      </c>
    </row>
    <row r="130" spans="1:14" x14ac:dyDescent="0.35">
      <c r="A130">
        <v>123.29900000000001</v>
      </c>
      <c r="B130">
        <v>8376</v>
      </c>
      <c r="C130">
        <v>610</v>
      </c>
      <c r="D130">
        <v>2</v>
      </c>
      <c r="E130">
        <v>89</v>
      </c>
      <c r="F130">
        <v>17</v>
      </c>
      <c r="G130" t="s">
        <v>12</v>
      </c>
      <c r="H130" t="s">
        <v>13</v>
      </c>
      <c r="I130" t="s">
        <v>12</v>
      </c>
      <c r="J130" t="s">
        <v>16</v>
      </c>
      <c r="K130">
        <v>1259</v>
      </c>
      <c r="L130">
        <v>2518</v>
      </c>
      <c r="M130">
        <f t="shared" si="2"/>
        <v>123299</v>
      </c>
      <c r="N130" s="10" t="str">
        <f t="shared" si="3"/>
        <v>Low</v>
      </c>
    </row>
    <row r="131" spans="1:14" x14ac:dyDescent="0.35">
      <c r="A131">
        <v>18.145</v>
      </c>
      <c r="B131">
        <v>3461</v>
      </c>
      <c r="C131">
        <v>279</v>
      </c>
      <c r="D131">
        <v>3</v>
      </c>
      <c r="E131">
        <v>56</v>
      </c>
      <c r="F131">
        <v>15</v>
      </c>
      <c r="G131" t="s">
        <v>12</v>
      </c>
      <c r="H131" t="s">
        <v>12</v>
      </c>
      <c r="I131" t="s">
        <v>13</v>
      </c>
      <c r="J131" t="s">
        <v>16</v>
      </c>
      <c r="K131">
        <v>255</v>
      </c>
      <c r="L131">
        <v>765</v>
      </c>
      <c r="M131">
        <f t="shared" ref="M131:M194" si="4">A131*1000</f>
        <v>18145</v>
      </c>
      <c r="N131" s="10" t="str">
        <f t="shared" ref="N131:N194" si="5">IF(D131&lt;=3, "Low", "High")</f>
        <v>Low</v>
      </c>
    </row>
    <row r="132" spans="1:14" x14ac:dyDescent="0.35">
      <c r="A132">
        <v>23.792999999999999</v>
      </c>
      <c r="B132">
        <v>3821</v>
      </c>
      <c r="C132">
        <v>281</v>
      </c>
      <c r="D132">
        <v>4</v>
      </c>
      <c r="E132">
        <v>56</v>
      </c>
      <c r="F132">
        <v>12</v>
      </c>
      <c r="G132" t="s">
        <v>13</v>
      </c>
      <c r="H132" t="s">
        <v>13</v>
      </c>
      <c r="I132" t="s">
        <v>13</v>
      </c>
      <c r="J132" t="s">
        <v>16</v>
      </c>
      <c r="K132">
        <v>868</v>
      </c>
      <c r="L132">
        <v>3472</v>
      </c>
      <c r="M132">
        <f t="shared" si="4"/>
        <v>23793</v>
      </c>
      <c r="N132" s="10" t="str">
        <f t="shared" si="5"/>
        <v>High</v>
      </c>
    </row>
    <row r="133" spans="1:14" x14ac:dyDescent="0.35">
      <c r="A133">
        <v>10.726000000000001</v>
      </c>
      <c r="B133">
        <v>1568</v>
      </c>
      <c r="C133">
        <v>162</v>
      </c>
      <c r="D133">
        <v>5</v>
      </c>
      <c r="E133">
        <v>46</v>
      </c>
      <c r="F133">
        <v>19</v>
      </c>
      <c r="G133" t="s">
        <v>12</v>
      </c>
      <c r="H133" t="s">
        <v>12</v>
      </c>
      <c r="I133" t="s">
        <v>13</v>
      </c>
      <c r="J133" t="s">
        <v>15</v>
      </c>
      <c r="K133">
        <v>0</v>
      </c>
      <c r="L133">
        <v>0</v>
      </c>
      <c r="M133">
        <f t="shared" si="4"/>
        <v>10726</v>
      </c>
      <c r="N133" s="10" t="str">
        <f t="shared" si="5"/>
        <v>High</v>
      </c>
    </row>
    <row r="134" spans="1:14" x14ac:dyDescent="0.35">
      <c r="A134">
        <v>23.283000000000001</v>
      </c>
      <c r="B134">
        <v>5443</v>
      </c>
      <c r="C134">
        <v>407</v>
      </c>
      <c r="D134">
        <v>4</v>
      </c>
      <c r="E134">
        <v>49</v>
      </c>
      <c r="F134">
        <v>13</v>
      </c>
      <c r="G134" t="s">
        <v>12</v>
      </c>
      <c r="H134" t="s">
        <v>12</v>
      </c>
      <c r="I134" t="s">
        <v>13</v>
      </c>
      <c r="J134" t="s">
        <v>16</v>
      </c>
      <c r="K134">
        <v>912</v>
      </c>
      <c r="L134">
        <v>3648</v>
      </c>
      <c r="M134">
        <f t="shared" si="4"/>
        <v>23283</v>
      </c>
      <c r="N134" s="10" t="str">
        <f t="shared" si="5"/>
        <v>High</v>
      </c>
    </row>
    <row r="135" spans="1:14" x14ac:dyDescent="0.35">
      <c r="A135">
        <v>21.454999999999998</v>
      </c>
      <c r="B135">
        <v>5829</v>
      </c>
      <c r="C135">
        <v>427</v>
      </c>
      <c r="D135">
        <v>4</v>
      </c>
      <c r="E135">
        <v>80</v>
      </c>
      <c r="F135">
        <v>12</v>
      </c>
      <c r="G135" t="s">
        <v>13</v>
      </c>
      <c r="H135" t="s">
        <v>12</v>
      </c>
      <c r="I135" t="s">
        <v>13</v>
      </c>
      <c r="J135" t="s">
        <v>16</v>
      </c>
      <c r="K135">
        <v>1018</v>
      </c>
      <c r="L135">
        <v>4072</v>
      </c>
      <c r="M135">
        <f t="shared" si="4"/>
        <v>21455</v>
      </c>
      <c r="N135" s="10" t="str">
        <f t="shared" si="5"/>
        <v>High</v>
      </c>
    </row>
    <row r="136" spans="1:14" x14ac:dyDescent="0.35">
      <c r="A136">
        <v>34.664000000000001</v>
      </c>
      <c r="B136">
        <v>5835</v>
      </c>
      <c r="C136">
        <v>452</v>
      </c>
      <c r="D136">
        <v>3</v>
      </c>
      <c r="E136">
        <v>77</v>
      </c>
      <c r="F136">
        <v>15</v>
      </c>
      <c r="G136" t="s">
        <v>13</v>
      </c>
      <c r="H136" t="s">
        <v>12</v>
      </c>
      <c r="I136" t="s">
        <v>13</v>
      </c>
      <c r="J136" t="s">
        <v>16</v>
      </c>
      <c r="K136">
        <v>835</v>
      </c>
      <c r="L136">
        <v>2505</v>
      </c>
      <c r="M136">
        <f t="shared" si="4"/>
        <v>34664</v>
      </c>
      <c r="N136" s="10" t="str">
        <f t="shared" si="5"/>
        <v>Low</v>
      </c>
    </row>
    <row r="137" spans="1:14" x14ac:dyDescent="0.35">
      <c r="A137">
        <v>44.472999999999999</v>
      </c>
      <c r="B137">
        <v>3500</v>
      </c>
      <c r="C137">
        <v>257</v>
      </c>
      <c r="D137">
        <v>3</v>
      </c>
      <c r="E137">
        <v>81</v>
      </c>
      <c r="F137">
        <v>16</v>
      </c>
      <c r="G137" t="s">
        <v>13</v>
      </c>
      <c r="H137" t="s">
        <v>12</v>
      </c>
      <c r="I137" t="s">
        <v>12</v>
      </c>
      <c r="J137" t="s">
        <v>16</v>
      </c>
      <c r="K137">
        <v>8</v>
      </c>
      <c r="L137">
        <v>24</v>
      </c>
      <c r="M137">
        <f t="shared" si="4"/>
        <v>44473</v>
      </c>
      <c r="N137" s="10" t="str">
        <f t="shared" si="5"/>
        <v>Low</v>
      </c>
    </row>
    <row r="138" spans="1:14" x14ac:dyDescent="0.35">
      <c r="A138">
        <v>54.662999999999997</v>
      </c>
      <c r="B138">
        <v>4116</v>
      </c>
      <c r="C138">
        <v>314</v>
      </c>
      <c r="D138">
        <v>2</v>
      </c>
      <c r="E138">
        <v>70</v>
      </c>
      <c r="F138">
        <v>8</v>
      </c>
      <c r="G138" t="s">
        <v>13</v>
      </c>
      <c r="H138" t="s">
        <v>12</v>
      </c>
      <c r="I138" t="s">
        <v>12</v>
      </c>
      <c r="J138" t="s">
        <v>16</v>
      </c>
      <c r="K138">
        <v>75</v>
      </c>
      <c r="L138">
        <v>150</v>
      </c>
      <c r="M138">
        <f t="shared" si="4"/>
        <v>54663</v>
      </c>
      <c r="N138" s="10" t="str">
        <f t="shared" si="5"/>
        <v>Low</v>
      </c>
    </row>
    <row r="139" spans="1:14" x14ac:dyDescent="0.35">
      <c r="A139">
        <v>36.354999999999997</v>
      </c>
      <c r="B139">
        <v>3613</v>
      </c>
      <c r="C139">
        <v>278</v>
      </c>
      <c r="D139">
        <v>4</v>
      </c>
      <c r="E139">
        <v>35</v>
      </c>
      <c r="F139">
        <v>9</v>
      </c>
      <c r="G139" t="s">
        <v>12</v>
      </c>
      <c r="H139" t="s">
        <v>12</v>
      </c>
      <c r="I139" t="s">
        <v>13</v>
      </c>
      <c r="J139" t="s">
        <v>15</v>
      </c>
      <c r="K139">
        <v>187</v>
      </c>
      <c r="L139">
        <v>748</v>
      </c>
      <c r="M139">
        <f t="shared" si="4"/>
        <v>36355</v>
      </c>
      <c r="N139" s="10" t="str">
        <f t="shared" si="5"/>
        <v>High</v>
      </c>
    </row>
    <row r="140" spans="1:14" x14ac:dyDescent="0.35">
      <c r="A140">
        <v>21.373999999999999</v>
      </c>
      <c r="B140">
        <v>2073</v>
      </c>
      <c r="C140">
        <v>175</v>
      </c>
      <c r="D140">
        <v>2</v>
      </c>
      <c r="E140">
        <v>74</v>
      </c>
      <c r="F140">
        <v>11</v>
      </c>
      <c r="G140" t="s">
        <v>13</v>
      </c>
      <c r="H140" t="s">
        <v>12</v>
      </c>
      <c r="I140" t="s">
        <v>13</v>
      </c>
      <c r="J140" t="s">
        <v>14</v>
      </c>
      <c r="K140">
        <v>0</v>
      </c>
      <c r="L140">
        <v>0</v>
      </c>
      <c r="M140">
        <f t="shared" si="4"/>
        <v>21374</v>
      </c>
      <c r="N140" s="10" t="str">
        <f t="shared" si="5"/>
        <v>Low</v>
      </c>
    </row>
    <row r="141" spans="1:14" x14ac:dyDescent="0.35">
      <c r="A141">
        <v>107.84099999999999</v>
      </c>
      <c r="B141">
        <v>10384</v>
      </c>
      <c r="C141">
        <v>728</v>
      </c>
      <c r="D141">
        <v>3</v>
      </c>
      <c r="E141">
        <v>87</v>
      </c>
      <c r="F141">
        <v>7</v>
      </c>
      <c r="G141" t="s">
        <v>12</v>
      </c>
      <c r="H141" t="s">
        <v>12</v>
      </c>
      <c r="I141" t="s">
        <v>12</v>
      </c>
      <c r="J141" t="s">
        <v>16</v>
      </c>
      <c r="K141">
        <v>1597</v>
      </c>
      <c r="L141">
        <v>4791</v>
      </c>
      <c r="M141">
        <f t="shared" si="4"/>
        <v>107841</v>
      </c>
      <c r="N141" s="10" t="str">
        <f t="shared" si="5"/>
        <v>Low</v>
      </c>
    </row>
    <row r="142" spans="1:14" x14ac:dyDescent="0.35">
      <c r="A142">
        <v>39.831000000000003</v>
      </c>
      <c r="B142">
        <v>6045</v>
      </c>
      <c r="C142">
        <v>459</v>
      </c>
      <c r="D142">
        <v>3</v>
      </c>
      <c r="E142">
        <v>32</v>
      </c>
      <c r="F142">
        <v>12</v>
      </c>
      <c r="G142" t="s">
        <v>13</v>
      </c>
      <c r="H142" t="s">
        <v>13</v>
      </c>
      <c r="I142" t="s">
        <v>13</v>
      </c>
      <c r="J142" t="s">
        <v>16</v>
      </c>
      <c r="K142">
        <v>1425</v>
      </c>
      <c r="L142">
        <v>4275</v>
      </c>
      <c r="M142">
        <f t="shared" si="4"/>
        <v>39831</v>
      </c>
      <c r="N142" s="10" t="str">
        <f t="shared" si="5"/>
        <v>Low</v>
      </c>
    </row>
    <row r="143" spans="1:14" x14ac:dyDescent="0.35">
      <c r="A143">
        <v>91.876000000000005</v>
      </c>
      <c r="B143">
        <v>6754</v>
      </c>
      <c r="C143">
        <v>483</v>
      </c>
      <c r="D143">
        <v>2</v>
      </c>
      <c r="E143">
        <v>33</v>
      </c>
      <c r="F143">
        <v>10</v>
      </c>
      <c r="G143" t="s">
        <v>12</v>
      </c>
      <c r="H143" t="s">
        <v>12</v>
      </c>
      <c r="I143" t="s">
        <v>13</v>
      </c>
      <c r="J143" t="s">
        <v>14</v>
      </c>
      <c r="K143">
        <v>605</v>
      </c>
      <c r="L143">
        <v>1210</v>
      </c>
      <c r="M143">
        <f t="shared" si="4"/>
        <v>91876</v>
      </c>
      <c r="N143" s="10" t="str">
        <f t="shared" si="5"/>
        <v>Low</v>
      </c>
    </row>
    <row r="144" spans="1:14" x14ac:dyDescent="0.35">
      <c r="A144">
        <v>103.893</v>
      </c>
      <c r="B144">
        <v>7416</v>
      </c>
      <c r="C144">
        <v>549</v>
      </c>
      <c r="D144">
        <v>3</v>
      </c>
      <c r="E144">
        <v>84</v>
      </c>
      <c r="F144">
        <v>17</v>
      </c>
      <c r="G144" t="s">
        <v>12</v>
      </c>
      <c r="H144" t="s">
        <v>12</v>
      </c>
      <c r="I144" t="s">
        <v>12</v>
      </c>
      <c r="J144" t="s">
        <v>15</v>
      </c>
      <c r="K144">
        <v>669</v>
      </c>
      <c r="L144">
        <v>2007</v>
      </c>
      <c r="M144">
        <f t="shared" si="4"/>
        <v>103893</v>
      </c>
      <c r="N144" s="10" t="str">
        <f t="shared" si="5"/>
        <v>Low</v>
      </c>
    </row>
    <row r="145" spans="1:14" x14ac:dyDescent="0.35">
      <c r="A145">
        <v>19.635999999999999</v>
      </c>
      <c r="B145">
        <v>4896</v>
      </c>
      <c r="C145">
        <v>387</v>
      </c>
      <c r="D145">
        <v>3</v>
      </c>
      <c r="E145">
        <v>64</v>
      </c>
      <c r="F145">
        <v>10</v>
      </c>
      <c r="G145" t="s">
        <v>13</v>
      </c>
      <c r="H145" t="s">
        <v>12</v>
      </c>
      <c r="I145" t="s">
        <v>12</v>
      </c>
      <c r="J145" t="s">
        <v>16</v>
      </c>
      <c r="K145">
        <v>710</v>
      </c>
      <c r="L145">
        <v>2130</v>
      </c>
      <c r="M145">
        <f t="shared" si="4"/>
        <v>19636</v>
      </c>
      <c r="N145" s="10" t="str">
        <f t="shared" si="5"/>
        <v>Low</v>
      </c>
    </row>
    <row r="146" spans="1:14" x14ac:dyDescent="0.35">
      <c r="A146">
        <v>17.391999999999999</v>
      </c>
      <c r="B146">
        <v>2748</v>
      </c>
      <c r="C146">
        <v>228</v>
      </c>
      <c r="D146">
        <v>3</v>
      </c>
      <c r="E146">
        <v>32</v>
      </c>
      <c r="F146">
        <v>14</v>
      </c>
      <c r="G146" t="s">
        <v>12</v>
      </c>
      <c r="H146" t="s">
        <v>12</v>
      </c>
      <c r="I146" t="s">
        <v>13</v>
      </c>
      <c r="J146" t="s">
        <v>14</v>
      </c>
      <c r="K146">
        <v>68</v>
      </c>
      <c r="L146">
        <v>204</v>
      </c>
      <c r="M146">
        <f t="shared" si="4"/>
        <v>17392</v>
      </c>
      <c r="N146" s="10" t="str">
        <f t="shared" si="5"/>
        <v>Low</v>
      </c>
    </row>
    <row r="147" spans="1:14" x14ac:dyDescent="0.35">
      <c r="A147">
        <v>19.529</v>
      </c>
      <c r="B147">
        <v>4673</v>
      </c>
      <c r="C147">
        <v>341</v>
      </c>
      <c r="D147">
        <v>2</v>
      </c>
      <c r="E147">
        <v>51</v>
      </c>
      <c r="F147">
        <v>14</v>
      </c>
      <c r="G147" t="s">
        <v>12</v>
      </c>
      <c r="H147" t="s">
        <v>12</v>
      </c>
      <c r="I147" t="s">
        <v>12</v>
      </c>
      <c r="J147" t="s">
        <v>15</v>
      </c>
      <c r="K147">
        <v>642</v>
      </c>
      <c r="L147">
        <v>1284</v>
      </c>
      <c r="M147">
        <f t="shared" si="4"/>
        <v>19529</v>
      </c>
      <c r="N147" s="10" t="str">
        <f t="shared" si="5"/>
        <v>Low</v>
      </c>
    </row>
    <row r="148" spans="1:14" x14ac:dyDescent="0.35">
      <c r="A148">
        <v>17.055</v>
      </c>
      <c r="B148">
        <v>5110</v>
      </c>
      <c r="C148">
        <v>371</v>
      </c>
      <c r="D148">
        <v>3</v>
      </c>
      <c r="E148">
        <v>55</v>
      </c>
      <c r="F148">
        <v>15</v>
      </c>
      <c r="G148" t="s">
        <v>13</v>
      </c>
      <c r="H148" t="s">
        <v>12</v>
      </c>
      <c r="I148" t="s">
        <v>13</v>
      </c>
      <c r="J148" t="s">
        <v>14</v>
      </c>
      <c r="K148">
        <v>805</v>
      </c>
      <c r="L148">
        <v>2415</v>
      </c>
      <c r="M148">
        <f t="shared" si="4"/>
        <v>17055</v>
      </c>
      <c r="N148" s="10" t="str">
        <f t="shared" si="5"/>
        <v>Low</v>
      </c>
    </row>
    <row r="149" spans="1:14" x14ac:dyDescent="0.35">
      <c r="A149">
        <v>23.856999999999999</v>
      </c>
      <c r="B149">
        <v>1501</v>
      </c>
      <c r="C149">
        <v>150</v>
      </c>
      <c r="D149">
        <v>3</v>
      </c>
      <c r="E149">
        <v>56</v>
      </c>
      <c r="F149">
        <v>16</v>
      </c>
      <c r="G149" t="s">
        <v>12</v>
      </c>
      <c r="H149" t="s">
        <v>12</v>
      </c>
      <c r="I149" t="s">
        <v>13</v>
      </c>
      <c r="J149" t="s">
        <v>14</v>
      </c>
      <c r="K149">
        <v>0</v>
      </c>
      <c r="L149">
        <v>0</v>
      </c>
      <c r="M149">
        <f t="shared" si="4"/>
        <v>23857</v>
      </c>
      <c r="N149" s="10" t="str">
        <f t="shared" si="5"/>
        <v>Low</v>
      </c>
    </row>
    <row r="150" spans="1:14" x14ac:dyDescent="0.35">
      <c r="A150">
        <v>15.183999999999999</v>
      </c>
      <c r="B150">
        <v>2420</v>
      </c>
      <c r="C150">
        <v>192</v>
      </c>
      <c r="D150">
        <v>2</v>
      </c>
      <c r="E150">
        <v>69</v>
      </c>
      <c r="F150">
        <v>11</v>
      </c>
      <c r="G150" t="s">
        <v>13</v>
      </c>
      <c r="H150" t="s">
        <v>12</v>
      </c>
      <c r="I150" t="s">
        <v>13</v>
      </c>
      <c r="J150" t="s">
        <v>14</v>
      </c>
      <c r="K150">
        <v>0</v>
      </c>
      <c r="L150">
        <v>0</v>
      </c>
      <c r="M150">
        <f t="shared" si="4"/>
        <v>15184</v>
      </c>
      <c r="N150" s="10" t="str">
        <f t="shared" si="5"/>
        <v>Low</v>
      </c>
    </row>
    <row r="151" spans="1:14" x14ac:dyDescent="0.35">
      <c r="A151">
        <v>13.444000000000001</v>
      </c>
      <c r="B151">
        <v>886</v>
      </c>
      <c r="C151">
        <v>121</v>
      </c>
      <c r="D151">
        <v>5</v>
      </c>
      <c r="E151">
        <v>44</v>
      </c>
      <c r="F151">
        <v>10</v>
      </c>
      <c r="G151" t="s">
        <v>12</v>
      </c>
      <c r="H151" t="s">
        <v>12</v>
      </c>
      <c r="I151" t="s">
        <v>13</v>
      </c>
      <c r="J151" t="s">
        <v>15</v>
      </c>
      <c r="K151">
        <v>0</v>
      </c>
      <c r="L151">
        <v>0</v>
      </c>
      <c r="M151">
        <f t="shared" si="4"/>
        <v>13444</v>
      </c>
      <c r="N151" s="10" t="str">
        <f t="shared" si="5"/>
        <v>High</v>
      </c>
    </row>
    <row r="152" spans="1:14" x14ac:dyDescent="0.35">
      <c r="A152">
        <v>63.930999999999997</v>
      </c>
      <c r="B152">
        <v>5728</v>
      </c>
      <c r="C152">
        <v>435</v>
      </c>
      <c r="D152">
        <v>3</v>
      </c>
      <c r="E152">
        <v>28</v>
      </c>
      <c r="F152">
        <v>14</v>
      </c>
      <c r="G152" t="s">
        <v>13</v>
      </c>
      <c r="H152" t="s">
        <v>12</v>
      </c>
      <c r="I152" t="s">
        <v>13</v>
      </c>
      <c r="J152" t="s">
        <v>16</v>
      </c>
      <c r="K152">
        <v>581</v>
      </c>
      <c r="L152">
        <v>1743</v>
      </c>
      <c r="M152">
        <f t="shared" si="4"/>
        <v>63931</v>
      </c>
      <c r="N152" s="10" t="str">
        <f t="shared" si="5"/>
        <v>Low</v>
      </c>
    </row>
    <row r="153" spans="1:14" x14ac:dyDescent="0.35">
      <c r="A153">
        <v>35.863999999999997</v>
      </c>
      <c r="B153">
        <v>4831</v>
      </c>
      <c r="C153">
        <v>353</v>
      </c>
      <c r="D153">
        <v>3</v>
      </c>
      <c r="E153">
        <v>66</v>
      </c>
      <c r="F153">
        <v>13</v>
      </c>
      <c r="G153" t="s">
        <v>13</v>
      </c>
      <c r="H153" t="s">
        <v>12</v>
      </c>
      <c r="I153" t="s">
        <v>13</v>
      </c>
      <c r="J153" t="s">
        <v>14</v>
      </c>
      <c r="K153">
        <v>534</v>
      </c>
      <c r="L153">
        <v>1602</v>
      </c>
      <c r="M153">
        <f t="shared" si="4"/>
        <v>35864</v>
      </c>
      <c r="N153" s="10" t="str">
        <f t="shared" si="5"/>
        <v>Low</v>
      </c>
    </row>
    <row r="154" spans="1:14" x14ac:dyDescent="0.35">
      <c r="A154">
        <v>41.418999999999997</v>
      </c>
      <c r="B154">
        <v>2120</v>
      </c>
      <c r="C154">
        <v>184</v>
      </c>
      <c r="D154">
        <v>4</v>
      </c>
      <c r="E154">
        <v>24</v>
      </c>
      <c r="F154">
        <v>11</v>
      </c>
      <c r="G154" t="s">
        <v>13</v>
      </c>
      <c r="H154" t="s">
        <v>13</v>
      </c>
      <c r="I154" t="s">
        <v>12</v>
      </c>
      <c r="J154" t="s">
        <v>14</v>
      </c>
      <c r="K154">
        <v>156</v>
      </c>
      <c r="L154">
        <v>624</v>
      </c>
      <c r="M154">
        <f t="shared" si="4"/>
        <v>41419</v>
      </c>
      <c r="N154" s="10" t="str">
        <f t="shared" si="5"/>
        <v>High</v>
      </c>
    </row>
    <row r="155" spans="1:14" x14ac:dyDescent="0.35">
      <c r="A155">
        <v>92.111999999999995</v>
      </c>
      <c r="B155">
        <v>4612</v>
      </c>
      <c r="C155">
        <v>344</v>
      </c>
      <c r="D155">
        <v>3</v>
      </c>
      <c r="E155">
        <v>32</v>
      </c>
      <c r="F155">
        <v>17</v>
      </c>
      <c r="G155" t="s">
        <v>12</v>
      </c>
      <c r="H155" t="s">
        <v>12</v>
      </c>
      <c r="I155" t="s">
        <v>12</v>
      </c>
      <c r="J155" t="s">
        <v>14</v>
      </c>
      <c r="K155">
        <v>0</v>
      </c>
      <c r="L155">
        <v>0</v>
      </c>
      <c r="M155">
        <f t="shared" si="4"/>
        <v>92112</v>
      </c>
      <c r="N155" s="10" t="str">
        <f t="shared" si="5"/>
        <v>Low</v>
      </c>
    </row>
    <row r="156" spans="1:14" x14ac:dyDescent="0.35">
      <c r="A156">
        <v>55.055999999999997</v>
      </c>
      <c r="B156">
        <v>3155</v>
      </c>
      <c r="C156">
        <v>235</v>
      </c>
      <c r="D156">
        <v>2</v>
      </c>
      <c r="E156">
        <v>31</v>
      </c>
      <c r="F156">
        <v>16</v>
      </c>
      <c r="G156" t="s">
        <v>12</v>
      </c>
      <c r="H156" t="s">
        <v>12</v>
      </c>
      <c r="I156" t="s">
        <v>13</v>
      </c>
      <c r="J156" t="s">
        <v>16</v>
      </c>
      <c r="K156">
        <v>0</v>
      </c>
      <c r="L156">
        <v>0</v>
      </c>
      <c r="M156">
        <f t="shared" si="4"/>
        <v>55056</v>
      </c>
      <c r="N156" s="10" t="str">
        <f t="shared" si="5"/>
        <v>Low</v>
      </c>
    </row>
    <row r="157" spans="1:14" x14ac:dyDescent="0.35">
      <c r="A157">
        <v>19.536999999999999</v>
      </c>
      <c r="B157">
        <v>1362</v>
      </c>
      <c r="C157">
        <v>143</v>
      </c>
      <c r="D157">
        <v>4</v>
      </c>
      <c r="E157">
        <v>34</v>
      </c>
      <c r="F157">
        <v>9</v>
      </c>
      <c r="G157" t="s">
        <v>13</v>
      </c>
      <c r="H157" t="s">
        <v>12</v>
      </c>
      <c r="I157" t="s">
        <v>13</v>
      </c>
      <c r="J157" t="s">
        <v>15</v>
      </c>
      <c r="K157">
        <v>0</v>
      </c>
      <c r="L157">
        <v>0</v>
      </c>
      <c r="M157">
        <f t="shared" si="4"/>
        <v>19537</v>
      </c>
      <c r="N157" s="10" t="str">
        <f t="shared" si="5"/>
        <v>High</v>
      </c>
    </row>
    <row r="158" spans="1:14" x14ac:dyDescent="0.35">
      <c r="A158">
        <v>31.811</v>
      </c>
      <c r="B158">
        <v>4284</v>
      </c>
      <c r="C158">
        <v>338</v>
      </c>
      <c r="D158">
        <v>5</v>
      </c>
      <c r="E158">
        <v>75</v>
      </c>
      <c r="F158">
        <v>13</v>
      </c>
      <c r="G158" t="s">
        <v>13</v>
      </c>
      <c r="H158" t="s">
        <v>12</v>
      </c>
      <c r="I158" t="s">
        <v>13</v>
      </c>
      <c r="J158" t="s">
        <v>14</v>
      </c>
      <c r="K158">
        <v>429</v>
      </c>
      <c r="L158">
        <v>2145</v>
      </c>
      <c r="M158">
        <f t="shared" si="4"/>
        <v>31811</v>
      </c>
      <c r="N158" s="10" t="str">
        <f t="shared" si="5"/>
        <v>High</v>
      </c>
    </row>
    <row r="159" spans="1:14" x14ac:dyDescent="0.35">
      <c r="A159">
        <v>56.256</v>
      </c>
      <c r="B159">
        <v>5521</v>
      </c>
      <c r="C159">
        <v>406</v>
      </c>
      <c r="D159">
        <v>2</v>
      </c>
      <c r="E159">
        <v>72</v>
      </c>
      <c r="F159">
        <v>16</v>
      </c>
      <c r="G159" t="s">
        <v>13</v>
      </c>
      <c r="H159" t="s">
        <v>13</v>
      </c>
      <c r="I159" t="s">
        <v>13</v>
      </c>
      <c r="J159" t="s">
        <v>14</v>
      </c>
      <c r="K159">
        <v>1020</v>
      </c>
      <c r="L159">
        <v>2040</v>
      </c>
      <c r="M159">
        <f t="shared" si="4"/>
        <v>56256</v>
      </c>
      <c r="N159" s="10" t="str">
        <f t="shared" si="5"/>
        <v>Low</v>
      </c>
    </row>
    <row r="160" spans="1:14" x14ac:dyDescent="0.35">
      <c r="A160">
        <v>42.356999999999999</v>
      </c>
      <c r="B160">
        <v>5550</v>
      </c>
      <c r="C160">
        <v>406</v>
      </c>
      <c r="D160">
        <v>2</v>
      </c>
      <c r="E160">
        <v>83</v>
      </c>
      <c r="F160">
        <v>12</v>
      </c>
      <c r="G160" t="s">
        <v>13</v>
      </c>
      <c r="H160" t="s">
        <v>12</v>
      </c>
      <c r="I160" t="s">
        <v>13</v>
      </c>
      <c r="J160" t="s">
        <v>15</v>
      </c>
      <c r="K160">
        <v>653</v>
      </c>
      <c r="L160">
        <v>1306</v>
      </c>
      <c r="M160">
        <f t="shared" si="4"/>
        <v>42357</v>
      </c>
      <c r="N160" s="10" t="str">
        <f t="shared" si="5"/>
        <v>Low</v>
      </c>
    </row>
    <row r="161" spans="1:14" x14ac:dyDescent="0.35">
      <c r="A161">
        <v>53.319000000000003</v>
      </c>
      <c r="B161">
        <v>3000</v>
      </c>
      <c r="C161">
        <v>235</v>
      </c>
      <c r="D161">
        <v>3</v>
      </c>
      <c r="E161">
        <v>53</v>
      </c>
      <c r="F161">
        <v>13</v>
      </c>
      <c r="G161" t="s">
        <v>12</v>
      </c>
      <c r="H161" t="s">
        <v>12</v>
      </c>
      <c r="I161" t="s">
        <v>12</v>
      </c>
      <c r="J161" t="s">
        <v>15</v>
      </c>
      <c r="K161">
        <v>0</v>
      </c>
      <c r="L161">
        <v>0</v>
      </c>
      <c r="M161">
        <f t="shared" si="4"/>
        <v>53319</v>
      </c>
      <c r="N161" s="10" t="str">
        <f t="shared" si="5"/>
        <v>Low</v>
      </c>
    </row>
    <row r="162" spans="1:14" x14ac:dyDescent="0.35">
      <c r="A162">
        <v>12.238</v>
      </c>
      <c r="B162">
        <v>4865</v>
      </c>
      <c r="C162">
        <v>381</v>
      </c>
      <c r="D162">
        <v>5</v>
      </c>
      <c r="E162">
        <v>67</v>
      </c>
      <c r="F162">
        <v>11</v>
      </c>
      <c r="G162" t="s">
        <v>13</v>
      </c>
      <c r="H162" t="s">
        <v>12</v>
      </c>
      <c r="I162" t="s">
        <v>12</v>
      </c>
      <c r="J162" t="s">
        <v>14</v>
      </c>
      <c r="K162">
        <v>836</v>
      </c>
      <c r="L162">
        <v>4180</v>
      </c>
      <c r="M162">
        <f t="shared" si="4"/>
        <v>12238</v>
      </c>
      <c r="N162" s="10" t="str">
        <f t="shared" si="5"/>
        <v>High</v>
      </c>
    </row>
    <row r="163" spans="1:14" x14ac:dyDescent="0.35">
      <c r="A163">
        <v>31.353000000000002</v>
      </c>
      <c r="B163">
        <v>1705</v>
      </c>
      <c r="C163">
        <v>160</v>
      </c>
      <c r="D163">
        <v>3</v>
      </c>
      <c r="E163">
        <v>81</v>
      </c>
      <c r="F163">
        <v>14</v>
      </c>
      <c r="G163" t="s">
        <v>12</v>
      </c>
      <c r="H163" t="s">
        <v>12</v>
      </c>
      <c r="I163" t="s">
        <v>13</v>
      </c>
      <c r="J163" t="s">
        <v>14</v>
      </c>
      <c r="K163">
        <v>0</v>
      </c>
      <c r="L163">
        <v>0</v>
      </c>
      <c r="M163">
        <f t="shared" si="4"/>
        <v>31353</v>
      </c>
      <c r="N163" s="10" t="str">
        <f t="shared" si="5"/>
        <v>Low</v>
      </c>
    </row>
    <row r="164" spans="1:14" x14ac:dyDescent="0.35">
      <c r="A164">
        <v>63.808999999999997</v>
      </c>
      <c r="B164">
        <v>7530</v>
      </c>
      <c r="C164">
        <v>515</v>
      </c>
      <c r="D164">
        <v>1</v>
      </c>
      <c r="E164">
        <v>56</v>
      </c>
      <c r="F164">
        <v>12</v>
      </c>
      <c r="G164" t="s">
        <v>12</v>
      </c>
      <c r="H164" t="s">
        <v>12</v>
      </c>
      <c r="I164" t="s">
        <v>13</v>
      </c>
      <c r="J164" t="s">
        <v>14</v>
      </c>
      <c r="K164">
        <v>1086</v>
      </c>
      <c r="L164">
        <v>1086</v>
      </c>
      <c r="M164">
        <f t="shared" si="4"/>
        <v>63809</v>
      </c>
      <c r="N164" s="10" t="str">
        <f t="shared" si="5"/>
        <v>Low</v>
      </c>
    </row>
    <row r="165" spans="1:14" x14ac:dyDescent="0.35">
      <c r="A165">
        <v>13.676</v>
      </c>
      <c r="B165">
        <v>2330</v>
      </c>
      <c r="C165">
        <v>203</v>
      </c>
      <c r="D165">
        <v>5</v>
      </c>
      <c r="E165">
        <v>80</v>
      </c>
      <c r="F165">
        <v>16</v>
      </c>
      <c r="G165" t="s">
        <v>13</v>
      </c>
      <c r="H165" t="s">
        <v>12</v>
      </c>
      <c r="I165" t="s">
        <v>12</v>
      </c>
      <c r="J165" t="s">
        <v>16</v>
      </c>
      <c r="K165">
        <v>0</v>
      </c>
      <c r="L165">
        <v>0</v>
      </c>
      <c r="M165">
        <f t="shared" si="4"/>
        <v>13676</v>
      </c>
      <c r="N165" s="10" t="str">
        <f t="shared" si="5"/>
        <v>High</v>
      </c>
    </row>
    <row r="166" spans="1:14" x14ac:dyDescent="0.35">
      <c r="A166">
        <v>76.781999999999996</v>
      </c>
      <c r="B166">
        <v>5977</v>
      </c>
      <c r="C166">
        <v>429</v>
      </c>
      <c r="D166">
        <v>4</v>
      </c>
      <c r="E166">
        <v>44</v>
      </c>
      <c r="F166">
        <v>12</v>
      </c>
      <c r="G166" t="s">
        <v>12</v>
      </c>
      <c r="H166" t="s">
        <v>12</v>
      </c>
      <c r="I166" t="s">
        <v>13</v>
      </c>
      <c r="J166" t="s">
        <v>15</v>
      </c>
      <c r="K166">
        <v>548</v>
      </c>
      <c r="L166">
        <v>2192</v>
      </c>
      <c r="M166">
        <f t="shared" si="4"/>
        <v>76782</v>
      </c>
      <c r="N166" s="10" t="str">
        <f t="shared" si="5"/>
        <v>High</v>
      </c>
    </row>
    <row r="167" spans="1:14" x14ac:dyDescent="0.35">
      <c r="A167">
        <v>25.382999999999999</v>
      </c>
      <c r="B167">
        <v>4527</v>
      </c>
      <c r="C167">
        <v>367</v>
      </c>
      <c r="D167">
        <v>4</v>
      </c>
      <c r="E167">
        <v>46</v>
      </c>
      <c r="F167">
        <v>11</v>
      </c>
      <c r="G167" t="s">
        <v>12</v>
      </c>
      <c r="H167" t="s">
        <v>12</v>
      </c>
      <c r="I167" t="s">
        <v>13</v>
      </c>
      <c r="J167" t="s">
        <v>14</v>
      </c>
      <c r="K167">
        <v>570</v>
      </c>
      <c r="L167">
        <v>2280</v>
      </c>
      <c r="M167">
        <f t="shared" si="4"/>
        <v>25383</v>
      </c>
      <c r="N167" s="10" t="str">
        <f t="shared" si="5"/>
        <v>High</v>
      </c>
    </row>
    <row r="168" spans="1:14" x14ac:dyDescent="0.35">
      <c r="A168">
        <v>35.691000000000003</v>
      </c>
      <c r="B168">
        <v>2880</v>
      </c>
      <c r="C168">
        <v>214</v>
      </c>
      <c r="D168">
        <v>2</v>
      </c>
      <c r="E168">
        <v>35</v>
      </c>
      <c r="F168">
        <v>15</v>
      </c>
      <c r="G168" t="s">
        <v>12</v>
      </c>
      <c r="H168" t="s">
        <v>12</v>
      </c>
      <c r="I168" t="s">
        <v>12</v>
      </c>
      <c r="J168" t="s">
        <v>16</v>
      </c>
      <c r="K168">
        <v>0</v>
      </c>
      <c r="L168">
        <v>0</v>
      </c>
      <c r="M168">
        <f t="shared" si="4"/>
        <v>35691</v>
      </c>
      <c r="N168" s="10" t="str">
        <f t="shared" si="5"/>
        <v>Low</v>
      </c>
    </row>
    <row r="169" spans="1:14" x14ac:dyDescent="0.35">
      <c r="A169">
        <v>29.402999999999999</v>
      </c>
      <c r="B169">
        <v>2327</v>
      </c>
      <c r="C169">
        <v>178</v>
      </c>
      <c r="D169">
        <v>1</v>
      </c>
      <c r="E169">
        <v>37</v>
      </c>
      <c r="F169">
        <v>14</v>
      </c>
      <c r="G169" t="s">
        <v>13</v>
      </c>
      <c r="H169" t="s">
        <v>12</v>
      </c>
      <c r="I169" t="s">
        <v>13</v>
      </c>
      <c r="J169" t="s">
        <v>14</v>
      </c>
      <c r="K169">
        <v>0</v>
      </c>
      <c r="L169">
        <v>0</v>
      </c>
      <c r="M169">
        <f t="shared" si="4"/>
        <v>29403</v>
      </c>
      <c r="N169" s="10" t="str">
        <f t="shared" si="5"/>
        <v>Low</v>
      </c>
    </row>
    <row r="170" spans="1:14" x14ac:dyDescent="0.35">
      <c r="A170">
        <v>27.47</v>
      </c>
      <c r="B170">
        <v>2820</v>
      </c>
      <c r="C170">
        <v>219</v>
      </c>
      <c r="D170">
        <v>1</v>
      </c>
      <c r="E170">
        <v>32</v>
      </c>
      <c r="F170">
        <v>11</v>
      </c>
      <c r="G170" t="s">
        <v>13</v>
      </c>
      <c r="H170" t="s">
        <v>12</v>
      </c>
      <c r="I170" t="s">
        <v>13</v>
      </c>
      <c r="J170" t="s">
        <v>15</v>
      </c>
      <c r="K170">
        <v>0</v>
      </c>
      <c r="L170">
        <v>0</v>
      </c>
      <c r="M170">
        <f t="shared" si="4"/>
        <v>27470</v>
      </c>
      <c r="N170" s="10" t="str">
        <f t="shared" si="5"/>
        <v>Low</v>
      </c>
    </row>
    <row r="171" spans="1:14" x14ac:dyDescent="0.35">
      <c r="A171">
        <v>27.33</v>
      </c>
      <c r="B171">
        <v>6179</v>
      </c>
      <c r="C171">
        <v>459</v>
      </c>
      <c r="D171">
        <v>4</v>
      </c>
      <c r="E171">
        <v>36</v>
      </c>
      <c r="F171">
        <v>12</v>
      </c>
      <c r="G171" t="s">
        <v>13</v>
      </c>
      <c r="H171" t="s">
        <v>12</v>
      </c>
      <c r="I171" t="s">
        <v>13</v>
      </c>
      <c r="J171" t="s">
        <v>14</v>
      </c>
      <c r="K171">
        <v>1099</v>
      </c>
      <c r="L171">
        <v>4396</v>
      </c>
      <c r="M171">
        <f t="shared" si="4"/>
        <v>27330</v>
      </c>
      <c r="N171" s="10" t="str">
        <f t="shared" si="5"/>
        <v>High</v>
      </c>
    </row>
    <row r="172" spans="1:14" x14ac:dyDescent="0.35">
      <c r="A172">
        <v>34.771999999999998</v>
      </c>
      <c r="B172">
        <v>2021</v>
      </c>
      <c r="C172">
        <v>167</v>
      </c>
      <c r="D172">
        <v>3</v>
      </c>
      <c r="E172">
        <v>57</v>
      </c>
      <c r="F172">
        <v>9</v>
      </c>
      <c r="G172" t="s">
        <v>12</v>
      </c>
      <c r="H172" t="s">
        <v>12</v>
      </c>
      <c r="I172" t="s">
        <v>12</v>
      </c>
      <c r="J172" t="s">
        <v>15</v>
      </c>
      <c r="K172">
        <v>0</v>
      </c>
      <c r="L172">
        <v>0</v>
      </c>
      <c r="M172">
        <f t="shared" si="4"/>
        <v>34772</v>
      </c>
      <c r="N172" s="10" t="str">
        <f t="shared" si="5"/>
        <v>Low</v>
      </c>
    </row>
    <row r="173" spans="1:14" x14ac:dyDescent="0.35">
      <c r="A173">
        <v>36.933999999999997</v>
      </c>
      <c r="B173">
        <v>4270</v>
      </c>
      <c r="C173">
        <v>299</v>
      </c>
      <c r="D173">
        <v>1</v>
      </c>
      <c r="E173">
        <v>63</v>
      </c>
      <c r="F173">
        <v>9</v>
      </c>
      <c r="G173" t="s">
        <v>13</v>
      </c>
      <c r="H173" t="s">
        <v>12</v>
      </c>
      <c r="I173" t="s">
        <v>13</v>
      </c>
      <c r="J173" t="s">
        <v>14</v>
      </c>
      <c r="K173">
        <v>283</v>
      </c>
      <c r="L173">
        <v>283</v>
      </c>
      <c r="M173">
        <f t="shared" si="4"/>
        <v>36934</v>
      </c>
      <c r="N173" s="10" t="str">
        <f t="shared" si="5"/>
        <v>Low</v>
      </c>
    </row>
    <row r="174" spans="1:14" x14ac:dyDescent="0.35">
      <c r="A174">
        <v>76.347999999999999</v>
      </c>
      <c r="B174">
        <v>4697</v>
      </c>
      <c r="C174">
        <v>344</v>
      </c>
      <c r="D174">
        <v>4</v>
      </c>
      <c r="E174">
        <v>60</v>
      </c>
      <c r="F174">
        <v>18</v>
      </c>
      <c r="G174" t="s">
        <v>12</v>
      </c>
      <c r="H174" t="s">
        <v>12</v>
      </c>
      <c r="I174" t="s">
        <v>12</v>
      </c>
      <c r="J174" t="s">
        <v>15</v>
      </c>
      <c r="K174">
        <v>108</v>
      </c>
      <c r="L174">
        <v>432</v>
      </c>
      <c r="M174">
        <f t="shared" si="4"/>
        <v>76348</v>
      </c>
      <c r="N174" s="10" t="str">
        <f t="shared" si="5"/>
        <v>High</v>
      </c>
    </row>
    <row r="175" spans="1:14" x14ac:dyDescent="0.35">
      <c r="A175">
        <v>14.887</v>
      </c>
      <c r="B175">
        <v>4745</v>
      </c>
      <c r="C175">
        <v>339</v>
      </c>
      <c r="D175">
        <v>3</v>
      </c>
      <c r="E175">
        <v>58</v>
      </c>
      <c r="F175">
        <v>12</v>
      </c>
      <c r="G175" t="s">
        <v>12</v>
      </c>
      <c r="H175" t="s">
        <v>12</v>
      </c>
      <c r="I175" t="s">
        <v>13</v>
      </c>
      <c r="J175" t="s">
        <v>16</v>
      </c>
      <c r="K175">
        <v>724</v>
      </c>
      <c r="L175">
        <v>2172</v>
      </c>
      <c r="M175">
        <f t="shared" si="4"/>
        <v>14887</v>
      </c>
      <c r="N175" s="10" t="str">
        <f t="shared" si="5"/>
        <v>Low</v>
      </c>
    </row>
    <row r="176" spans="1:14" x14ac:dyDescent="0.35">
      <c r="A176">
        <v>121.834</v>
      </c>
      <c r="B176">
        <v>10673</v>
      </c>
      <c r="C176">
        <v>750</v>
      </c>
      <c r="D176">
        <v>3</v>
      </c>
      <c r="E176">
        <v>54</v>
      </c>
      <c r="F176">
        <v>16</v>
      </c>
      <c r="G176" t="s">
        <v>12</v>
      </c>
      <c r="H176" t="s">
        <v>12</v>
      </c>
      <c r="I176" t="s">
        <v>12</v>
      </c>
      <c r="J176" t="s">
        <v>16</v>
      </c>
      <c r="K176">
        <v>1573</v>
      </c>
      <c r="L176">
        <v>4719</v>
      </c>
      <c r="M176">
        <f t="shared" si="4"/>
        <v>121834</v>
      </c>
      <c r="N176" s="10" t="str">
        <f t="shared" si="5"/>
        <v>Low</v>
      </c>
    </row>
    <row r="177" spans="1:14" x14ac:dyDescent="0.35">
      <c r="A177">
        <v>30.132000000000001</v>
      </c>
      <c r="B177">
        <v>2168</v>
      </c>
      <c r="C177">
        <v>206</v>
      </c>
      <c r="D177">
        <v>3</v>
      </c>
      <c r="E177">
        <v>52</v>
      </c>
      <c r="F177">
        <v>17</v>
      </c>
      <c r="G177" t="s">
        <v>12</v>
      </c>
      <c r="H177" t="s">
        <v>12</v>
      </c>
      <c r="I177" t="s">
        <v>12</v>
      </c>
      <c r="J177" t="s">
        <v>14</v>
      </c>
      <c r="K177">
        <v>0</v>
      </c>
      <c r="L177">
        <v>0</v>
      </c>
      <c r="M177">
        <f t="shared" si="4"/>
        <v>30132</v>
      </c>
      <c r="N177" s="10" t="str">
        <f t="shared" si="5"/>
        <v>Low</v>
      </c>
    </row>
    <row r="178" spans="1:14" x14ac:dyDescent="0.35">
      <c r="A178">
        <v>24.05</v>
      </c>
      <c r="B178">
        <v>2607</v>
      </c>
      <c r="C178">
        <v>221</v>
      </c>
      <c r="D178">
        <v>4</v>
      </c>
      <c r="E178">
        <v>32</v>
      </c>
      <c r="F178">
        <v>18</v>
      </c>
      <c r="G178" t="s">
        <v>12</v>
      </c>
      <c r="H178" t="s">
        <v>12</v>
      </c>
      <c r="I178" t="s">
        <v>13</v>
      </c>
      <c r="J178" t="s">
        <v>14</v>
      </c>
      <c r="K178">
        <v>0</v>
      </c>
      <c r="L178">
        <v>0</v>
      </c>
      <c r="M178">
        <f t="shared" si="4"/>
        <v>24050</v>
      </c>
      <c r="N178" s="10" t="str">
        <f t="shared" si="5"/>
        <v>High</v>
      </c>
    </row>
    <row r="179" spans="1:14" x14ac:dyDescent="0.35">
      <c r="A179">
        <v>22.379000000000001</v>
      </c>
      <c r="B179">
        <v>3965</v>
      </c>
      <c r="C179">
        <v>292</v>
      </c>
      <c r="D179">
        <v>2</v>
      </c>
      <c r="E179">
        <v>34</v>
      </c>
      <c r="F179">
        <v>14</v>
      </c>
      <c r="G179" t="s">
        <v>13</v>
      </c>
      <c r="H179" t="s">
        <v>12</v>
      </c>
      <c r="I179" t="s">
        <v>13</v>
      </c>
      <c r="J179" t="s">
        <v>15</v>
      </c>
      <c r="K179">
        <v>384</v>
      </c>
      <c r="L179">
        <v>768</v>
      </c>
      <c r="M179">
        <f t="shared" si="4"/>
        <v>22379</v>
      </c>
      <c r="N179" s="10" t="str">
        <f t="shared" si="5"/>
        <v>Low</v>
      </c>
    </row>
    <row r="180" spans="1:14" x14ac:dyDescent="0.35">
      <c r="A180">
        <v>28.315999999999999</v>
      </c>
      <c r="B180">
        <v>4391</v>
      </c>
      <c r="C180">
        <v>316</v>
      </c>
      <c r="D180">
        <v>2</v>
      </c>
      <c r="E180">
        <v>29</v>
      </c>
      <c r="F180">
        <v>10</v>
      </c>
      <c r="G180" t="s">
        <v>13</v>
      </c>
      <c r="H180" t="s">
        <v>12</v>
      </c>
      <c r="I180" t="s">
        <v>12</v>
      </c>
      <c r="J180" t="s">
        <v>14</v>
      </c>
      <c r="K180">
        <v>453</v>
      </c>
      <c r="L180">
        <v>906</v>
      </c>
      <c r="M180">
        <f t="shared" si="4"/>
        <v>28316</v>
      </c>
      <c r="N180" s="10" t="str">
        <f t="shared" si="5"/>
        <v>Low</v>
      </c>
    </row>
    <row r="181" spans="1:14" x14ac:dyDescent="0.35">
      <c r="A181">
        <v>58.026000000000003</v>
      </c>
      <c r="B181">
        <v>7499</v>
      </c>
      <c r="C181">
        <v>560</v>
      </c>
      <c r="D181">
        <v>5</v>
      </c>
      <c r="E181">
        <v>67</v>
      </c>
      <c r="F181">
        <v>11</v>
      </c>
      <c r="G181" t="s">
        <v>13</v>
      </c>
      <c r="H181" t="s">
        <v>12</v>
      </c>
      <c r="I181" t="s">
        <v>12</v>
      </c>
      <c r="J181" t="s">
        <v>14</v>
      </c>
      <c r="K181">
        <v>1237</v>
      </c>
      <c r="L181">
        <v>6185</v>
      </c>
      <c r="M181">
        <f t="shared" si="4"/>
        <v>58026</v>
      </c>
      <c r="N181" s="10" t="str">
        <f t="shared" si="5"/>
        <v>High</v>
      </c>
    </row>
    <row r="182" spans="1:14" x14ac:dyDescent="0.35">
      <c r="A182">
        <v>10.635</v>
      </c>
      <c r="B182">
        <v>3584</v>
      </c>
      <c r="C182">
        <v>294</v>
      </c>
      <c r="D182">
        <v>5</v>
      </c>
      <c r="E182">
        <v>69</v>
      </c>
      <c r="F182">
        <v>16</v>
      </c>
      <c r="G182" t="s">
        <v>12</v>
      </c>
      <c r="H182" t="s">
        <v>12</v>
      </c>
      <c r="I182" t="s">
        <v>13</v>
      </c>
      <c r="J182" t="s">
        <v>15</v>
      </c>
      <c r="K182">
        <v>423</v>
      </c>
      <c r="L182">
        <v>2115</v>
      </c>
      <c r="M182">
        <f t="shared" si="4"/>
        <v>10635</v>
      </c>
      <c r="N182" s="10" t="str">
        <f t="shared" si="5"/>
        <v>High</v>
      </c>
    </row>
    <row r="183" spans="1:14" x14ac:dyDescent="0.35">
      <c r="A183">
        <v>46.101999999999997</v>
      </c>
      <c r="B183">
        <v>5180</v>
      </c>
      <c r="C183">
        <v>382</v>
      </c>
      <c r="D183">
        <v>3</v>
      </c>
      <c r="E183">
        <v>81</v>
      </c>
      <c r="F183">
        <v>12</v>
      </c>
      <c r="G183" t="s">
        <v>12</v>
      </c>
      <c r="H183" t="s">
        <v>12</v>
      </c>
      <c r="I183" t="s">
        <v>13</v>
      </c>
      <c r="J183" t="s">
        <v>16</v>
      </c>
      <c r="K183">
        <v>516</v>
      </c>
      <c r="L183">
        <v>1548</v>
      </c>
      <c r="M183">
        <f t="shared" si="4"/>
        <v>46102</v>
      </c>
      <c r="N183" s="10" t="str">
        <f t="shared" si="5"/>
        <v>Low</v>
      </c>
    </row>
    <row r="184" spans="1:14" x14ac:dyDescent="0.35">
      <c r="A184">
        <v>58.929000000000002</v>
      </c>
      <c r="B184">
        <v>6420</v>
      </c>
      <c r="C184">
        <v>459</v>
      </c>
      <c r="D184">
        <v>2</v>
      </c>
      <c r="E184">
        <v>66</v>
      </c>
      <c r="F184">
        <v>9</v>
      </c>
      <c r="G184" t="s">
        <v>13</v>
      </c>
      <c r="H184" t="s">
        <v>12</v>
      </c>
      <c r="I184" t="s">
        <v>13</v>
      </c>
      <c r="J184" t="s">
        <v>16</v>
      </c>
      <c r="K184">
        <v>789</v>
      </c>
      <c r="L184">
        <v>1578</v>
      </c>
      <c r="M184">
        <f t="shared" si="4"/>
        <v>58929</v>
      </c>
      <c r="N184" s="10" t="str">
        <f t="shared" si="5"/>
        <v>Low</v>
      </c>
    </row>
    <row r="185" spans="1:14" x14ac:dyDescent="0.35">
      <c r="A185">
        <v>80.861000000000004</v>
      </c>
      <c r="B185">
        <v>4090</v>
      </c>
      <c r="C185">
        <v>335</v>
      </c>
      <c r="D185">
        <v>3</v>
      </c>
      <c r="E185">
        <v>29</v>
      </c>
      <c r="F185">
        <v>15</v>
      </c>
      <c r="G185" t="s">
        <v>13</v>
      </c>
      <c r="H185" t="s">
        <v>12</v>
      </c>
      <c r="I185" t="s">
        <v>13</v>
      </c>
      <c r="J185" t="s">
        <v>15</v>
      </c>
      <c r="K185">
        <v>0</v>
      </c>
      <c r="L185">
        <v>0</v>
      </c>
      <c r="M185">
        <f t="shared" si="4"/>
        <v>80861</v>
      </c>
      <c r="N185" s="10" t="str">
        <f t="shared" si="5"/>
        <v>Low</v>
      </c>
    </row>
    <row r="186" spans="1:14" x14ac:dyDescent="0.35">
      <c r="A186">
        <v>158.88900000000001</v>
      </c>
      <c r="B186">
        <v>11589</v>
      </c>
      <c r="C186">
        <v>805</v>
      </c>
      <c r="D186">
        <v>1</v>
      </c>
      <c r="E186">
        <v>62</v>
      </c>
      <c r="F186">
        <v>17</v>
      </c>
      <c r="G186" t="s">
        <v>13</v>
      </c>
      <c r="H186" t="s">
        <v>12</v>
      </c>
      <c r="I186" t="s">
        <v>13</v>
      </c>
      <c r="J186" t="s">
        <v>14</v>
      </c>
      <c r="K186">
        <v>1448</v>
      </c>
      <c r="L186">
        <v>1448</v>
      </c>
      <c r="M186">
        <f t="shared" si="4"/>
        <v>158889</v>
      </c>
      <c r="N186" s="10" t="str">
        <f t="shared" si="5"/>
        <v>Low</v>
      </c>
    </row>
    <row r="187" spans="1:14" x14ac:dyDescent="0.35">
      <c r="A187">
        <v>30.42</v>
      </c>
      <c r="B187">
        <v>4442</v>
      </c>
      <c r="C187">
        <v>316</v>
      </c>
      <c r="D187">
        <v>1</v>
      </c>
      <c r="E187">
        <v>30</v>
      </c>
      <c r="F187">
        <v>14</v>
      </c>
      <c r="G187" t="s">
        <v>13</v>
      </c>
      <c r="H187" t="s">
        <v>12</v>
      </c>
      <c r="I187" t="s">
        <v>12</v>
      </c>
      <c r="J187" t="s">
        <v>16</v>
      </c>
      <c r="K187">
        <v>450</v>
      </c>
      <c r="L187">
        <v>450</v>
      </c>
      <c r="M187">
        <f t="shared" si="4"/>
        <v>30420</v>
      </c>
      <c r="N187" s="10" t="str">
        <f t="shared" si="5"/>
        <v>Low</v>
      </c>
    </row>
    <row r="188" spans="1:14" x14ac:dyDescent="0.35">
      <c r="A188">
        <v>36.472000000000001</v>
      </c>
      <c r="B188">
        <v>3806</v>
      </c>
      <c r="C188">
        <v>309</v>
      </c>
      <c r="D188">
        <v>2</v>
      </c>
      <c r="E188">
        <v>52</v>
      </c>
      <c r="F188">
        <v>13</v>
      </c>
      <c r="G188" t="s">
        <v>12</v>
      </c>
      <c r="H188" t="s">
        <v>12</v>
      </c>
      <c r="I188" t="s">
        <v>12</v>
      </c>
      <c r="J188" t="s">
        <v>16</v>
      </c>
      <c r="K188">
        <v>188</v>
      </c>
      <c r="L188">
        <v>376</v>
      </c>
      <c r="M188">
        <f t="shared" si="4"/>
        <v>36472</v>
      </c>
      <c r="N188" s="10" t="str">
        <f t="shared" si="5"/>
        <v>Low</v>
      </c>
    </row>
    <row r="189" spans="1:14" x14ac:dyDescent="0.35">
      <c r="A189">
        <v>23.364999999999998</v>
      </c>
      <c r="B189">
        <v>2179</v>
      </c>
      <c r="C189">
        <v>167</v>
      </c>
      <c r="D189">
        <v>2</v>
      </c>
      <c r="E189">
        <v>75</v>
      </c>
      <c r="F189">
        <v>15</v>
      </c>
      <c r="G189" t="s">
        <v>12</v>
      </c>
      <c r="H189" t="s">
        <v>12</v>
      </c>
      <c r="I189" t="s">
        <v>12</v>
      </c>
      <c r="J189" t="s">
        <v>15</v>
      </c>
      <c r="K189">
        <v>0</v>
      </c>
      <c r="L189">
        <v>0</v>
      </c>
      <c r="M189">
        <f t="shared" si="4"/>
        <v>23365</v>
      </c>
      <c r="N189" s="10" t="str">
        <f t="shared" si="5"/>
        <v>Low</v>
      </c>
    </row>
    <row r="190" spans="1:14" x14ac:dyDescent="0.35">
      <c r="A190">
        <v>83.869</v>
      </c>
      <c r="B190">
        <v>7667</v>
      </c>
      <c r="C190">
        <v>554</v>
      </c>
      <c r="D190">
        <v>2</v>
      </c>
      <c r="E190">
        <v>83</v>
      </c>
      <c r="F190">
        <v>11</v>
      </c>
      <c r="G190" t="s">
        <v>12</v>
      </c>
      <c r="H190" t="s">
        <v>12</v>
      </c>
      <c r="I190" t="s">
        <v>12</v>
      </c>
      <c r="J190" t="s">
        <v>16</v>
      </c>
      <c r="K190">
        <v>930</v>
      </c>
      <c r="L190">
        <v>1860</v>
      </c>
      <c r="M190">
        <f t="shared" si="4"/>
        <v>83869</v>
      </c>
      <c r="N190" s="10" t="str">
        <f t="shared" si="5"/>
        <v>Low</v>
      </c>
    </row>
    <row r="191" spans="1:14" x14ac:dyDescent="0.35">
      <c r="A191">
        <v>58.350999999999999</v>
      </c>
      <c r="B191">
        <v>4411</v>
      </c>
      <c r="C191">
        <v>326</v>
      </c>
      <c r="D191">
        <v>2</v>
      </c>
      <c r="E191">
        <v>85</v>
      </c>
      <c r="F191">
        <v>16</v>
      </c>
      <c r="G191" t="s">
        <v>13</v>
      </c>
      <c r="H191" t="s">
        <v>12</v>
      </c>
      <c r="I191" t="s">
        <v>13</v>
      </c>
      <c r="J191" t="s">
        <v>14</v>
      </c>
      <c r="K191">
        <v>126</v>
      </c>
      <c r="L191">
        <v>252</v>
      </c>
      <c r="M191">
        <f t="shared" si="4"/>
        <v>58351</v>
      </c>
      <c r="N191" s="10" t="str">
        <f t="shared" si="5"/>
        <v>Low</v>
      </c>
    </row>
    <row r="192" spans="1:14" x14ac:dyDescent="0.35">
      <c r="A192">
        <v>55.186999999999998</v>
      </c>
      <c r="B192">
        <v>5352</v>
      </c>
      <c r="C192">
        <v>385</v>
      </c>
      <c r="D192">
        <v>4</v>
      </c>
      <c r="E192">
        <v>50</v>
      </c>
      <c r="F192">
        <v>17</v>
      </c>
      <c r="G192" t="s">
        <v>13</v>
      </c>
      <c r="H192" t="s">
        <v>12</v>
      </c>
      <c r="I192" t="s">
        <v>13</v>
      </c>
      <c r="J192" t="s">
        <v>14</v>
      </c>
      <c r="K192">
        <v>538</v>
      </c>
      <c r="L192">
        <v>2152</v>
      </c>
      <c r="M192">
        <f t="shared" si="4"/>
        <v>55187</v>
      </c>
      <c r="N192" s="10" t="str">
        <f t="shared" si="5"/>
        <v>High</v>
      </c>
    </row>
    <row r="193" spans="1:14" x14ac:dyDescent="0.35">
      <c r="A193">
        <v>124.29</v>
      </c>
      <c r="B193">
        <v>9560</v>
      </c>
      <c r="C193">
        <v>701</v>
      </c>
      <c r="D193">
        <v>3</v>
      </c>
      <c r="E193">
        <v>52</v>
      </c>
      <c r="F193">
        <v>17</v>
      </c>
      <c r="G193" t="s">
        <v>13</v>
      </c>
      <c r="H193" t="s">
        <v>13</v>
      </c>
      <c r="I193" t="s">
        <v>12</v>
      </c>
      <c r="J193" t="s">
        <v>15</v>
      </c>
      <c r="K193">
        <v>1687</v>
      </c>
      <c r="L193">
        <v>5061</v>
      </c>
      <c r="M193">
        <f t="shared" si="4"/>
        <v>124290</v>
      </c>
      <c r="N193" s="10" t="str">
        <f t="shared" si="5"/>
        <v>Low</v>
      </c>
    </row>
    <row r="194" spans="1:14" x14ac:dyDescent="0.35">
      <c r="A194">
        <v>28.507999999999999</v>
      </c>
      <c r="B194">
        <v>3933</v>
      </c>
      <c r="C194">
        <v>287</v>
      </c>
      <c r="D194">
        <v>4</v>
      </c>
      <c r="E194">
        <v>56</v>
      </c>
      <c r="F194">
        <v>14</v>
      </c>
      <c r="G194" t="s">
        <v>12</v>
      </c>
      <c r="H194" t="s">
        <v>12</v>
      </c>
      <c r="I194" t="s">
        <v>13</v>
      </c>
      <c r="J194" t="s">
        <v>15</v>
      </c>
      <c r="K194">
        <v>336</v>
      </c>
      <c r="L194">
        <v>1344</v>
      </c>
      <c r="M194">
        <f t="shared" si="4"/>
        <v>28508</v>
      </c>
      <c r="N194" s="10" t="str">
        <f t="shared" si="5"/>
        <v>High</v>
      </c>
    </row>
    <row r="195" spans="1:14" x14ac:dyDescent="0.35">
      <c r="A195">
        <v>130.209</v>
      </c>
      <c r="B195">
        <v>10088</v>
      </c>
      <c r="C195">
        <v>730</v>
      </c>
      <c r="D195">
        <v>7</v>
      </c>
      <c r="E195">
        <v>39</v>
      </c>
      <c r="F195">
        <v>19</v>
      </c>
      <c r="G195" t="s">
        <v>13</v>
      </c>
      <c r="H195" t="s">
        <v>12</v>
      </c>
      <c r="I195" t="s">
        <v>13</v>
      </c>
      <c r="J195" t="s">
        <v>14</v>
      </c>
      <c r="K195">
        <v>1426</v>
      </c>
      <c r="L195">
        <v>9982</v>
      </c>
      <c r="M195">
        <f t="shared" ref="M195:M258" si="6">A195*1000</f>
        <v>130209</v>
      </c>
      <c r="N195" s="10" t="str">
        <f t="shared" ref="N195:N258" si="7">IF(D195&lt;=3, "Low", "High")</f>
        <v>High</v>
      </c>
    </row>
    <row r="196" spans="1:14" x14ac:dyDescent="0.35">
      <c r="A196">
        <v>30.405999999999999</v>
      </c>
      <c r="B196">
        <v>2120</v>
      </c>
      <c r="C196">
        <v>181</v>
      </c>
      <c r="D196">
        <v>2</v>
      </c>
      <c r="E196">
        <v>79</v>
      </c>
      <c r="F196">
        <v>14</v>
      </c>
      <c r="G196" t="s">
        <v>12</v>
      </c>
      <c r="H196" t="s">
        <v>12</v>
      </c>
      <c r="I196" t="s">
        <v>13</v>
      </c>
      <c r="J196" t="s">
        <v>16</v>
      </c>
      <c r="K196">
        <v>0</v>
      </c>
      <c r="L196">
        <v>0</v>
      </c>
      <c r="M196">
        <f t="shared" si="6"/>
        <v>30406</v>
      </c>
      <c r="N196" s="10" t="str">
        <f t="shared" si="7"/>
        <v>Low</v>
      </c>
    </row>
    <row r="197" spans="1:14" x14ac:dyDescent="0.35">
      <c r="A197">
        <v>23.882999999999999</v>
      </c>
      <c r="B197">
        <v>5384</v>
      </c>
      <c r="C197">
        <v>398</v>
      </c>
      <c r="D197">
        <v>2</v>
      </c>
      <c r="E197">
        <v>73</v>
      </c>
      <c r="F197">
        <v>16</v>
      </c>
      <c r="G197" t="s">
        <v>13</v>
      </c>
      <c r="H197" t="s">
        <v>12</v>
      </c>
      <c r="I197" t="s">
        <v>13</v>
      </c>
      <c r="J197" t="s">
        <v>16</v>
      </c>
      <c r="K197">
        <v>802</v>
      </c>
      <c r="L197">
        <v>1604</v>
      </c>
      <c r="M197">
        <f t="shared" si="6"/>
        <v>23883</v>
      </c>
      <c r="N197" s="10" t="str">
        <f t="shared" si="7"/>
        <v>Low</v>
      </c>
    </row>
    <row r="198" spans="1:14" x14ac:dyDescent="0.35">
      <c r="A198">
        <v>93.039000000000001</v>
      </c>
      <c r="B198">
        <v>7398</v>
      </c>
      <c r="C198">
        <v>517</v>
      </c>
      <c r="D198">
        <v>1</v>
      </c>
      <c r="E198">
        <v>67</v>
      </c>
      <c r="F198">
        <v>12</v>
      </c>
      <c r="G198" t="s">
        <v>12</v>
      </c>
      <c r="H198" t="s">
        <v>12</v>
      </c>
      <c r="I198" t="s">
        <v>13</v>
      </c>
      <c r="J198" t="s">
        <v>16</v>
      </c>
      <c r="K198">
        <v>749</v>
      </c>
      <c r="L198">
        <v>749</v>
      </c>
      <c r="M198">
        <f t="shared" si="6"/>
        <v>93039</v>
      </c>
      <c r="N198" s="10" t="str">
        <f t="shared" si="7"/>
        <v>Low</v>
      </c>
    </row>
    <row r="199" spans="1:14" x14ac:dyDescent="0.35">
      <c r="A199">
        <v>50.698999999999998</v>
      </c>
      <c r="B199">
        <v>3977</v>
      </c>
      <c r="C199">
        <v>304</v>
      </c>
      <c r="D199">
        <v>2</v>
      </c>
      <c r="E199">
        <v>84</v>
      </c>
      <c r="F199">
        <v>17</v>
      </c>
      <c r="G199" t="s">
        <v>13</v>
      </c>
      <c r="H199" t="s">
        <v>12</v>
      </c>
      <c r="I199" t="s">
        <v>12</v>
      </c>
      <c r="J199" t="s">
        <v>16</v>
      </c>
      <c r="K199">
        <v>69</v>
      </c>
      <c r="L199">
        <v>138</v>
      </c>
      <c r="M199">
        <f t="shared" si="6"/>
        <v>50699</v>
      </c>
      <c r="N199" s="10" t="str">
        <f t="shared" si="7"/>
        <v>Low</v>
      </c>
    </row>
    <row r="200" spans="1:14" x14ac:dyDescent="0.35">
      <c r="A200">
        <v>27.349</v>
      </c>
      <c r="B200">
        <v>2000</v>
      </c>
      <c r="C200">
        <v>169</v>
      </c>
      <c r="D200">
        <v>4</v>
      </c>
      <c r="E200">
        <v>51</v>
      </c>
      <c r="F200">
        <v>16</v>
      </c>
      <c r="G200" t="s">
        <v>13</v>
      </c>
      <c r="H200" t="s">
        <v>12</v>
      </c>
      <c r="I200" t="s">
        <v>13</v>
      </c>
      <c r="J200" t="s">
        <v>16</v>
      </c>
      <c r="K200">
        <v>0</v>
      </c>
      <c r="L200">
        <v>0</v>
      </c>
      <c r="M200">
        <f t="shared" si="6"/>
        <v>27349</v>
      </c>
      <c r="N200" s="10" t="str">
        <f t="shared" si="7"/>
        <v>High</v>
      </c>
    </row>
    <row r="201" spans="1:14" x14ac:dyDescent="0.35">
      <c r="A201">
        <v>10.403</v>
      </c>
      <c r="B201">
        <v>4159</v>
      </c>
      <c r="C201">
        <v>310</v>
      </c>
      <c r="D201">
        <v>3</v>
      </c>
      <c r="E201">
        <v>43</v>
      </c>
      <c r="F201">
        <v>7</v>
      </c>
      <c r="G201" t="s">
        <v>12</v>
      </c>
      <c r="H201" t="s">
        <v>12</v>
      </c>
      <c r="I201" t="s">
        <v>13</v>
      </c>
      <c r="J201" t="s">
        <v>15</v>
      </c>
      <c r="K201">
        <v>571</v>
      </c>
      <c r="L201">
        <v>1713</v>
      </c>
      <c r="M201">
        <f t="shared" si="6"/>
        <v>10403</v>
      </c>
      <c r="N201" s="10" t="str">
        <f t="shared" si="7"/>
        <v>Low</v>
      </c>
    </row>
    <row r="202" spans="1:14" x14ac:dyDescent="0.35">
      <c r="A202">
        <v>23.949000000000002</v>
      </c>
      <c r="B202">
        <v>5343</v>
      </c>
      <c r="C202">
        <v>383</v>
      </c>
      <c r="D202">
        <v>2</v>
      </c>
      <c r="E202">
        <v>40</v>
      </c>
      <c r="F202">
        <v>18</v>
      </c>
      <c r="G202" t="s">
        <v>12</v>
      </c>
      <c r="H202" t="s">
        <v>12</v>
      </c>
      <c r="I202" t="s">
        <v>13</v>
      </c>
      <c r="J202" t="s">
        <v>16</v>
      </c>
      <c r="K202">
        <v>829</v>
      </c>
      <c r="L202">
        <v>1658</v>
      </c>
      <c r="M202">
        <f t="shared" si="6"/>
        <v>23949</v>
      </c>
      <c r="N202" s="10" t="str">
        <f t="shared" si="7"/>
        <v>Low</v>
      </c>
    </row>
    <row r="203" spans="1:14" x14ac:dyDescent="0.35">
      <c r="A203">
        <v>73.914000000000001</v>
      </c>
      <c r="B203">
        <v>7333</v>
      </c>
      <c r="C203">
        <v>529</v>
      </c>
      <c r="D203">
        <v>6</v>
      </c>
      <c r="E203">
        <v>67</v>
      </c>
      <c r="F203">
        <v>15</v>
      </c>
      <c r="G203" t="s">
        <v>13</v>
      </c>
      <c r="H203" t="s">
        <v>12</v>
      </c>
      <c r="I203" t="s">
        <v>13</v>
      </c>
      <c r="J203" t="s">
        <v>14</v>
      </c>
      <c r="K203">
        <v>1048</v>
      </c>
      <c r="L203">
        <v>6288</v>
      </c>
      <c r="M203">
        <f t="shared" si="6"/>
        <v>73914</v>
      </c>
      <c r="N203" s="10" t="str">
        <f t="shared" si="7"/>
        <v>High</v>
      </c>
    </row>
    <row r="204" spans="1:14" x14ac:dyDescent="0.35">
      <c r="A204">
        <v>21.038</v>
      </c>
      <c r="B204">
        <v>1448</v>
      </c>
      <c r="C204">
        <v>145</v>
      </c>
      <c r="D204">
        <v>2</v>
      </c>
      <c r="E204">
        <v>58</v>
      </c>
      <c r="F204">
        <v>13</v>
      </c>
      <c r="G204" t="s">
        <v>13</v>
      </c>
      <c r="H204" t="s">
        <v>12</v>
      </c>
      <c r="I204" t="s">
        <v>13</v>
      </c>
      <c r="J204" t="s">
        <v>14</v>
      </c>
      <c r="K204">
        <v>0</v>
      </c>
      <c r="L204">
        <v>0</v>
      </c>
      <c r="M204">
        <f t="shared" si="6"/>
        <v>21038</v>
      </c>
      <c r="N204" s="10" t="str">
        <f t="shared" si="7"/>
        <v>Low</v>
      </c>
    </row>
    <row r="205" spans="1:14" x14ac:dyDescent="0.35">
      <c r="A205">
        <v>68.206000000000003</v>
      </c>
      <c r="B205">
        <v>6784</v>
      </c>
      <c r="C205">
        <v>499</v>
      </c>
      <c r="D205">
        <v>5</v>
      </c>
      <c r="E205">
        <v>40</v>
      </c>
      <c r="F205">
        <v>16</v>
      </c>
      <c r="G205" t="s">
        <v>13</v>
      </c>
      <c r="H205" t="s">
        <v>13</v>
      </c>
      <c r="I205" t="s">
        <v>12</v>
      </c>
      <c r="J205" t="s">
        <v>16</v>
      </c>
      <c r="K205">
        <v>1411</v>
      </c>
      <c r="L205">
        <v>7055</v>
      </c>
      <c r="M205">
        <f t="shared" si="6"/>
        <v>68206</v>
      </c>
      <c r="N205" s="10" t="str">
        <f t="shared" si="7"/>
        <v>High</v>
      </c>
    </row>
    <row r="206" spans="1:14" x14ac:dyDescent="0.35">
      <c r="A206">
        <v>57.337000000000003</v>
      </c>
      <c r="B206">
        <v>5310</v>
      </c>
      <c r="C206">
        <v>392</v>
      </c>
      <c r="D206">
        <v>2</v>
      </c>
      <c r="E206">
        <v>45</v>
      </c>
      <c r="F206">
        <v>7</v>
      </c>
      <c r="G206" t="s">
        <v>13</v>
      </c>
      <c r="H206" t="s">
        <v>12</v>
      </c>
      <c r="I206" t="s">
        <v>12</v>
      </c>
      <c r="J206" t="s">
        <v>14</v>
      </c>
      <c r="K206">
        <v>456</v>
      </c>
      <c r="L206">
        <v>912</v>
      </c>
      <c r="M206">
        <f t="shared" si="6"/>
        <v>57337</v>
      </c>
      <c r="N206" s="10" t="str">
        <f t="shared" si="7"/>
        <v>Low</v>
      </c>
    </row>
    <row r="207" spans="1:14" x14ac:dyDescent="0.35">
      <c r="A207">
        <v>10.792999999999999</v>
      </c>
      <c r="B207">
        <v>3878</v>
      </c>
      <c r="C207">
        <v>321</v>
      </c>
      <c r="D207">
        <v>8</v>
      </c>
      <c r="E207">
        <v>29</v>
      </c>
      <c r="F207">
        <v>13</v>
      </c>
      <c r="G207" t="s">
        <v>12</v>
      </c>
      <c r="H207" t="s">
        <v>12</v>
      </c>
      <c r="I207" t="s">
        <v>12</v>
      </c>
      <c r="J207" t="s">
        <v>14</v>
      </c>
      <c r="K207">
        <v>638</v>
      </c>
      <c r="L207">
        <v>5104</v>
      </c>
      <c r="M207">
        <f t="shared" si="6"/>
        <v>10793</v>
      </c>
      <c r="N207" s="10" t="str">
        <f t="shared" si="7"/>
        <v>High</v>
      </c>
    </row>
    <row r="208" spans="1:14" x14ac:dyDescent="0.35">
      <c r="A208">
        <v>23.45</v>
      </c>
      <c r="B208">
        <v>2450</v>
      </c>
      <c r="C208">
        <v>180</v>
      </c>
      <c r="D208">
        <v>2</v>
      </c>
      <c r="E208">
        <v>78</v>
      </c>
      <c r="F208">
        <v>13</v>
      </c>
      <c r="G208" t="s">
        <v>12</v>
      </c>
      <c r="H208" t="s">
        <v>12</v>
      </c>
      <c r="I208" t="s">
        <v>12</v>
      </c>
      <c r="J208" t="s">
        <v>14</v>
      </c>
      <c r="K208">
        <v>0</v>
      </c>
      <c r="L208">
        <v>0</v>
      </c>
      <c r="M208">
        <f t="shared" si="6"/>
        <v>23450</v>
      </c>
      <c r="N208" s="10" t="str">
        <f t="shared" si="7"/>
        <v>Low</v>
      </c>
    </row>
    <row r="209" spans="1:14" x14ac:dyDescent="0.35">
      <c r="A209">
        <v>10.842000000000001</v>
      </c>
      <c r="B209">
        <v>4391</v>
      </c>
      <c r="C209">
        <v>358</v>
      </c>
      <c r="D209">
        <v>5</v>
      </c>
      <c r="E209">
        <v>37</v>
      </c>
      <c r="F209">
        <v>10</v>
      </c>
      <c r="G209" t="s">
        <v>13</v>
      </c>
      <c r="H209" t="s">
        <v>13</v>
      </c>
      <c r="I209" t="s">
        <v>13</v>
      </c>
      <c r="J209" t="s">
        <v>14</v>
      </c>
      <c r="K209">
        <v>1216</v>
      </c>
      <c r="L209">
        <v>6080</v>
      </c>
      <c r="M209">
        <f t="shared" si="6"/>
        <v>10842</v>
      </c>
      <c r="N209" s="10" t="str">
        <f t="shared" si="7"/>
        <v>High</v>
      </c>
    </row>
    <row r="210" spans="1:14" x14ac:dyDescent="0.35">
      <c r="A210">
        <v>51.344999999999999</v>
      </c>
      <c r="B210">
        <v>4327</v>
      </c>
      <c r="C210">
        <v>320</v>
      </c>
      <c r="D210">
        <v>3</v>
      </c>
      <c r="E210">
        <v>46</v>
      </c>
      <c r="F210">
        <v>15</v>
      </c>
      <c r="G210" t="s">
        <v>12</v>
      </c>
      <c r="H210" t="s">
        <v>12</v>
      </c>
      <c r="I210" t="s">
        <v>12</v>
      </c>
      <c r="J210" t="s">
        <v>16</v>
      </c>
      <c r="K210">
        <v>230</v>
      </c>
      <c r="L210">
        <v>690</v>
      </c>
      <c r="M210">
        <f t="shared" si="6"/>
        <v>51345</v>
      </c>
      <c r="N210" s="10" t="str">
        <f t="shared" si="7"/>
        <v>Low</v>
      </c>
    </row>
    <row r="211" spans="1:14" x14ac:dyDescent="0.35">
      <c r="A211">
        <v>151.947</v>
      </c>
      <c r="B211">
        <v>9156</v>
      </c>
      <c r="C211">
        <v>642</v>
      </c>
      <c r="D211">
        <v>2</v>
      </c>
      <c r="E211">
        <v>91</v>
      </c>
      <c r="F211">
        <v>11</v>
      </c>
      <c r="G211" t="s">
        <v>13</v>
      </c>
      <c r="H211" t="s">
        <v>12</v>
      </c>
      <c r="I211" t="s">
        <v>13</v>
      </c>
      <c r="J211" t="s">
        <v>16</v>
      </c>
      <c r="K211">
        <v>732</v>
      </c>
      <c r="L211">
        <v>1464</v>
      </c>
      <c r="M211">
        <f t="shared" si="6"/>
        <v>151947</v>
      </c>
      <c r="N211" s="10" t="str">
        <f t="shared" si="7"/>
        <v>Low</v>
      </c>
    </row>
    <row r="212" spans="1:14" x14ac:dyDescent="0.35">
      <c r="A212">
        <v>24.542999999999999</v>
      </c>
      <c r="B212">
        <v>3206</v>
      </c>
      <c r="C212">
        <v>243</v>
      </c>
      <c r="D212">
        <v>2</v>
      </c>
      <c r="E212">
        <v>62</v>
      </c>
      <c r="F212">
        <v>12</v>
      </c>
      <c r="G212" t="s">
        <v>13</v>
      </c>
      <c r="H212" t="s">
        <v>12</v>
      </c>
      <c r="I212" t="s">
        <v>13</v>
      </c>
      <c r="J212" t="s">
        <v>14</v>
      </c>
      <c r="K212">
        <v>95</v>
      </c>
      <c r="L212">
        <v>190</v>
      </c>
      <c r="M212">
        <f t="shared" si="6"/>
        <v>24543</v>
      </c>
      <c r="N212" s="10" t="str">
        <f t="shared" si="7"/>
        <v>Low</v>
      </c>
    </row>
    <row r="213" spans="1:14" x14ac:dyDescent="0.35">
      <c r="A213">
        <v>29.567</v>
      </c>
      <c r="B213">
        <v>5309</v>
      </c>
      <c r="C213">
        <v>397</v>
      </c>
      <c r="D213">
        <v>3</v>
      </c>
      <c r="E213">
        <v>25</v>
      </c>
      <c r="F213">
        <v>15</v>
      </c>
      <c r="G213" t="s">
        <v>12</v>
      </c>
      <c r="H213" t="s">
        <v>12</v>
      </c>
      <c r="I213" t="s">
        <v>12</v>
      </c>
      <c r="J213" t="s">
        <v>14</v>
      </c>
      <c r="K213">
        <v>799</v>
      </c>
      <c r="L213">
        <v>2397</v>
      </c>
      <c r="M213">
        <f t="shared" si="6"/>
        <v>29567</v>
      </c>
      <c r="N213" s="10" t="str">
        <f t="shared" si="7"/>
        <v>Low</v>
      </c>
    </row>
    <row r="214" spans="1:14" x14ac:dyDescent="0.35">
      <c r="A214">
        <v>39.145000000000003</v>
      </c>
      <c r="B214">
        <v>4351</v>
      </c>
      <c r="C214">
        <v>323</v>
      </c>
      <c r="D214">
        <v>2</v>
      </c>
      <c r="E214">
        <v>66</v>
      </c>
      <c r="F214">
        <v>13</v>
      </c>
      <c r="G214" t="s">
        <v>12</v>
      </c>
      <c r="H214" t="s">
        <v>12</v>
      </c>
      <c r="I214" t="s">
        <v>13</v>
      </c>
      <c r="J214" t="s">
        <v>14</v>
      </c>
      <c r="K214">
        <v>308</v>
      </c>
      <c r="L214">
        <v>616</v>
      </c>
      <c r="M214">
        <f t="shared" si="6"/>
        <v>39145</v>
      </c>
      <c r="N214" s="10" t="str">
        <f t="shared" si="7"/>
        <v>Low</v>
      </c>
    </row>
    <row r="215" spans="1:14" x14ac:dyDescent="0.35">
      <c r="A215">
        <v>39.421999999999997</v>
      </c>
      <c r="B215">
        <v>5245</v>
      </c>
      <c r="C215">
        <v>383</v>
      </c>
      <c r="D215">
        <v>2</v>
      </c>
      <c r="E215">
        <v>44</v>
      </c>
      <c r="F215">
        <v>19</v>
      </c>
      <c r="G215" t="s">
        <v>12</v>
      </c>
      <c r="H215" t="s">
        <v>12</v>
      </c>
      <c r="I215" t="s">
        <v>12</v>
      </c>
      <c r="J215" t="s">
        <v>16</v>
      </c>
      <c r="K215">
        <v>637</v>
      </c>
      <c r="L215">
        <v>1274</v>
      </c>
      <c r="M215">
        <f t="shared" si="6"/>
        <v>39422</v>
      </c>
      <c r="N215" s="10" t="str">
        <f t="shared" si="7"/>
        <v>Low</v>
      </c>
    </row>
    <row r="216" spans="1:14" x14ac:dyDescent="0.35">
      <c r="A216">
        <v>34.908999999999999</v>
      </c>
      <c r="B216">
        <v>5289</v>
      </c>
      <c r="C216">
        <v>410</v>
      </c>
      <c r="D216">
        <v>2</v>
      </c>
      <c r="E216">
        <v>62</v>
      </c>
      <c r="F216">
        <v>16</v>
      </c>
      <c r="G216" t="s">
        <v>13</v>
      </c>
      <c r="H216" t="s">
        <v>12</v>
      </c>
      <c r="I216" t="s">
        <v>13</v>
      </c>
      <c r="J216" t="s">
        <v>14</v>
      </c>
      <c r="K216">
        <v>681</v>
      </c>
      <c r="L216">
        <v>1362</v>
      </c>
      <c r="M216">
        <f t="shared" si="6"/>
        <v>34909</v>
      </c>
      <c r="N216" s="10" t="str">
        <f t="shared" si="7"/>
        <v>Low</v>
      </c>
    </row>
    <row r="217" spans="1:14" x14ac:dyDescent="0.35">
      <c r="A217">
        <v>41.024999999999999</v>
      </c>
      <c r="B217">
        <v>4229</v>
      </c>
      <c r="C217">
        <v>337</v>
      </c>
      <c r="D217">
        <v>3</v>
      </c>
      <c r="E217">
        <v>79</v>
      </c>
      <c r="F217">
        <v>19</v>
      </c>
      <c r="G217" t="s">
        <v>13</v>
      </c>
      <c r="H217" t="s">
        <v>12</v>
      </c>
      <c r="I217" t="s">
        <v>13</v>
      </c>
      <c r="J217" t="s">
        <v>14</v>
      </c>
      <c r="K217">
        <v>246</v>
      </c>
      <c r="L217">
        <v>738</v>
      </c>
      <c r="M217">
        <f t="shared" si="6"/>
        <v>41025</v>
      </c>
      <c r="N217" s="10" t="str">
        <f t="shared" si="7"/>
        <v>Low</v>
      </c>
    </row>
    <row r="218" spans="1:14" x14ac:dyDescent="0.35">
      <c r="A218">
        <v>15.476000000000001</v>
      </c>
      <c r="B218">
        <v>2762</v>
      </c>
      <c r="C218">
        <v>215</v>
      </c>
      <c r="D218">
        <v>3</v>
      </c>
      <c r="E218">
        <v>60</v>
      </c>
      <c r="F218">
        <v>18</v>
      </c>
      <c r="G218" t="s">
        <v>12</v>
      </c>
      <c r="H218" t="s">
        <v>12</v>
      </c>
      <c r="I218" t="s">
        <v>12</v>
      </c>
      <c r="J218" t="s">
        <v>15</v>
      </c>
      <c r="K218">
        <v>52</v>
      </c>
      <c r="L218">
        <v>156</v>
      </c>
      <c r="M218">
        <f t="shared" si="6"/>
        <v>15476</v>
      </c>
      <c r="N218" s="10" t="str">
        <f t="shared" si="7"/>
        <v>Low</v>
      </c>
    </row>
    <row r="219" spans="1:14" x14ac:dyDescent="0.35">
      <c r="A219">
        <v>12.456</v>
      </c>
      <c r="B219">
        <v>5395</v>
      </c>
      <c r="C219">
        <v>392</v>
      </c>
      <c r="D219">
        <v>3</v>
      </c>
      <c r="E219">
        <v>65</v>
      </c>
      <c r="F219">
        <v>14</v>
      </c>
      <c r="G219" t="s">
        <v>12</v>
      </c>
      <c r="H219" t="s">
        <v>12</v>
      </c>
      <c r="I219" t="s">
        <v>13</v>
      </c>
      <c r="J219" t="s">
        <v>14</v>
      </c>
      <c r="K219">
        <v>955</v>
      </c>
      <c r="L219">
        <v>2865</v>
      </c>
      <c r="M219">
        <f t="shared" si="6"/>
        <v>12456</v>
      </c>
      <c r="N219" s="10" t="str">
        <f t="shared" si="7"/>
        <v>Low</v>
      </c>
    </row>
    <row r="220" spans="1:14" x14ac:dyDescent="0.35">
      <c r="A220">
        <v>10.627000000000001</v>
      </c>
      <c r="B220">
        <v>1647</v>
      </c>
      <c r="C220">
        <v>149</v>
      </c>
      <c r="D220">
        <v>2</v>
      </c>
      <c r="E220">
        <v>71</v>
      </c>
      <c r="F220">
        <v>10</v>
      </c>
      <c r="G220" t="s">
        <v>13</v>
      </c>
      <c r="H220" t="s">
        <v>13</v>
      </c>
      <c r="I220" t="s">
        <v>13</v>
      </c>
      <c r="J220" t="s">
        <v>15</v>
      </c>
      <c r="K220">
        <v>195</v>
      </c>
      <c r="L220">
        <v>390</v>
      </c>
      <c r="M220">
        <f t="shared" si="6"/>
        <v>10627</v>
      </c>
      <c r="N220" s="10" t="str">
        <f t="shared" si="7"/>
        <v>Low</v>
      </c>
    </row>
    <row r="221" spans="1:14" x14ac:dyDescent="0.35">
      <c r="A221">
        <v>38.954000000000001</v>
      </c>
      <c r="B221">
        <v>5222</v>
      </c>
      <c r="C221">
        <v>370</v>
      </c>
      <c r="D221">
        <v>4</v>
      </c>
      <c r="E221">
        <v>76</v>
      </c>
      <c r="F221">
        <v>13</v>
      </c>
      <c r="G221" t="s">
        <v>13</v>
      </c>
      <c r="H221" t="s">
        <v>12</v>
      </c>
      <c r="I221" t="s">
        <v>12</v>
      </c>
      <c r="J221" t="s">
        <v>14</v>
      </c>
      <c r="K221">
        <v>653</v>
      </c>
      <c r="L221">
        <v>2612</v>
      </c>
      <c r="M221">
        <f t="shared" si="6"/>
        <v>38954</v>
      </c>
      <c r="N221" s="10" t="str">
        <f t="shared" si="7"/>
        <v>High</v>
      </c>
    </row>
    <row r="222" spans="1:14" x14ac:dyDescent="0.35">
      <c r="A222">
        <v>44.847000000000001</v>
      </c>
      <c r="B222">
        <v>5765</v>
      </c>
      <c r="C222">
        <v>437</v>
      </c>
      <c r="D222">
        <v>3</v>
      </c>
      <c r="E222">
        <v>53</v>
      </c>
      <c r="F222">
        <v>13</v>
      </c>
      <c r="G222" t="s">
        <v>13</v>
      </c>
      <c r="H222" t="s">
        <v>13</v>
      </c>
      <c r="I222" t="s">
        <v>12</v>
      </c>
      <c r="J222" t="s">
        <v>15</v>
      </c>
      <c r="K222">
        <v>1246</v>
      </c>
      <c r="L222">
        <v>3738</v>
      </c>
      <c r="M222">
        <f t="shared" si="6"/>
        <v>44847</v>
      </c>
      <c r="N222" s="10" t="str">
        <f t="shared" si="7"/>
        <v>Low</v>
      </c>
    </row>
    <row r="223" spans="1:14" x14ac:dyDescent="0.35">
      <c r="A223">
        <v>98.515000000000001</v>
      </c>
      <c r="B223">
        <v>8760</v>
      </c>
      <c r="C223">
        <v>633</v>
      </c>
      <c r="D223">
        <v>5</v>
      </c>
      <c r="E223">
        <v>78</v>
      </c>
      <c r="F223">
        <v>11</v>
      </c>
      <c r="G223" t="s">
        <v>13</v>
      </c>
      <c r="H223" t="s">
        <v>12</v>
      </c>
      <c r="I223" t="s">
        <v>12</v>
      </c>
      <c r="J223" t="s">
        <v>16</v>
      </c>
      <c r="K223">
        <v>1230</v>
      </c>
      <c r="L223">
        <v>6150</v>
      </c>
      <c r="M223">
        <f t="shared" si="6"/>
        <v>98515</v>
      </c>
      <c r="N223" s="10" t="str">
        <f t="shared" si="7"/>
        <v>High</v>
      </c>
    </row>
    <row r="224" spans="1:14" x14ac:dyDescent="0.35">
      <c r="A224">
        <v>33.436999999999998</v>
      </c>
      <c r="B224">
        <v>6207</v>
      </c>
      <c r="C224">
        <v>451</v>
      </c>
      <c r="D224">
        <v>4</v>
      </c>
      <c r="E224">
        <v>44</v>
      </c>
      <c r="F224">
        <v>9</v>
      </c>
      <c r="G224" t="s">
        <v>12</v>
      </c>
      <c r="H224" t="s">
        <v>13</v>
      </c>
      <c r="I224" t="s">
        <v>12</v>
      </c>
      <c r="J224" t="s">
        <v>14</v>
      </c>
      <c r="K224">
        <v>1549</v>
      </c>
      <c r="L224">
        <v>6196</v>
      </c>
      <c r="M224">
        <f t="shared" si="6"/>
        <v>33437</v>
      </c>
      <c r="N224" s="10" t="str">
        <f t="shared" si="7"/>
        <v>High</v>
      </c>
    </row>
    <row r="225" spans="1:14" x14ac:dyDescent="0.35">
      <c r="A225">
        <v>27.512</v>
      </c>
      <c r="B225">
        <v>4613</v>
      </c>
      <c r="C225">
        <v>344</v>
      </c>
      <c r="D225">
        <v>5</v>
      </c>
      <c r="E225">
        <v>72</v>
      </c>
      <c r="F225">
        <v>17</v>
      </c>
      <c r="G225" t="s">
        <v>12</v>
      </c>
      <c r="H225" t="s">
        <v>12</v>
      </c>
      <c r="I225" t="s">
        <v>13</v>
      </c>
      <c r="J225" t="s">
        <v>15</v>
      </c>
      <c r="K225">
        <v>573</v>
      </c>
      <c r="L225">
        <v>2865</v>
      </c>
      <c r="M225">
        <f t="shared" si="6"/>
        <v>27512</v>
      </c>
      <c r="N225" s="10" t="str">
        <f t="shared" si="7"/>
        <v>High</v>
      </c>
    </row>
    <row r="226" spans="1:14" x14ac:dyDescent="0.35">
      <c r="A226">
        <v>121.709</v>
      </c>
      <c r="B226">
        <v>7818</v>
      </c>
      <c r="C226">
        <v>584</v>
      </c>
      <c r="D226">
        <v>4</v>
      </c>
      <c r="E226">
        <v>50</v>
      </c>
      <c r="F226">
        <v>6</v>
      </c>
      <c r="G226" t="s">
        <v>12</v>
      </c>
      <c r="H226" t="s">
        <v>12</v>
      </c>
      <c r="I226" t="s">
        <v>13</v>
      </c>
      <c r="J226" t="s">
        <v>14</v>
      </c>
      <c r="K226">
        <v>701</v>
      </c>
      <c r="L226">
        <v>2804</v>
      </c>
      <c r="M226">
        <f t="shared" si="6"/>
        <v>121709</v>
      </c>
      <c r="N226" s="10" t="str">
        <f t="shared" si="7"/>
        <v>High</v>
      </c>
    </row>
    <row r="227" spans="1:14" x14ac:dyDescent="0.35">
      <c r="A227">
        <v>15.079000000000001</v>
      </c>
      <c r="B227">
        <v>5673</v>
      </c>
      <c r="C227">
        <v>411</v>
      </c>
      <c r="D227">
        <v>4</v>
      </c>
      <c r="E227">
        <v>28</v>
      </c>
      <c r="F227">
        <v>15</v>
      </c>
      <c r="G227" t="s">
        <v>13</v>
      </c>
      <c r="H227" t="s">
        <v>12</v>
      </c>
      <c r="I227" t="s">
        <v>13</v>
      </c>
      <c r="J227" t="s">
        <v>15</v>
      </c>
      <c r="K227">
        <v>1075</v>
      </c>
      <c r="L227">
        <v>4300</v>
      </c>
      <c r="M227">
        <f t="shared" si="6"/>
        <v>15079</v>
      </c>
      <c r="N227" s="10" t="str">
        <f t="shared" si="7"/>
        <v>High</v>
      </c>
    </row>
    <row r="228" spans="1:14" x14ac:dyDescent="0.35">
      <c r="A228">
        <v>59.878999999999998</v>
      </c>
      <c r="B228">
        <v>6906</v>
      </c>
      <c r="C228">
        <v>527</v>
      </c>
      <c r="D228">
        <v>6</v>
      </c>
      <c r="E228">
        <v>78</v>
      </c>
      <c r="F228">
        <v>15</v>
      </c>
      <c r="G228" t="s">
        <v>13</v>
      </c>
      <c r="H228" t="s">
        <v>12</v>
      </c>
      <c r="I228" t="s">
        <v>12</v>
      </c>
      <c r="J228" t="s">
        <v>14</v>
      </c>
      <c r="K228">
        <v>1032</v>
      </c>
      <c r="L228">
        <v>6192</v>
      </c>
      <c r="M228">
        <f t="shared" si="6"/>
        <v>59879</v>
      </c>
      <c r="N228" s="10" t="str">
        <f t="shared" si="7"/>
        <v>High</v>
      </c>
    </row>
    <row r="229" spans="1:14" x14ac:dyDescent="0.35">
      <c r="A229">
        <v>66.989000000000004</v>
      </c>
      <c r="B229">
        <v>5614</v>
      </c>
      <c r="C229">
        <v>430</v>
      </c>
      <c r="D229">
        <v>3</v>
      </c>
      <c r="E229">
        <v>47</v>
      </c>
      <c r="F229">
        <v>14</v>
      </c>
      <c r="G229" t="s">
        <v>13</v>
      </c>
      <c r="H229" t="s">
        <v>12</v>
      </c>
      <c r="I229" t="s">
        <v>13</v>
      </c>
      <c r="J229" t="s">
        <v>14</v>
      </c>
      <c r="K229">
        <v>482</v>
      </c>
      <c r="L229">
        <v>1446</v>
      </c>
      <c r="M229">
        <f t="shared" si="6"/>
        <v>66989</v>
      </c>
      <c r="N229" s="10" t="str">
        <f t="shared" si="7"/>
        <v>Low</v>
      </c>
    </row>
    <row r="230" spans="1:14" x14ac:dyDescent="0.35">
      <c r="A230">
        <v>69.165000000000006</v>
      </c>
      <c r="B230">
        <v>4668</v>
      </c>
      <c r="C230">
        <v>341</v>
      </c>
      <c r="D230">
        <v>2</v>
      </c>
      <c r="E230">
        <v>34</v>
      </c>
      <c r="F230">
        <v>11</v>
      </c>
      <c r="G230" t="s">
        <v>13</v>
      </c>
      <c r="H230" t="s">
        <v>12</v>
      </c>
      <c r="I230" t="s">
        <v>12</v>
      </c>
      <c r="J230" t="s">
        <v>16</v>
      </c>
      <c r="K230">
        <v>156</v>
      </c>
      <c r="L230">
        <v>312</v>
      </c>
      <c r="M230">
        <f t="shared" si="6"/>
        <v>69165</v>
      </c>
      <c r="N230" s="10" t="str">
        <f t="shared" si="7"/>
        <v>Low</v>
      </c>
    </row>
    <row r="231" spans="1:14" x14ac:dyDescent="0.35">
      <c r="A231">
        <v>69.942999999999998</v>
      </c>
      <c r="B231">
        <v>7555</v>
      </c>
      <c r="C231">
        <v>547</v>
      </c>
      <c r="D231">
        <v>3</v>
      </c>
      <c r="E231">
        <v>76</v>
      </c>
      <c r="F231">
        <v>9</v>
      </c>
      <c r="G231" t="s">
        <v>12</v>
      </c>
      <c r="H231" t="s">
        <v>12</v>
      </c>
      <c r="I231" t="s">
        <v>13</v>
      </c>
      <c r="J231" t="s">
        <v>15</v>
      </c>
      <c r="K231">
        <v>1058</v>
      </c>
      <c r="L231">
        <v>3174</v>
      </c>
      <c r="M231">
        <f t="shared" si="6"/>
        <v>69943</v>
      </c>
      <c r="N231" s="10" t="str">
        <f t="shared" si="7"/>
        <v>Low</v>
      </c>
    </row>
    <row r="232" spans="1:14" x14ac:dyDescent="0.35">
      <c r="A232">
        <v>33.213999999999999</v>
      </c>
      <c r="B232">
        <v>5137</v>
      </c>
      <c r="C232">
        <v>387</v>
      </c>
      <c r="D232">
        <v>3</v>
      </c>
      <c r="E232">
        <v>59</v>
      </c>
      <c r="F232">
        <v>9</v>
      </c>
      <c r="G232" t="s">
        <v>12</v>
      </c>
      <c r="H232" t="s">
        <v>12</v>
      </c>
      <c r="I232" t="s">
        <v>12</v>
      </c>
      <c r="J232" t="s">
        <v>16</v>
      </c>
      <c r="K232">
        <v>661</v>
      </c>
      <c r="L232">
        <v>1983</v>
      </c>
      <c r="M232">
        <f t="shared" si="6"/>
        <v>33214</v>
      </c>
      <c r="N232" s="10" t="str">
        <f t="shared" si="7"/>
        <v>Low</v>
      </c>
    </row>
    <row r="233" spans="1:14" x14ac:dyDescent="0.35">
      <c r="A233">
        <v>25.123999999999999</v>
      </c>
      <c r="B233">
        <v>4776</v>
      </c>
      <c r="C233">
        <v>378</v>
      </c>
      <c r="D233">
        <v>4</v>
      </c>
      <c r="E233">
        <v>29</v>
      </c>
      <c r="F233">
        <v>12</v>
      </c>
      <c r="G233" t="s">
        <v>12</v>
      </c>
      <c r="H233" t="s">
        <v>12</v>
      </c>
      <c r="I233" t="s">
        <v>13</v>
      </c>
      <c r="J233" t="s">
        <v>14</v>
      </c>
      <c r="K233">
        <v>657</v>
      </c>
      <c r="L233">
        <v>2628</v>
      </c>
      <c r="M233">
        <f t="shared" si="6"/>
        <v>25124</v>
      </c>
      <c r="N233" s="10" t="str">
        <f t="shared" si="7"/>
        <v>High</v>
      </c>
    </row>
    <row r="234" spans="1:14" x14ac:dyDescent="0.35">
      <c r="A234">
        <v>15.741</v>
      </c>
      <c r="B234">
        <v>4788</v>
      </c>
      <c r="C234">
        <v>360</v>
      </c>
      <c r="D234">
        <v>1</v>
      </c>
      <c r="E234">
        <v>39</v>
      </c>
      <c r="F234">
        <v>14</v>
      </c>
      <c r="G234" t="s">
        <v>12</v>
      </c>
      <c r="H234" t="s">
        <v>12</v>
      </c>
      <c r="I234" t="s">
        <v>13</v>
      </c>
      <c r="J234" t="s">
        <v>15</v>
      </c>
      <c r="K234">
        <v>689</v>
      </c>
      <c r="L234">
        <v>689</v>
      </c>
      <c r="M234">
        <f t="shared" si="6"/>
        <v>15741</v>
      </c>
      <c r="N234" s="10" t="str">
        <f t="shared" si="7"/>
        <v>Low</v>
      </c>
    </row>
    <row r="235" spans="1:14" x14ac:dyDescent="0.35">
      <c r="A235">
        <v>11.603</v>
      </c>
      <c r="B235">
        <v>2278</v>
      </c>
      <c r="C235">
        <v>187</v>
      </c>
      <c r="D235">
        <v>3</v>
      </c>
      <c r="E235">
        <v>71</v>
      </c>
      <c r="F235">
        <v>11</v>
      </c>
      <c r="G235" t="s">
        <v>12</v>
      </c>
      <c r="H235" t="s">
        <v>12</v>
      </c>
      <c r="I235" t="s">
        <v>13</v>
      </c>
      <c r="J235" t="s">
        <v>14</v>
      </c>
      <c r="K235">
        <v>0</v>
      </c>
      <c r="L235">
        <v>0</v>
      </c>
      <c r="M235">
        <f t="shared" si="6"/>
        <v>11603</v>
      </c>
      <c r="N235" s="10" t="str">
        <f t="shared" si="7"/>
        <v>Low</v>
      </c>
    </row>
    <row r="236" spans="1:14" x14ac:dyDescent="0.35">
      <c r="A236">
        <v>69.656000000000006</v>
      </c>
      <c r="B236">
        <v>8244</v>
      </c>
      <c r="C236">
        <v>579</v>
      </c>
      <c r="D236">
        <v>3</v>
      </c>
      <c r="E236">
        <v>41</v>
      </c>
      <c r="F236">
        <v>14</v>
      </c>
      <c r="G236" t="s">
        <v>12</v>
      </c>
      <c r="H236" t="s">
        <v>12</v>
      </c>
      <c r="I236" t="s">
        <v>13</v>
      </c>
      <c r="J236" t="s">
        <v>16</v>
      </c>
      <c r="K236">
        <v>1329</v>
      </c>
      <c r="L236">
        <v>3987</v>
      </c>
      <c r="M236">
        <f t="shared" si="6"/>
        <v>69656</v>
      </c>
      <c r="N236" s="10" t="str">
        <f t="shared" si="7"/>
        <v>Low</v>
      </c>
    </row>
    <row r="237" spans="1:14" x14ac:dyDescent="0.35">
      <c r="A237">
        <v>10.503</v>
      </c>
      <c r="B237">
        <v>2923</v>
      </c>
      <c r="C237">
        <v>232</v>
      </c>
      <c r="D237">
        <v>3</v>
      </c>
      <c r="E237">
        <v>25</v>
      </c>
      <c r="F237">
        <v>18</v>
      </c>
      <c r="G237" t="s">
        <v>13</v>
      </c>
      <c r="H237" t="s">
        <v>12</v>
      </c>
      <c r="I237" t="s">
        <v>13</v>
      </c>
      <c r="J237" t="s">
        <v>16</v>
      </c>
      <c r="K237">
        <v>191</v>
      </c>
      <c r="L237">
        <v>573</v>
      </c>
      <c r="M237">
        <f t="shared" si="6"/>
        <v>10503</v>
      </c>
      <c r="N237" s="10" t="str">
        <f t="shared" si="7"/>
        <v>Low</v>
      </c>
    </row>
    <row r="238" spans="1:14" x14ac:dyDescent="0.35">
      <c r="A238">
        <v>42.529000000000003</v>
      </c>
      <c r="B238">
        <v>4986</v>
      </c>
      <c r="C238">
        <v>369</v>
      </c>
      <c r="D238">
        <v>2</v>
      </c>
      <c r="E238">
        <v>37</v>
      </c>
      <c r="F238">
        <v>11</v>
      </c>
      <c r="G238" t="s">
        <v>12</v>
      </c>
      <c r="H238" t="s">
        <v>12</v>
      </c>
      <c r="I238" t="s">
        <v>13</v>
      </c>
      <c r="J238" t="s">
        <v>15</v>
      </c>
      <c r="K238">
        <v>489</v>
      </c>
      <c r="L238">
        <v>978</v>
      </c>
      <c r="M238">
        <f t="shared" si="6"/>
        <v>42529</v>
      </c>
      <c r="N238" s="10" t="str">
        <f t="shared" si="7"/>
        <v>Low</v>
      </c>
    </row>
    <row r="239" spans="1:14" x14ac:dyDescent="0.35">
      <c r="A239">
        <v>60.579000000000001</v>
      </c>
      <c r="B239">
        <v>5149</v>
      </c>
      <c r="C239">
        <v>388</v>
      </c>
      <c r="D239">
        <v>5</v>
      </c>
      <c r="E239">
        <v>38</v>
      </c>
      <c r="F239">
        <v>15</v>
      </c>
      <c r="G239" t="s">
        <v>12</v>
      </c>
      <c r="H239" t="s">
        <v>12</v>
      </c>
      <c r="I239" t="s">
        <v>13</v>
      </c>
      <c r="J239" t="s">
        <v>15</v>
      </c>
      <c r="K239">
        <v>443</v>
      </c>
      <c r="L239">
        <v>2215</v>
      </c>
      <c r="M239">
        <f t="shared" si="6"/>
        <v>60579</v>
      </c>
      <c r="N239" s="10" t="str">
        <f t="shared" si="7"/>
        <v>High</v>
      </c>
    </row>
    <row r="240" spans="1:14" x14ac:dyDescent="0.35">
      <c r="A240">
        <v>26.532</v>
      </c>
      <c r="B240">
        <v>2910</v>
      </c>
      <c r="C240">
        <v>236</v>
      </c>
      <c r="D240">
        <v>6</v>
      </c>
      <c r="E240">
        <v>58</v>
      </c>
      <c r="F240">
        <v>19</v>
      </c>
      <c r="G240" t="s">
        <v>13</v>
      </c>
      <c r="H240" t="s">
        <v>12</v>
      </c>
      <c r="I240" t="s">
        <v>13</v>
      </c>
      <c r="J240" t="s">
        <v>14</v>
      </c>
      <c r="K240">
        <v>52</v>
      </c>
      <c r="L240">
        <v>312</v>
      </c>
      <c r="M240">
        <f t="shared" si="6"/>
        <v>26532</v>
      </c>
      <c r="N240" s="10" t="str">
        <f t="shared" si="7"/>
        <v>High</v>
      </c>
    </row>
    <row r="241" spans="1:14" x14ac:dyDescent="0.35">
      <c r="A241">
        <v>27.952000000000002</v>
      </c>
      <c r="B241">
        <v>3557</v>
      </c>
      <c r="C241">
        <v>263</v>
      </c>
      <c r="D241">
        <v>1</v>
      </c>
      <c r="E241">
        <v>35</v>
      </c>
      <c r="F241">
        <v>13</v>
      </c>
      <c r="G241" t="s">
        <v>13</v>
      </c>
      <c r="H241" t="s">
        <v>12</v>
      </c>
      <c r="I241" t="s">
        <v>13</v>
      </c>
      <c r="J241" t="s">
        <v>15</v>
      </c>
      <c r="K241">
        <v>163</v>
      </c>
      <c r="L241">
        <v>163</v>
      </c>
      <c r="M241">
        <f t="shared" si="6"/>
        <v>27952</v>
      </c>
      <c r="N241" s="10" t="str">
        <f t="shared" si="7"/>
        <v>Low</v>
      </c>
    </row>
    <row r="242" spans="1:14" x14ac:dyDescent="0.35">
      <c r="A242">
        <v>29.704999999999998</v>
      </c>
      <c r="B242">
        <v>3351</v>
      </c>
      <c r="C242">
        <v>262</v>
      </c>
      <c r="D242">
        <v>5</v>
      </c>
      <c r="E242">
        <v>71</v>
      </c>
      <c r="F242">
        <v>14</v>
      </c>
      <c r="G242" t="s">
        <v>13</v>
      </c>
      <c r="H242" t="s">
        <v>12</v>
      </c>
      <c r="I242" t="s">
        <v>13</v>
      </c>
      <c r="J242" t="s">
        <v>15</v>
      </c>
      <c r="K242">
        <v>148</v>
      </c>
      <c r="L242">
        <v>740</v>
      </c>
      <c r="M242">
        <f t="shared" si="6"/>
        <v>29705</v>
      </c>
      <c r="N242" s="10" t="str">
        <f t="shared" si="7"/>
        <v>High</v>
      </c>
    </row>
    <row r="243" spans="1:14" x14ac:dyDescent="0.35">
      <c r="A243">
        <v>15.602</v>
      </c>
      <c r="B243">
        <v>906</v>
      </c>
      <c r="C243">
        <v>103</v>
      </c>
      <c r="D243">
        <v>2</v>
      </c>
      <c r="E243">
        <v>36</v>
      </c>
      <c r="F243">
        <v>11</v>
      </c>
      <c r="G243" t="s">
        <v>12</v>
      </c>
      <c r="H243" t="s">
        <v>12</v>
      </c>
      <c r="I243" t="s">
        <v>13</v>
      </c>
      <c r="J243" t="s">
        <v>16</v>
      </c>
      <c r="K243">
        <v>0</v>
      </c>
      <c r="L243">
        <v>0</v>
      </c>
      <c r="M243">
        <f t="shared" si="6"/>
        <v>15602</v>
      </c>
      <c r="N243" s="10" t="str">
        <f t="shared" si="7"/>
        <v>Low</v>
      </c>
    </row>
    <row r="244" spans="1:14" x14ac:dyDescent="0.35">
      <c r="A244">
        <v>20.917999999999999</v>
      </c>
      <c r="B244">
        <v>1233</v>
      </c>
      <c r="C244">
        <v>128</v>
      </c>
      <c r="D244">
        <v>3</v>
      </c>
      <c r="E244">
        <v>47</v>
      </c>
      <c r="F244">
        <v>18</v>
      </c>
      <c r="G244" t="s">
        <v>13</v>
      </c>
      <c r="H244" t="s">
        <v>13</v>
      </c>
      <c r="I244" t="s">
        <v>13</v>
      </c>
      <c r="J244" t="s">
        <v>15</v>
      </c>
      <c r="K244">
        <v>16</v>
      </c>
      <c r="L244">
        <v>48</v>
      </c>
      <c r="M244">
        <f t="shared" si="6"/>
        <v>20918</v>
      </c>
      <c r="N244" s="10" t="str">
        <f t="shared" si="7"/>
        <v>Low</v>
      </c>
    </row>
    <row r="245" spans="1:14" x14ac:dyDescent="0.35">
      <c r="A245">
        <v>58.164999999999999</v>
      </c>
      <c r="B245">
        <v>6617</v>
      </c>
      <c r="C245">
        <v>460</v>
      </c>
      <c r="D245">
        <v>1</v>
      </c>
      <c r="E245">
        <v>56</v>
      </c>
      <c r="F245">
        <v>12</v>
      </c>
      <c r="G245" t="s">
        <v>13</v>
      </c>
      <c r="H245" t="s">
        <v>12</v>
      </c>
      <c r="I245" t="s">
        <v>13</v>
      </c>
      <c r="J245" t="s">
        <v>14</v>
      </c>
      <c r="K245">
        <v>856</v>
      </c>
      <c r="L245">
        <v>856</v>
      </c>
      <c r="M245">
        <f t="shared" si="6"/>
        <v>58165</v>
      </c>
      <c r="N245" s="10" t="str">
        <f t="shared" si="7"/>
        <v>Low</v>
      </c>
    </row>
    <row r="246" spans="1:14" x14ac:dyDescent="0.35">
      <c r="A246">
        <v>22.561</v>
      </c>
      <c r="B246">
        <v>1787</v>
      </c>
      <c r="C246">
        <v>147</v>
      </c>
      <c r="D246">
        <v>4</v>
      </c>
      <c r="E246">
        <v>66</v>
      </c>
      <c r="F246">
        <v>15</v>
      </c>
      <c r="G246" t="s">
        <v>13</v>
      </c>
      <c r="H246" t="s">
        <v>12</v>
      </c>
      <c r="I246" t="s">
        <v>12</v>
      </c>
      <c r="J246" t="s">
        <v>14</v>
      </c>
      <c r="K246">
        <v>0</v>
      </c>
      <c r="L246">
        <v>0</v>
      </c>
      <c r="M246">
        <f t="shared" si="6"/>
        <v>22561</v>
      </c>
      <c r="N246" s="10" t="str">
        <f t="shared" si="7"/>
        <v>High</v>
      </c>
    </row>
    <row r="247" spans="1:14" x14ac:dyDescent="0.35">
      <c r="A247">
        <v>34.509</v>
      </c>
      <c r="B247">
        <v>2001</v>
      </c>
      <c r="C247">
        <v>189</v>
      </c>
      <c r="D247">
        <v>5</v>
      </c>
      <c r="E247">
        <v>80</v>
      </c>
      <c r="F247">
        <v>18</v>
      </c>
      <c r="G247" t="s">
        <v>13</v>
      </c>
      <c r="H247" t="s">
        <v>12</v>
      </c>
      <c r="I247" t="s">
        <v>13</v>
      </c>
      <c r="J247" t="s">
        <v>16</v>
      </c>
      <c r="K247">
        <v>0</v>
      </c>
      <c r="L247">
        <v>0</v>
      </c>
      <c r="M247">
        <f t="shared" si="6"/>
        <v>34509</v>
      </c>
      <c r="N247" s="10" t="str">
        <f t="shared" si="7"/>
        <v>High</v>
      </c>
    </row>
    <row r="248" spans="1:14" x14ac:dyDescent="0.35">
      <c r="A248">
        <v>19.588000000000001</v>
      </c>
      <c r="B248">
        <v>3211</v>
      </c>
      <c r="C248">
        <v>265</v>
      </c>
      <c r="D248">
        <v>4</v>
      </c>
      <c r="E248">
        <v>59</v>
      </c>
      <c r="F248">
        <v>14</v>
      </c>
      <c r="G248" t="s">
        <v>13</v>
      </c>
      <c r="H248" t="s">
        <v>12</v>
      </c>
      <c r="I248" t="s">
        <v>12</v>
      </c>
      <c r="J248" t="s">
        <v>15</v>
      </c>
      <c r="K248">
        <v>199</v>
      </c>
      <c r="L248">
        <v>796</v>
      </c>
      <c r="M248">
        <f t="shared" si="6"/>
        <v>19588</v>
      </c>
      <c r="N248" s="10" t="str">
        <f t="shared" si="7"/>
        <v>High</v>
      </c>
    </row>
    <row r="249" spans="1:14" x14ac:dyDescent="0.35">
      <c r="A249">
        <v>36.363999999999997</v>
      </c>
      <c r="B249">
        <v>2220</v>
      </c>
      <c r="C249">
        <v>188</v>
      </c>
      <c r="D249">
        <v>3</v>
      </c>
      <c r="E249">
        <v>50</v>
      </c>
      <c r="F249">
        <v>19</v>
      </c>
      <c r="G249" t="s">
        <v>12</v>
      </c>
      <c r="H249" t="s">
        <v>12</v>
      </c>
      <c r="I249" t="s">
        <v>12</v>
      </c>
      <c r="J249" t="s">
        <v>14</v>
      </c>
      <c r="K249">
        <v>0</v>
      </c>
      <c r="L249">
        <v>0</v>
      </c>
      <c r="M249">
        <f t="shared" si="6"/>
        <v>36364</v>
      </c>
      <c r="N249" s="10" t="str">
        <f t="shared" si="7"/>
        <v>Low</v>
      </c>
    </row>
    <row r="250" spans="1:14" x14ac:dyDescent="0.35">
      <c r="A250">
        <v>15.717000000000001</v>
      </c>
      <c r="B250">
        <v>905</v>
      </c>
      <c r="C250">
        <v>93</v>
      </c>
      <c r="D250">
        <v>1</v>
      </c>
      <c r="E250">
        <v>38</v>
      </c>
      <c r="F250">
        <v>16</v>
      </c>
      <c r="G250" t="s">
        <v>12</v>
      </c>
      <c r="H250" t="s">
        <v>13</v>
      </c>
      <c r="I250" t="s">
        <v>13</v>
      </c>
      <c r="J250" t="s">
        <v>14</v>
      </c>
      <c r="K250">
        <v>0</v>
      </c>
      <c r="L250">
        <v>0</v>
      </c>
      <c r="M250">
        <f t="shared" si="6"/>
        <v>15717</v>
      </c>
      <c r="N250" s="10" t="str">
        <f t="shared" si="7"/>
        <v>Low</v>
      </c>
    </row>
    <row r="251" spans="1:14" x14ac:dyDescent="0.35">
      <c r="A251">
        <v>22.574000000000002</v>
      </c>
      <c r="B251">
        <v>1551</v>
      </c>
      <c r="C251">
        <v>134</v>
      </c>
      <c r="D251">
        <v>3</v>
      </c>
      <c r="E251">
        <v>43</v>
      </c>
      <c r="F251">
        <v>13</v>
      </c>
      <c r="G251" t="s">
        <v>13</v>
      </c>
      <c r="H251" t="s">
        <v>13</v>
      </c>
      <c r="I251" t="s">
        <v>13</v>
      </c>
      <c r="J251" t="s">
        <v>14</v>
      </c>
      <c r="K251">
        <v>98</v>
      </c>
      <c r="L251">
        <v>294</v>
      </c>
      <c r="M251">
        <f t="shared" si="6"/>
        <v>22574</v>
      </c>
      <c r="N251" s="10" t="str">
        <f t="shared" si="7"/>
        <v>Low</v>
      </c>
    </row>
    <row r="252" spans="1:14" x14ac:dyDescent="0.35">
      <c r="A252">
        <v>10.363</v>
      </c>
      <c r="B252">
        <v>2430</v>
      </c>
      <c r="C252">
        <v>191</v>
      </c>
      <c r="D252">
        <v>2</v>
      </c>
      <c r="E252">
        <v>47</v>
      </c>
      <c r="F252">
        <v>18</v>
      </c>
      <c r="G252" t="s">
        <v>13</v>
      </c>
      <c r="H252" t="s">
        <v>12</v>
      </c>
      <c r="I252" t="s">
        <v>13</v>
      </c>
      <c r="J252" t="s">
        <v>15</v>
      </c>
      <c r="K252">
        <v>0</v>
      </c>
      <c r="L252">
        <v>0</v>
      </c>
      <c r="M252">
        <f t="shared" si="6"/>
        <v>10363</v>
      </c>
      <c r="N252" s="10" t="str">
        <f t="shared" si="7"/>
        <v>Low</v>
      </c>
    </row>
    <row r="253" spans="1:14" x14ac:dyDescent="0.35">
      <c r="A253">
        <v>28.474</v>
      </c>
      <c r="B253">
        <v>3202</v>
      </c>
      <c r="C253">
        <v>267</v>
      </c>
      <c r="D253">
        <v>5</v>
      </c>
      <c r="E253">
        <v>66</v>
      </c>
      <c r="F253">
        <v>12</v>
      </c>
      <c r="G253" t="s">
        <v>12</v>
      </c>
      <c r="H253" t="s">
        <v>12</v>
      </c>
      <c r="I253" t="s">
        <v>13</v>
      </c>
      <c r="J253" t="s">
        <v>14</v>
      </c>
      <c r="K253">
        <v>132</v>
      </c>
      <c r="L253">
        <v>660</v>
      </c>
      <c r="M253">
        <f t="shared" si="6"/>
        <v>28474</v>
      </c>
      <c r="N253" s="10" t="str">
        <f t="shared" si="7"/>
        <v>High</v>
      </c>
    </row>
    <row r="254" spans="1:14" x14ac:dyDescent="0.35">
      <c r="A254">
        <v>72.944999999999993</v>
      </c>
      <c r="B254">
        <v>8603</v>
      </c>
      <c r="C254">
        <v>621</v>
      </c>
      <c r="D254">
        <v>3</v>
      </c>
      <c r="E254">
        <v>64</v>
      </c>
      <c r="F254">
        <v>8</v>
      </c>
      <c r="G254" t="s">
        <v>13</v>
      </c>
      <c r="H254" t="s">
        <v>12</v>
      </c>
      <c r="I254" t="s">
        <v>12</v>
      </c>
      <c r="J254" t="s">
        <v>14</v>
      </c>
      <c r="K254">
        <v>1355</v>
      </c>
      <c r="L254">
        <v>4065</v>
      </c>
      <c r="M254">
        <f t="shared" si="6"/>
        <v>72945</v>
      </c>
      <c r="N254" s="10" t="str">
        <f t="shared" si="7"/>
        <v>Low</v>
      </c>
    </row>
    <row r="255" spans="1:14" x14ac:dyDescent="0.35">
      <c r="A255">
        <v>85.424999999999997</v>
      </c>
      <c r="B255">
        <v>5182</v>
      </c>
      <c r="C255">
        <v>402</v>
      </c>
      <c r="D255">
        <v>6</v>
      </c>
      <c r="E255">
        <v>60</v>
      </c>
      <c r="F255">
        <v>12</v>
      </c>
      <c r="G255" t="s">
        <v>12</v>
      </c>
      <c r="H255" t="s">
        <v>12</v>
      </c>
      <c r="I255" t="s">
        <v>13</v>
      </c>
      <c r="J255" t="s">
        <v>16</v>
      </c>
      <c r="K255">
        <v>218</v>
      </c>
      <c r="L255">
        <v>1308</v>
      </c>
      <c r="M255">
        <f t="shared" si="6"/>
        <v>85425</v>
      </c>
      <c r="N255" s="10" t="str">
        <f t="shared" si="7"/>
        <v>High</v>
      </c>
    </row>
    <row r="256" spans="1:14" x14ac:dyDescent="0.35">
      <c r="A256">
        <v>36.508000000000003</v>
      </c>
      <c r="B256">
        <v>6386</v>
      </c>
      <c r="C256">
        <v>469</v>
      </c>
      <c r="D256">
        <v>4</v>
      </c>
      <c r="E256">
        <v>79</v>
      </c>
      <c r="F256">
        <v>6</v>
      </c>
      <c r="G256" t="s">
        <v>13</v>
      </c>
      <c r="H256" t="s">
        <v>12</v>
      </c>
      <c r="I256" t="s">
        <v>13</v>
      </c>
      <c r="J256" t="s">
        <v>14</v>
      </c>
      <c r="K256">
        <v>1048</v>
      </c>
      <c r="L256">
        <v>4192</v>
      </c>
      <c r="M256">
        <f t="shared" si="6"/>
        <v>36508</v>
      </c>
      <c r="N256" s="10" t="str">
        <f t="shared" si="7"/>
        <v>High</v>
      </c>
    </row>
    <row r="257" spans="1:14" x14ac:dyDescent="0.35">
      <c r="A257">
        <v>58.063000000000002</v>
      </c>
      <c r="B257">
        <v>4221</v>
      </c>
      <c r="C257">
        <v>304</v>
      </c>
      <c r="D257">
        <v>3</v>
      </c>
      <c r="E257">
        <v>50</v>
      </c>
      <c r="F257">
        <v>8</v>
      </c>
      <c r="G257" t="s">
        <v>12</v>
      </c>
      <c r="H257" t="s">
        <v>12</v>
      </c>
      <c r="I257" t="s">
        <v>12</v>
      </c>
      <c r="J257" t="s">
        <v>16</v>
      </c>
      <c r="K257">
        <v>118</v>
      </c>
      <c r="L257">
        <v>354</v>
      </c>
      <c r="M257">
        <f t="shared" si="6"/>
        <v>58063</v>
      </c>
      <c r="N257" s="10" t="str">
        <f t="shared" si="7"/>
        <v>Low</v>
      </c>
    </row>
    <row r="258" spans="1:14" x14ac:dyDescent="0.35">
      <c r="A258">
        <v>25.936</v>
      </c>
      <c r="B258">
        <v>1774</v>
      </c>
      <c r="C258">
        <v>135</v>
      </c>
      <c r="D258">
        <v>2</v>
      </c>
      <c r="E258">
        <v>71</v>
      </c>
      <c r="F258">
        <v>14</v>
      </c>
      <c r="G258" t="s">
        <v>13</v>
      </c>
      <c r="H258" t="s">
        <v>12</v>
      </c>
      <c r="I258" t="s">
        <v>12</v>
      </c>
      <c r="J258" t="s">
        <v>15</v>
      </c>
      <c r="K258">
        <v>0</v>
      </c>
      <c r="L258">
        <v>0</v>
      </c>
      <c r="M258">
        <f t="shared" si="6"/>
        <v>25936</v>
      </c>
      <c r="N258" s="10" t="str">
        <f t="shared" si="7"/>
        <v>Low</v>
      </c>
    </row>
    <row r="259" spans="1:14" x14ac:dyDescent="0.35">
      <c r="A259">
        <v>15.629</v>
      </c>
      <c r="B259">
        <v>2493</v>
      </c>
      <c r="C259">
        <v>186</v>
      </c>
      <c r="D259">
        <v>1</v>
      </c>
      <c r="E259">
        <v>60</v>
      </c>
      <c r="F259">
        <v>14</v>
      </c>
      <c r="G259" t="s">
        <v>12</v>
      </c>
      <c r="H259" t="s">
        <v>12</v>
      </c>
      <c r="I259" t="s">
        <v>13</v>
      </c>
      <c r="J259" t="s">
        <v>15</v>
      </c>
      <c r="K259">
        <v>0</v>
      </c>
      <c r="L259">
        <v>0</v>
      </c>
      <c r="M259">
        <f t="shared" ref="M259:M322" si="8">A259*1000</f>
        <v>15629</v>
      </c>
      <c r="N259" s="10" t="str">
        <f t="shared" ref="N259:N322" si="9">IF(D259&lt;=3, "Low", "High")</f>
        <v>Low</v>
      </c>
    </row>
    <row r="260" spans="1:14" x14ac:dyDescent="0.35">
      <c r="A260">
        <v>41.4</v>
      </c>
      <c r="B260">
        <v>2561</v>
      </c>
      <c r="C260">
        <v>215</v>
      </c>
      <c r="D260">
        <v>2</v>
      </c>
      <c r="E260">
        <v>36</v>
      </c>
      <c r="F260">
        <v>14</v>
      </c>
      <c r="G260" t="s">
        <v>12</v>
      </c>
      <c r="H260" t="s">
        <v>12</v>
      </c>
      <c r="I260" t="s">
        <v>13</v>
      </c>
      <c r="J260" t="s">
        <v>14</v>
      </c>
      <c r="K260">
        <v>0</v>
      </c>
      <c r="L260">
        <v>0</v>
      </c>
      <c r="M260">
        <f t="shared" si="8"/>
        <v>41400</v>
      </c>
      <c r="N260" s="10" t="str">
        <f t="shared" si="9"/>
        <v>Low</v>
      </c>
    </row>
    <row r="261" spans="1:14" x14ac:dyDescent="0.35">
      <c r="A261">
        <v>33.656999999999996</v>
      </c>
      <c r="B261">
        <v>6196</v>
      </c>
      <c r="C261">
        <v>450</v>
      </c>
      <c r="D261">
        <v>6</v>
      </c>
      <c r="E261">
        <v>55</v>
      </c>
      <c r="F261">
        <v>9</v>
      </c>
      <c r="G261" t="s">
        <v>13</v>
      </c>
      <c r="H261" t="s">
        <v>12</v>
      </c>
      <c r="I261" t="s">
        <v>12</v>
      </c>
      <c r="J261" t="s">
        <v>14</v>
      </c>
      <c r="K261">
        <v>1092</v>
      </c>
      <c r="L261">
        <v>6552</v>
      </c>
      <c r="M261">
        <f t="shared" si="8"/>
        <v>33657</v>
      </c>
      <c r="N261" s="10" t="str">
        <f t="shared" si="9"/>
        <v>High</v>
      </c>
    </row>
    <row r="262" spans="1:14" x14ac:dyDescent="0.35">
      <c r="A262">
        <v>67.936999999999998</v>
      </c>
      <c r="B262">
        <v>5184</v>
      </c>
      <c r="C262">
        <v>383</v>
      </c>
      <c r="D262">
        <v>4</v>
      </c>
      <c r="E262">
        <v>63</v>
      </c>
      <c r="F262">
        <v>12</v>
      </c>
      <c r="G262" t="s">
        <v>12</v>
      </c>
      <c r="H262" t="s">
        <v>12</v>
      </c>
      <c r="I262" t="s">
        <v>13</v>
      </c>
      <c r="J262" t="s">
        <v>15</v>
      </c>
      <c r="K262">
        <v>345</v>
      </c>
      <c r="L262">
        <v>1380</v>
      </c>
      <c r="M262">
        <f t="shared" si="8"/>
        <v>67937</v>
      </c>
      <c r="N262" s="10" t="str">
        <f t="shared" si="9"/>
        <v>High</v>
      </c>
    </row>
    <row r="263" spans="1:14" x14ac:dyDescent="0.35">
      <c r="A263">
        <v>180.37899999999999</v>
      </c>
      <c r="B263">
        <v>9310</v>
      </c>
      <c r="C263">
        <v>665</v>
      </c>
      <c r="D263">
        <v>3</v>
      </c>
      <c r="E263">
        <v>67</v>
      </c>
      <c r="F263">
        <v>8</v>
      </c>
      <c r="G263" t="s">
        <v>13</v>
      </c>
      <c r="H263" t="s">
        <v>13</v>
      </c>
      <c r="I263" t="s">
        <v>13</v>
      </c>
      <c r="J263" t="s">
        <v>15</v>
      </c>
      <c r="K263">
        <v>1050</v>
      </c>
      <c r="L263">
        <v>3150</v>
      </c>
      <c r="M263">
        <f t="shared" si="8"/>
        <v>180379</v>
      </c>
      <c r="N263" s="10" t="str">
        <f t="shared" si="9"/>
        <v>Low</v>
      </c>
    </row>
    <row r="264" spans="1:14" x14ac:dyDescent="0.35">
      <c r="A264">
        <v>10.587999999999999</v>
      </c>
      <c r="B264">
        <v>4049</v>
      </c>
      <c r="C264">
        <v>296</v>
      </c>
      <c r="D264">
        <v>1</v>
      </c>
      <c r="E264">
        <v>66</v>
      </c>
      <c r="F264">
        <v>13</v>
      </c>
      <c r="G264" t="s">
        <v>13</v>
      </c>
      <c r="H264" t="s">
        <v>12</v>
      </c>
      <c r="I264" t="s">
        <v>13</v>
      </c>
      <c r="J264" t="s">
        <v>14</v>
      </c>
      <c r="K264">
        <v>465</v>
      </c>
      <c r="L264">
        <v>465</v>
      </c>
      <c r="M264">
        <f t="shared" si="8"/>
        <v>10588</v>
      </c>
      <c r="N264" s="10" t="str">
        <f t="shared" si="9"/>
        <v>Low</v>
      </c>
    </row>
    <row r="265" spans="1:14" x14ac:dyDescent="0.35">
      <c r="A265">
        <v>29.725000000000001</v>
      </c>
      <c r="B265">
        <v>3536</v>
      </c>
      <c r="C265">
        <v>270</v>
      </c>
      <c r="D265">
        <v>2</v>
      </c>
      <c r="E265">
        <v>52</v>
      </c>
      <c r="F265">
        <v>15</v>
      </c>
      <c r="G265" t="s">
        <v>13</v>
      </c>
      <c r="H265" t="s">
        <v>12</v>
      </c>
      <c r="I265" t="s">
        <v>12</v>
      </c>
      <c r="J265" t="s">
        <v>16</v>
      </c>
      <c r="K265">
        <v>133</v>
      </c>
      <c r="L265">
        <v>266</v>
      </c>
      <c r="M265">
        <f t="shared" si="8"/>
        <v>29725</v>
      </c>
      <c r="N265" s="10" t="str">
        <f t="shared" si="9"/>
        <v>Low</v>
      </c>
    </row>
    <row r="266" spans="1:14" x14ac:dyDescent="0.35">
      <c r="A266">
        <v>27.998999999999999</v>
      </c>
      <c r="B266">
        <v>5107</v>
      </c>
      <c r="C266">
        <v>380</v>
      </c>
      <c r="D266">
        <v>1</v>
      </c>
      <c r="E266">
        <v>55</v>
      </c>
      <c r="F266">
        <v>10</v>
      </c>
      <c r="G266" t="s">
        <v>12</v>
      </c>
      <c r="H266" t="s">
        <v>12</v>
      </c>
      <c r="I266" t="s">
        <v>13</v>
      </c>
      <c r="J266" t="s">
        <v>14</v>
      </c>
      <c r="K266">
        <v>651</v>
      </c>
      <c r="L266">
        <v>651</v>
      </c>
      <c r="M266">
        <f t="shared" si="8"/>
        <v>27999</v>
      </c>
      <c r="N266" s="10" t="str">
        <f t="shared" si="9"/>
        <v>Low</v>
      </c>
    </row>
    <row r="267" spans="1:14" x14ac:dyDescent="0.35">
      <c r="A267">
        <v>40.884999999999998</v>
      </c>
      <c r="B267">
        <v>5013</v>
      </c>
      <c r="C267">
        <v>379</v>
      </c>
      <c r="D267">
        <v>3</v>
      </c>
      <c r="E267">
        <v>46</v>
      </c>
      <c r="F267">
        <v>13</v>
      </c>
      <c r="G267" t="s">
        <v>13</v>
      </c>
      <c r="H267" t="s">
        <v>12</v>
      </c>
      <c r="I267" t="s">
        <v>13</v>
      </c>
      <c r="J267" t="s">
        <v>16</v>
      </c>
      <c r="K267">
        <v>549</v>
      </c>
      <c r="L267">
        <v>1647</v>
      </c>
      <c r="M267">
        <f t="shared" si="8"/>
        <v>40885</v>
      </c>
      <c r="N267" s="10" t="str">
        <f t="shared" si="9"/>
        <v>Low</v>
      </c>
    </row>
    <row r="268" spans="1:14" x14ac:dyDescent="0.35">
      <c r="A268">
        <v>88.83</v>
      </c>
      <c r="B268">
        <v>4952</v>
      </c>
      <c r="C268">
        <v>360</v>
      </c>
      <c r="D268">
        <v>4</v>
      </c>
      <c r="E268">
        <v>86</v>
      </c>
      <c r="F268">
        <v>16</v>
      </c>
      <c r="G268" t="s">
        <v>13</v>
      </c>
      <c r="H268" t="s">
        <v>12</v>
      </c>
      <c r="I268" t="s">
        <v>13</v>
      </c>
      <c r="J268" t="s">
        <v>14</v>
      </c>
      <c r="K268">
        <v>15</v>
      </c>
      <c r="L268">
        <v>60</v>
      </c>
      <c r="M268">
        <f t="shared" si="8"/>
        <v>88830</v>
      </c>
      <c r="N268" s="10" t="str">
        <f t="shared" si="9"/>
        <v>High</v>
      </c>
    </row>
    <row r="269" spans="1:14" x14ac:dyDescent="0.35">
      <c r="A269">
        <v>29.638000000000002</v>
      </c>
      <c r="B269">
        <v>5833</v>
      </c>
      <c r="C269">
        <v>433</v>
      </c>
      <c r="D269">
        <v>3</v>
      </c>
      <c r="E269">
        <v>29</v>
      </c>
      <c r="F269">
        <v>15</v>
      </c>
      <c r="G269" t="s">
        <v>13</v>
      </c>
      <c r="H269" t="s">
        <v>12</v>
      </c>
      <c r="I269" t="s">
        <v>13</v>
      </c>
      <c r="J269" t="s">
        <v>15</v>
      </c>
      <c r="K269">
        <v>942</v>
      </c>
      <c r="L269">
        <v>2826</v>
      </c>
      <c r="M269">
        <f t="shared" si="8"/>
        <v>29638</v>
      </c>
      <c r="N269" s="10" t="str">
        <f t="shared" si="9"/>
        <v>Low</v>
      </c>
    </row>
    <row r="270" spans="1:14" x14ac:dyDescent="0.35">
      <c r="A270">
        <v>25.988</v>
      </c>
      <c r="B270">
        <v>1349</v>
      </c>
      <c r="C270">
        <v>142</v>
      </c>
      <c r="D270">
        <v>4</v>
      </c>
      <c r="E270">
        <v>82</v>
      </c>
      <c r="F270">
        <v>12</v>
      </c>
      <c r="G270" t="s">
        <v>12</v>
      </c>
      <c r="H270" t="s">
        <v>12</v>
      </c>
      <c r="I270" t="s">
        <v>12</v>
      </c>
      <c r="J270" t="s">
        <v>14</v>
      </c>
      <c r="K270">
        <v>0</v>
      </c>
      <c r="L270">
        <v>0</v>
      </c>
      <c r="M270">
        <f t="shared" si="8"/>
        <v>25988</v>
      </c>
      <c r="N270" s="10" t="str">
        <f t="shared" si="9"/>
        <v>High</v>
      </c>
    </row>
    <row r="271" spans="1:14" x14ac:dyDescent="0.35">
      <c r="A271">
        <v>39.055</v>
      </c>
      <c r="B271">
        <v>5565</v>
      </c>
      <c r="C271">
        <v>410</v>
      </c>
      <c r="D271">
        <v>4</v>
      </c>
      <c r="E271">
        <v>48</v>
      </c>
      <c r="F271">
        <v>18</v>
      </c>
      <c r="G271" t="s">
        <v>13</v>
      </c>
      <c r="H271" t="s">
        <v>12</v>
      </c>
      <c r="I271" t="s">
        <v>13</v>
      </c>
      <c r="J271" t="s">
        <v>14</v>
      </c>
      <c r="K271">
        <v>772</v>
      </c>
      <c r="L271">
        <v>3088</v>
      </c>
      <c r="M271">
        <f t="shared" si="8"/>
        <v>39055</v>
      </c>
      <c r="N271" s="10" t="str">
        <f t="shared" si="9"/>
        <v>High</v>
      </c>
    </row>
    <row r="272" spans="1:14" x14ac:dyDescent="0.35">
      <c r="A272">
        <v>15.866</v>
      </c>
      <c r="B272">
        <v>3085</v>
      </c>
      <c r="C272">
        <v>217</v>
      </c>
      <c r="D272">
        <v>1</v>
      </c>
      <c r="E272">
        <v>39</v>
      </c>
      <c r="F272">
        <v>13</v>
      </c>
      <c r="G272" t="s">
        <v>12</v>
      </c>
      <c r="H272" t="s">
        <v>12</v>
      </c>
      <c r="I272" t="s">
        <v>12</v>
      </c>
      <c r="J272" t="s">
        <v>14</v>
      </c>
      <c r="K272">
        <v>136</v>
      </c>
      <c r="L272">
        <v>136</v>
      </c>
      <c r="M272">
        <f t="shared" si="8"/>
        <v>15866</v>
      </c>
      <c r="N272" s="10" t="str">
        <f t="shared" si="9"/>
        <v>Low</v>
      </c>
    </row>
    <row r="273" spans="1:14" x14ac:dyDescent="0.35">
      <c r="A273">
        <v>44.978000000000002</v>
      </c>
      <c r="B273">
        <v>4866</v>
      </c>
      <c r="C273">
        <v>347</v>
      </c>
      <c r="D273">
        <v>1</v>
      </c>
      <c r="E273">
        <v>30</v>
      </c>
      <c r="F273">
        <v>10</v>
      </c>
      <c r="G273" t="s">
        <v>13</v>
      </c>
      <c r="H273" t="s">
        <v>12</v>
      </c>
      <c r="I273" t="s">
        <v>12</v>
      </c>
      <c r="J273" t="s">
        <v>14</v>
      </c>
      <c r="K273">
        <v>436</v>
      </c>
      <c r="L273">
        <v>436</v>
      </c>
      <c r="M273">
        <f t="shared" si="8"/>
        <v>44978</v>
      </c>
      <c r="N273" s="10" t="str">
        <f t="shared" si="9"/>
        <v>Low</v>
      </c>
    </row>
    <row r="274" spans="1:14" x14ac:dyDescent="0.35">
      <c r="A274">
        <v>30.413</v>
      </c>
      <c r="B274">
        <v>3690</v>
      </c>
      <c r="C274">
        <v>299</v>
      </c>
      <c r="D274">
        <v>2</v>
      </c>
      <c r="E274">
        <v>25</v>
      </c>
      <c r="F274">
        <v>15</v>
      </c>
      <c r="G274" t="s">
        <v>13</v>
      </c>
      <c r="H274" t="s">
        <v>13</v>
      </c>
      <c r="I274" t="s">
        <v>12</v>
      </c>
      <c r="J274" t="s">
        <v>15</v>
      </c>
      <c r="K274">
        <v>728</v>
      </c>
      <c r="L274">
        <v>1456</v>
      </c>
      <c r="M274">
        <f t="shared" si="8"/>
        <v>30413</v>
      </c>
      <c r="N274" s="10" t="str">
        <f t="shared" si="9"/>
        <v>Low</v>
      </c>
    </row>
    <row r="275" spans="1:14" x14ac:dyDescent="0.35">
      <c r="A275">
        <v>16.751000000000001</v>
      </c>
      <c r="B275">
        <v>4706</v>
      </c>
      <c r="C275">
        <v>353</v>
      </c>
      <c r="D275">
        <v>6</v>
      </c>
      <c r="E275">
        <v>48</v>
      </c>
      <c r="F275">
        <v>14</v>
      </c>
      <c r="G275" t="s">
        <v>12</v>
      </c>
      <c r="H275" t="s">
        <v>13</v>
      </c>
      <c r="I275" t="s">
        <v>12</v>
      </c>
      <c r="J275" t="s">
        <v>15</v>
      </c>
      <c r="K275">
        <v>1255</v>
      </c>
      <c r="L275">
        <v>7530</v>
      </c>
      <c r="M275">
        <f t="shared" si="8"/>
        <v>16751</v>
      </c>
      <c r="N275" s="10" t="str">
        <f t="shared" si="9"/>
        <v>High</v>
      </c>
    </row>
    <row r="276" spans="1:14" x14ac:dyDescent="0.35">
      <c r="A276">
        <v>30.55</v>
      </c>
      <c r="B276">
        <v>5869</v>
      </c>
      <c r="C276">
        <v>439</v>
      </c>
      <c r="D276">
        <v>5</v>
      </c>
      <c r="E276">
        <v>81</v>
      </c>
      <c r="F276">
        <v>9</v>
      </c>
      <c r="G276" t="s">
        <v>13</v>
      </c>
      <c r="H276" t="s">
        <v>12</v>
      </c>
      <c r="I276" t="s">
        <v>12</v>
      </c>
      <c r="J276" t="s">
        <v>16</v>
      </c>
      <c r="K276">
        <v>967</v>
      </c>
      <c r="L276">
        <v>4835</v>
      </c>
      <c r="M276">
        <f t="shared" si="8"/>
        <v>30550</v>
      </c>
      <c r="N276" s="10" t="str">
        <f t="shared" si="9"/>
        <v>High</v>
      </c>
    </row>
    <row r="277" spans="1:14" x14ac:dyDescent="0.35">
      <c r="A277">
        <v>163.32900000000001</v>
      </c>
      <c r="B277">
        <v>8732</v>
      </c>
      <c r="C277">
        <v>636</v>
      </c>
      <c r="D277">
        <v>3</v>
      </c>
      <c r="E277">
        <v>50</v>
      </c>
      <c r="F277">
        <v>14</v>
      </c>
      <c r="G277" t="s">
        <v>12</v>
      </c>
      <c r="H277" t="s">
        <v>12</v>
      </c>
      <c r="I277" t="s">
        <v>13</v>
      </c>
      <c r="J277" t="s">
        <v>14</v>
      </c>
      <c r="K277">
        <v>529</v>
      </c>
      <c r="L277">
        <v>1587</v>
      </c>
      <c r="M277">
        <f t="shared" si="8"/>
        <v>163329</v>
      </c>
      <c r="N277" s="10" t="str">
        <f t="shared" si="9"/>
        <v>Low</v>
      </c>
    </row>
    <row r="278" spans="1:14" x14ac:dyDescent="0.35">
      <c r="A278">
        <v>23.106000000000002</v>
      </c>
      <c r="B278">
        <v>3476</v>
      </c>
      <c r="C278">
        <v>257</v>
      </c>
      <c r="D278">
        <v>2</v>
      </c>
      <c r="E278">
        <v>50</v>
      </c>
      <c r="F278">
        <v>15</v>
      </c>
      <c r="G278" t="s">
        <v>13</v>
      </c>
      <c r="H278" t="s">
        <v>12</v>
      </c>
      <c r="I278" t="s">
        <v>12</v>
      </c>
      <c r="J278" t="s">
        <v>14</v>
      </c>
      <c r="K278">
        <v>209</v>
      </c>
      <c r="L278">
        <v>418</v>
      </c>
      <c r="M278">
        <f t="shared" si="8"/>
        <v>23106</v>
      </c>
      <c r="N278" s="10" t="str">
        <f t="shared" si="9"/>
        <v>Low</v>
      </c>
    </row>
    <row r="279" spans="1:14" x14ac:dyDescent="0.35">
      <c r="A279">
        <v>41.531999999999996</v>
      </c>
      <c r="B279">
        <v>5000</v>
      </c>
      <c r="C279">
        <v>353</v>
      </c>
      <c r="D279">
        <v>2</v>
      </c>
      <c r="E279">
        <v>50</v>
      </c>
      <c r="F279">
        <v>12</v>
      </c>
      <c r="G279" t="s">
        <v>12</v>
      </c>
      <c r="H279" t="s">
        <v>12</v>
      </c>
      <c r="I279" t="s">
        <v>13</v>
      </c>
      <c r="J279" t="s">
        <v>14</v>
      </c>
      <c r="K279">
        <v>531</v>
      </c>
      <c r="L279">
        <v>1062</v>
      </c>
      <c r="M279">
        <f t="shared" si="8"/>
        <v>41532</v>
      </c>
      <c r="N279" s="10" t="str">
        <f t="shared" si="9"/>
        <v>Low</v>
      </c>
    </row>
    <row r="280" spans="1:14" x14ac:dyDescent="0.35">
      <c r="A280">
        <v>128.04</v>
      </c>
      <c r="B280">
        <v>6982</v>
      </c>
      <c r="C280">
        <v>518</v>
      </c>
      <c r="D280">
        <v>2</v>
      </c>
      <c r="E280">
        <v>78</v>
      </c>
      <c r="F280">
        <v>11</v>
      </c>
      <c r="G280" t="s">
        <v>13</v>
      </c>
      <c r="H280" t="s">
        <v>12</v>
      </c>
      <c r="I280" t="s">
        <v>13</v>
      </c>
      <c r="J280" t="s">
        <v>14</v>
      </c>
      <c r="K280">
        <v>250</v>
      </c>
      <c r="L280">
        <v>500</v>
      </c>
      <c r="M280">
        <f t="shared" si="8"/>
        <v>128039.99999999999</v>
      </c>
      <c r="N280" s="10" t="str">
        <f t="shared" si="9"/>
        <v>Low</v>
      </c>
    </row>
    <row r="281" spans="1:14" x14ac:dyDescent="0.35">
      <c r="A281">
        <v>54.319000000000003</v>
      </c>
      <c r="B281">
        <v>3063</v>
      </c>
      <c r="C281">
        <v>248</v>
      </c>
      <c r="D281">
        <v>3</v>
      </c>
      <c r="E281">
        <v>59</v>
      </c>
      <c r="F281">
        <v>8</v>
      </c>
      <c r="G281" t="s">
        <v>13</v>
      </c>
      <c r="H281" t="s">
        <v>13</v>
      </c>
      <c r="I281" t="s">
        <v>12</v>
      </c>
      <c r="J281" t="s">
        <v>14</v>
      </c>
      <c r="K281">
        <v>269</v>
      </c>
      <c r="L281">
        <v>807</v>
      </c>
      <c r="M281">
        <f t="shared" si="8"/>
        <v>54319</v>
      </c>
      <c r="N281" s="10" t="str">
        <f t="shared" si="9"/>
        <v>Low</v>
      </c>
    </row>
    <row r="282" spans="1:14" x14ac:dyDescent="0.35">
      <c r="A282">
        <v>53.401000000000003</v>
      </c>
      <c r="B282">
        <v>5319</v>
      </c>
      <c r="C282">
        <v>377</v>
      </c>
      <c r="D282">
        <v>3</v>
      </c>
      <c r="E282">
        <v>35</v>
      </c>
      <c r="F282">
        <v>12</v>
      </c>
      <c r="G282" t="s">
        <v>13</v>
      </c>
      <c r="H282" t="s">
        <v>12</v>
      </c>
      <c r="I282" t="s">
        <v>12</v>
      </c>
      <c r="J282" t="s">
        <v>16</v>
      </c>
      <c r="K282">
        <v>541</v>
      </c>
      <c r="L282">
        <v>1623</v>
      </c>
      <c r="M282">
        <f t="shared" si="8"/>
        <v>53401</v>
      </c>
      <c r="N282" s="10" t="str">
        <f t="shared" si="9"/>
        <v>Low</v>
      </c>
    </row>
    <row r="283" spans="1:14" x14ac:dyDescent="0.35">
      <c r="A283">
        <v>36.142000000000003</v>
      </c>
      <c r="B283">
        <v>1852</v>
      </c>
      <c r="C283">
        <v>183</v>
      </c>
      <c r="D283">
        <v>3</v>
      </c>
      <c r="E283">
        <v>33</v>
      </c>
      <c r="F283">
        <v>13</v>
      </c>
      <c r="G283" t="s">
        <v>13</v>
      </c>
      <c r="H283" t="s">
        <v>12</v>
      </c>
      <c r="I283" t="s">
        <v>12</v>
      </c>
      <c r="J283" t="s">
        <v>16</v>
      </c>
      <c r="K283">
        <v>0</v>
      </c>
      <c r="L283">
        <v>0</v>
      </c>
      <c r="M283">
        <f t="shared" si="8"/>
        <v>36142</v>
      </c>
      <c r="N283" s="10" t="str">
        <f t="shared" si="9"/>
        <v>Low</v>
      </c>
    </row>
    <row r="284" spans="1:14" x14ac:dyDescent="0.35">
      <c r="A284">
        <v>63.533999999999999</v>
      </c>
      <c r="B284">
        <v>8100</v>
      </c>
      <c r="C284">
        <v>581</v>
      </c>
      <c r="D284">
        <v>2</v>
      </c>
      <c r="E284">
        <v>50</v>
      </c>
      <c r="F284">
        <v>17</v>
      </c>
      <c r="G284" t="s">
        <v>13</v>
      </c>
      <c r="H284" t="s">
        <v>12</v>
      </c>
      <c r="I284" t="s">
        <v>13</v>
      </c>
      <c r="J284" t="s">
        <v>14</v>
      </c>
      <c r="K284">
        <v>1298</v>
      </c>
      <c r="L284">
        <v>2596</v>
      </c>
      <c r="M284">
        <f t="shared" si="8"/>
        <v>63534</v>
      </c>
      <c r="N284" s="10" t="str">
        <f t="shared" si="9"/>
        <v>Low</v>
      </c>
    </row>
    <row r="285" spans="1:14" x14ac:dyDescent="0.35">
      <c r="A285">
        <v>49.927</v>
      </c>
      <c r="B285">
        <v>6396</v>
      </c>
      <c r="C285">
        <v>485</v>
      </c>
      <c r="D285">
        <v>3</v>
      </c>
      <c r="E285">
        <v>75</v>
      </c>
      <c r="F285">
        <v>17</v>
      </c>
      <c r="G285" t="s">
        <v>13</v>
      </c>
      <c r="H285" t="s">
        <v>12</v>
      </c>
      <c r="I285" t="s">
        <v>13</v>
      </c>
      <c r="J285" t="s">
        <v>14</v>
      </c>
      <c r="K285">
        <v>890</v>
      </c>
      <c r="L285">
        <v>2670</v>
      </c>
      <c r="M285">
        <f t="shared" si="8"/>
        <v>49927</v>
      </c>
      <c r="N285" s="10" t="str">
        <f t="shared" si="9"/>
        <v>Low</v>
      </c>
    </row>
    <row r="286" spans="1:14" x14ac:dyDescent="0.35">
      <c r="A286">
        <v>14.711</v>
      </c>
      <c r="B286">
        <v>2047</v>
      </c>
      <c r="C286">
        <v>167</v>
      </c>
      <c r="D286">
        <v>2</v>
      </c>
      <c r="E286">
        <v>67</v>
      </c>
      <c r="F286">
        <v>6</v>
      </c>
      <c r="G286" t="s">
        <v>12</v>
      </c>
      <c r="H286" t="s">
        <v>12</v>
      </c>
      <c r="I286" t="s">
        <v>13</v>
      </c>
      <c r="J286" t="s">
        <v>14</v>
      </c>
      <c r="K286">
        <v>0</v>
      </c>
      <c r="L286">
        <v>0</v>
      </c>
      <c r="M286">
        <f t="shared" si="8"/>
        <v>14711</v>
      </c>
      <c r="N286" s="10" t="str">
        <f t="shared" si="9"/>
        <v>Low</v>
      </c>
    </row>
    <row r="287" spans="1:14" x14ac:dyDescent="0.35">
      <c r="A287">
        <v>18.966999999999999</v>
      </c>
      <c r="B287">
        <v>1626</v>
      </c>
      <c r="C287">
        <v>156</v>
      </c>
      <c r="D287">
        <v>2</v>
      </c>
      <c r="E287">
        <v>41</v>
      </c>
      <c r="F287">
        <v>11</v>
      </c>
      <c r="G287" t="s">
        <v>13</v>
      </c>
      <c r="H287" t="s">
        <v>12</v>
      </c>
      <c r="I287" t="s">
        <v>13</v>
      </c>
      <c r="J287" t="s">
        <v>15</v>
      </c>
      <c r="K287">
        <v>0</v>
      </c>
      <c r="L287">
        <v>0</v>
      </c>
      <c r="M287">
        <f t="shared" si="8"/>
        <v>18967</v>
      </c>
      <c r="N287" s="10" t="str">
        <f t="shared" si="9"/>
        <v>Low</v>
      </c>
    </row>
    <row r="288" spans="1:14" x14ac:dyDescent="0.35">
      <c r="A288">
        <v>18.036000000000001</v>
      </c>
      <c r="B288">
        <v>1552</v>
      </c>
      <c r="C288">
        <v>142</v>
      </c>
      <c r="D288">
        <v>2</v>
      </c>
      <c r="E288">
        <v>48</v>
      </c>
      <c r="F288">
        <v>15</v>
      </c>
      <c r="G288" t="s">
        <v>13</v>
      </c>
      <c r="H288" t="s">
        <v>12</v>
      </c>
      <c r="I288" t="s">
        <v>12</v>
      </c>
      <c r="J288" t="s">
        <v>14</v>
      </c>
      <c r="K288">
        <v>0</v>
      </c>
      <c r="L288">
        <v>0</v>
      </c>
      <c r="M288">
        <f t="shared" si="8"/>
        <v>18036</v>
      </c>
      <c r="N288" s="10" t="str">
        <f t="shared" si="9"/>
        <v>Low</v>
      </c>
    </row>
    <row r="289" spans="1:14" x14ac:dyDescent="0.35">
      <c r="A289">
        <v>60.448999999999998</v>
      </c>
      <c r="B289">
        <v>3098</v>
      </c>
      <c r="C289">
        <v>272</v>
      </c>
      <c r="D289">
        <v>4</v>
      </c>
      <c r="E289">
        <v>69</v>
      </c>
      <c r="F289">
        <v>8</v>
      </c>
      <c r="G289" t="s">
        <v>12</v>
      </c>
      <c r="H289" t="s">
        <v>12</v>
      </c>
      <c r="I289" t="s">
        <v>13</v>
      </c>
      <c r="J289" t="s">
        <v>14</v>
      </c>
      <c r="K289">
        <v>0</v>
      </c>
      <c r="L289">
        <v>0</v>
      </c>
      <c r="M289">
        <f t="shared" si="8"/>
        <v>60449</v>
      </c>
      <c r="N289" s="10" t="str">
        <f t="shared" si="9"/>
        <v>High</v>
      </c>
    </row>
    <row r="290" spans="1:14" x14ac:dyDescent="0.35">
      <c r="A290">
        <v>16.710999999999999</v>
      </c>
      <c r="B290">
        <v>5274</v>
      </c>
      <c r="C290">
        <v>387</v>
      </c>
      <c r="D290">
        <v>3</v>
      </c>
      <c r="E290">
        <v>42</v>
      </c>
      <c r="F290">
        <v>16</v>
      </c>
      <c r="G290" t="s">
        <v>13</v>
      </c>
      <c r="H290" t="s">
        <v>12</v>
      </c>
      <c r="I290" t="s">
        <v>13</v>
      </c>
      <c r="J290" t="s">
        <v>15</v>
      </c>
      <c r="K290">
        <v>863</v>
      </c>
      <c r="L290">
        <v>2589</v>
      </c>
      <c r="M290">
        <f t="shared" si="8"/>
        <v>16711</v>
      </c>
      <c r="N290" s="10" t="str">
        <f t="shared" si="9"/>
        <v>Low</v>
      </c>
    </row>
    <row r="291" spans="1:14" x14ac:dyDescent="0.35">
      <c r="A291">
        <v>10.852</v>
      </c>
      <c r="B291">
        <v>3907</v>
      </c>
      <c r="C291">
        <v>296</v>
      </c>
      <c r="D291">
        <v>2</v>
      </c>
      <c r="E291">
        <v>30</v>
      </c>
      <c r="F291">
        <v>9</v>
      </c>
      <c r="G291" t="s">
        <v>12</v>
      </c>
      <c r="H291" t="s">
        <v>12</v>
      </c>
      <c r="I291" t="s">
        <v>12</v>
      </c>
      <c r="J291" t="s">
        <v>14</v>
      </c>
      <c r="K291">
        <v>485</v>
      </c>
      <c r="L291">
        <v>970</v>
      </c>
      <c r="M291">
        <f t="shared" si="8"/>
        <v>10852</v>
      </c>
      <c r="N291" s="10" t="str">
        <f t="shared" si="9"/>
        <v>Low</v>
      </c>
    </row>
    <row r="292" spans="1:14" x14ac:dyDescent="0.35">
      <c r="A292">
        <v>26.37</v>
      </c>
      <c r="B292">
        <v>3235</v>
      </c>
      <c r="C292">
        <v>268</v>
      </c>
      <c r="D292">
        <v>5</v>
      </c>
      <c r="E292">
        <v>78</v>
      </c>
      <c r="F292">
        <v>11</v>
      </c>
      <c r="G292" t="s">
        <v>12</v>
      </c>
      <c r="H292" t="s">
        <v>12</v>
      </c>
      <c r="I292" t="s">
        <v>13</v>
      </c>
      <c r="J292" t="s">
        <v>15</v>
      </c>
      <c r="K292">
        <v>159</v>
      </c>
      <c r="L292">
        <v>795</v>
      </c>
      <c r="M292">
        <f t="shared" si="8"/>
        <v>26370</v>
      </c>
      <c r="N292" s="10" t="str">
        <f t="shared" si="9"/>
        <v>High</v>
      </c>
    </row>
    <row r="293" spans="1:14" x14ac:dyDescent="0.35">
      <c r="A293">
        <v>24.088000000000001</v>
      </c>
      <c r="B293">
        <v>3665</v>
      </c>
      <c r="C293">
        <v>287</v>
      </c>
      <c r="D293">
        <v>4</v>
      </c>
      <c r="E293">
        <v>56</v>
      </c>
      <c r="F293">
        <v>13</v>
      </c>
      <c r="G293" t="s">
        <v>13</v>
      </c>
      <c r="H293" t="s">
        <v>12</v>
      </c>
      <c r="I293" t="s">
        <v>13</v>
      </c>
      <c r="J293" t="s">
        <v>14</v>
      </c>
      <c r="K293">
        <v>309</v>
      </c>
      <c r="L293">
        <v>1236</v>
      </c>
      <c r="M293">
        <f t="shared" si="8"/>
        <v>24088</v>
      </c>
      <c r="N293" s="10" t="str">
        <f t="shared" si="9"/>
        <v>High</v>
      </c>
    </row>
    <row r="294" spans="1:14" x14ac:dyDescent="0.35">
      <c r="A294">
        <v>51.531999999999996</v>
      </c>
      <c r="B294">
        <v>5096</v>
      </c>
      <c r="C294">
        <v>380</v>
      </c>
      <c r="D294">
        <v>2</v>
      </c>
      <c r="E294">
        <v>31</v>
      </c>
      <c r="F294">
        <v>15</v>
      </c>
      <c r="G294" t="s">
        <v>12</v>
      </c>
      <c r="H294" t="s">
        <v>12</v>
      </c>
      <c r="I294" t="s">
        <v>13</v>
      </c>
      <c r="J294" t="s">
        <v>14</v>
      </c>
      <c r="K294">
        <v>481</v>
      </c>
      <c r="L294">
        <v>962</v>
      </c>
      <c r="M294">
        <f t="shared" si="8"/>
        <v>51532</v>
      </c>
      <c r="N294" s="10" t="str">
        <f t="shared" si="9"/>
        <v>Low</v>
      </c>
    </row>
    <row r="295" spans="1:14" x14ac:dyDescent="0.35">
      <c r="A295">
        <v>140.672</v>
      </c>
      <c r="B295">
        <v>11200</v>
      </c>
      <c r="C295">
        <v>817</v>
      </c>
      <c r="D295">
        <v>7</v>
      </c>
      <c r="E295">
        <v>46</v>
      </c>
      <c r="F295">
        <v>9</v>
      </c>
      <c r="G295" t="s">
        <v>12</v>
      </c>
      <c r="H295" t="s">
        <v>12</v>
      </c>
      <c r="I295" t="s">
        <v>13</v>
      </c>
      <c r="J295" t="s">
        <v>16</v>
      </c>
      <c r="K295">
        <v>1677</v>
      </c>
      <c r="L295">
        <v>11739</v>
      </c>
      <c r="M295">
        <f t="shared" si="8"/>
        <v>140672</v>
      </c>
      <c r="N295" s="10" t="str">
        <f t="shared" si="9"/>
        <v>High</v>
      </c>
    </row>
    <row r="296" spans="1:14" x14ac:dyDescent="0.35">
      <c r="A296">
        <v>42.914999999999999</v>
      </c>
      <c r="B296">
        <v>2532</v>
      </c>
      <c r="C296">
        <v>205</v>
      </c>
      <c r="D296">
        <v>4</v>
      </c>
      <c r="E296">
        <v>42</v>
      </c>
      <c r="F296">
        <v>13</v>
      </c>
      <c r="G296" t="s">
        <v>12</v>
      </c>
      <c r="H296" t="s">
        <v>12</v>
      </c>
      <c r="I296" t="s">
        <v>13</v>
      </c>
      <c r="J296" t="s">
        <v>15</v>
      </c>
      <c r="K296">
        <v>0</v>
      </c>
      <c r="L296">
        <v>0</v>
      </c>
      <c r="M296">
        <f t="shared" si="8"/>
        <v>42915</v>
      </c>
      <c r="N296" s="10" t="str">
        <f t="shared" si="9"/>
        <v>High</v>
      </c>
    </row>
    <row r="297" spans="1:14" x14ac:dyDescent="0.35">
      <c r="A297">
        <v>27.271999999999998</v>
      </c>
      <c r="B297">
        <v>1389</v>
      </c>
      <c r="C297">
        <v>149</v>
      </c>
      <c r="D297">
        <v>5</v>
      </c>
      <c r="E297">
        <v>67</v>
      </c>
      <c r="F297">
        <v>10</v>
      </c>
      <c r="G297" t="s">
        <v>13</v>
      </c>
      <c r="H297" t="s">
        <v>12</v>
      </c>
      <c r="I297" t="s">
        <v>13</v>
      </c>
      <c r="J297" t="s">
        <v>14</v>
      </c>
      <c r="K297">
        <v>0</v>
      </c>
      <c r="L297">
        <v>0</v>
      </c>
      <c r="M297">
        <f t="shared" si="8"/>
        <v>27272</v>
      </c>
      <c r="N297" s="10" t="str">
        <f t="shared" si="9"/>
        <v>High</v>
      </c>
    </row>
    <row r="298" spans="1:14" x14ac:dyDescent="0.35">
      <c r="A298">
        <v>65.896000000000001</v>
      </c>
      <c r="B298">
        <v>5140</v>
      </c>
      <c r="C298">
        <v>370</v>
      </c>
      <c r="D298">
        <v>1</v>
      </c>
      <c r="E298">
        <v>49</v>
      </c>
      <c r="F298">
        <v>17</v>
      </c>
      <c r="G298" t="s">
        <v>13</v>
      </c>
      <c r="H298" t="s">
        <v>12</v>
      </c>
      <c r="I298" t="s">
        <v>13</v>
      </c>
      <c r="J298" t="s">
        <v>14</v>
      </c>
      <c r="K298">
        <v>293</v>
      </c>
      <c r="L298">
        <v>293</v>
      </c>
      <c r="M298">
        <f t="shared" si="8"/>
        <v>65896</v>
      </c>
      <c r="N298" s="10" t="str">
        <f t="shared" si="9"/>
        <v>Low</v>
      </c>
    </row>
    <row r="299" spans="1:14" x14ac:dyDescent="0.35">
      <c r="A299">
        <v>55.054000000000002</v>
      </c>
      <c r="B299">
        <v>4381</v>
      </c>
      <c r="C299">
        <v>321</v>
      </c>
      <c r="D299">
        <v>3</v>
      </c>
      <c r="E299">
        <v>74</v>
      </c>
      <c r="F299">
        <v>17</v>
      </c>
      <c r="G299" t="s">
        <v>12</v>
      </c>
      <c r="H299" t="s">
        <v>12</v>
      </c>
      <c r="I299" t="s">
        <v>13</v>
      </c>
      <c r="J299" t="s">
        <v>15</v>
      </c>
      <c r="K299">
        <v>188</v>
      </c>
      <c r="L299">
        <v>564</v>
      </c>
      <c r="M299">
        <f t="shared" si="8"/>
        <v>55054</v>
      </c>
      <c r="N299" s="10" t="str">
        <f t="shared" si="9"/>
        <v>Low</v>
      </c>
    </row>
    <row r="300" spans="1:14" x14ac:dyDescent="0.35">
      <c r="A300">
        <v>20.791</v>
      </c>
      <c r="B300">
        <v>2672</v>
      </c>
      <c r="C300">
        <v>204</v>
      </c>
      <c r="D300">
        <v>1</v>
      </c>
      <c r="E300">
        <v>70</v>
      </c>
      <c r="F300">
        <v>18</v>
      </c>
      <c r="G300" t="s">
        <v>13</v>
      </c>
      <c r="H300" t="s">
        <v>12</v>
      </c>
      <c r="I300" t="s">
        <v>12</v>
      </c>
      <c r="J300" t="s">
        <v>16</v>
      </c>
      <c r="K300">
        <v>0</v>
      </c>
      <c r="L300">
        <v>0</v>
      </c>
      <c r="M300">
        <f t="shared" si="8"/>
        <v>20791</v>
      </c>
      <c r="N300" s="10" t="str">
        <f t="shared" si="9"/>
        <v>Low</v>
      </c>
    </row>
    <row r="301" spans="1:14" x14ac:dyDescent="0.35">
      <c r="A301">
        <v>24.919</v>
      </c>
      <c r="B301">
        <v>5051</v>
      </c>
      <c r="C301">
        <v>372</v>
      </c>
      <c r="D301">
        <v>3</v>
      </c>
      <c r="E301">
        <v>76</v>
      </c>
      <c r="F301">
        <v>11</v>
      </c>
      <c r="G301" t="s">
        <v>13</v>
      </c>
      <c r="H301" t="s">
        <v>12</v>
      </c>
      <c r="I301" t="s">
        <v>13</v>
      </c>
      <c r="J301" t="s">
        <v>16</v>
      </c>
      <c r="K301">
        <v>711</v>
      </c>
      <c r="L301">
        <v>2133</v>
      </c>
      <c r="M301">
        <f t="shared" si="8"/>
        <v>24919</v>
      </c>
      <c r="N301" s="10" t="str">
        <f t="shared" si="9"/>
        <v>Low</v>
      </c>
    </row>
    <row r="302" spans="1:14" x14ac:dyDescent="0.35">
      <c r="A302">
        <v>21.786000000000001</v>
      </c>
      <c r="B302">
        <v>4632</v>
      </c>
      <c r="C302">
        <v>355</v>
      </c>
      <c r="D302">
        <v>1</v>
      </c>
      <c r="E302">
        <v>50</v>
      </c>
      <c r="F302">
        <v>17</v>
      </c>
      <c r="G302" t="s">
        <v>12</v>
      </c>
      <c r="H302" t="s">
        <v>12</v>
      </c>
      <c r="I302" t="s">
        <v>13</v>
      </c>
      <c r="J302" t="s">
        <v>14</v>
      </c>
      <c r="K302">
        <v>580</v>
      </c>
      <c r="L302">
        <v>580</v>
      </c>
      <c r="M302">
        <f t="shared" si="8"/>
        <v>21786</v>
      </c>
      <c r="N302" s="10" t="str">
        <f t="shared" si="9"/>
        <v>Low</v>
      </c>
    </row>
    <row r="303" spans="1:14" x14ac:dyDescent="0.35">
      <c r="A303">
        <v>31.335000000000001</v>
      </c>
      <c r="B303">
        <v>3526</v>
      </c>
      <c r="C303">
        <v>289</v>
      </c>
      <c r="D303">
        <v>3</v>
      </c>
      <c r="E303">
        <v>38</v>
      </c>
      <c r="F303">
        <v>7</v>
      </c>
      <c r="G303" t="s">
        <v>13</v>
      </c>
      <c r="H303" t="s">
        <v>12</v>
      </c>
      <c r="I303" t="s">
        <v>12</v>
      </c>
      <c r="J303" t="s">
        <v>14</v>
      </c>
      <c r="K303">
        <v>172</v>
      </c>
      <c r="L303">
        <v>516</v>
      </c>
      <c r="M303">
        <f t="shared" si="8"/>
        <v>31335</v>
      </c>
      <c r="N303" s="10" t="str">
        <f t="shared" si="9"/>
        <v>Low</v>
      </c>
    </row>
    <row r="304" spans="1:14" x14ac:dyDescent="0.35">
      <c r="A304">
        <v>59.854999999999997</v>
      </c>
      <c r="B304">
        <v>4964</v>
      </c>
      <c r="C304">
        <v>365</v>
      </c>
      <c r="D304">
        <v>1</v>
      </c>
      <c r="E304">
        <v>46</v>
      </c>
      <c r="F304">
        <v>13</v>
      </c>
      <c r="G304" t="s">
        <v>13</v>
      </c>
      <c r="H304" t="s">
        <v>12</v>
      </c>
      <c r="I304" t="s">
        <v>13</v>
      </c>
      <c r="J304" t="s">
        <v>14</v>
      </c>
      <c r="K304">
        <v>295</v>
      </c>
      <c r="L304">
        <v>295</v>
      </c>
      <c r="M304">
        <f t="shared" si="8"/>
        <v>59855</v>
      </c>
      <c r="N304" s="10" t="str">
        <f t="shared" si="9"/>
        <v>Low</v>
      </c>
    </row>
    <row r="305" spans="1:14" x14ac:dyDescent="0.35">
      <c r="A305">
        <v>44.061</v>
      </c>
      <c r="B305">
        <v>4970</v>
      </c>
      <c r="C305">
        <v>352</v>
      </c>
      <c r="D305">
        <v>1</v>
      </c>
      <c r="E305">
        <v>79</v>
      </c>
      <c r="F305">
        <v>11</v>
      </c>
      <c r="G305" t="s">
        <v>12</v>
      </c>
      <c r="H305" t="s">
        <v>12</v>
      </c>
      <c r="I305" t="s">
        <v>13</v>
      </c>
      <c r="J305" t="s">
        <v>16</v>
      </c>
      <c r="K305">
        <v>414</v>
      </c>
      <c r="L305">
        <v>414</v>
      </c>
      <c r="M305">
        <f t="shared" si="8"/>
        <v>44061</v>
      </c>
      <c r="N305" s="10" t="str">
        <f t="shared" si="9"/>
        <v>Low</v>
      </c>
    </row>
    <row r="306" spans="1:14" x14ac:dyDescent="0.35">
      <c r="A306">
        <v>82.706000000000003</v>
      </c>
      <c r="B306">
        <v>7506</v>
      </c>
      <c r="C306">
        <v>536</v>
      </c>
      <c r="D306">
        <v>2</v>
      </c>
      <c r="E306">
        <v>64</v>
      </c>
      <c r="F306">
        <v>13</v>
      </c>
      <c r="G306" t="s">
        <v>13</v>
      </c>
      <c r="H306" t="s">
        <v>12</v>
      </c>
      <c r="I306" t="s">
        <v>13</v>
      </c>
      <c r="J306" t="s">
        <v>15</v>
      </c>
      <c r="K306">
        <v>905</v>
      </c>
      <c r="L306">
        <v>1810</v>
      </c>
      <c r="M306">
        <f t="shared" si="8"/>
        <v>82706</v>
      </c>
      <c r="N306" s="10" t="str">
        <f t="shared" si="9"/>
        <v>Low</v>
      </c>
    </row>
    <row r="307" spans="1:14" x14ac:dyDescent="0.35">
      <c r="A307">
        <v>24.46</v>
      </c>
      <c r="B307">
        <v>1924</v>
      </c>
      <c r="C307">
        <v>165</v>
      </c>
      <c r="D307">
        <v>2</v>
      </c>
      <c r="E307">
        <v>50</v>
      </c>
      <c r="F307">
        <v>14</v>
      </c>
      <c r="G307" t="s">
        <v>13</v>
      </c>
      <c r="H307" t="s">
        <v>12</v>
      </c>
      <c r="I307" t="s">
        <v>13</v>
      </c>
      <c r="J307" t="s">
        <v>15</v>
      </c>
      <c r="K307">
        <v>0</v>
      </c>
      <c r="L307">
        <v>0</v>
      </c>
      <c r="M307">
        <f t="shared" si="8"/>
        <v>24460</v>
      </c>
      <c r="N307" s="10" t="str">
        <f t="shared" si="9"/>
        <v>Low</v>
      </c>
    </row>
    <row r="308" spans="1:14" x14ac:dyDescent="0.35">
      <c r="A308">
        <v>45.12</v>
      </c>
      <c r="B308">
        <v>3762</v>
      </c>
      <c r="C308">
        <v>287</v>
      </c>
      <c r="D308">
        <v>3</v>
      </c>
      <c r="E308">
        <v>80</v>
      </c>
      <c r="F308">
        <v>8</v>
      </c>
      <c r="G308" t="s">
        <v>12</v>
      </c>
      <c r="H308" t="s">
        <v>12</v>
      </c>
      <c r="I308" t="s">
        <v>13</v>
      </c>
      <c r="J308" t="s">
        <v>14</v>
      </c>
      <c r="K308">
        <v>70</v>
      </c>
      <c r="L308">
        <v>210</v>
      </c>
      <c r="M308">
        <f t="shared" si="8"/>
        <v>45120</v>
      </c>
      <c r="N308" s="10" t="str">
        <f t="shared" si="9"/>
        <v>Low</v>
      </c>
    </row>
    <row r="309" spans="1:14" x14ac:dyDescent="0.35">
      <c r="A309">
        <v>75.406000000000006</v>
      </c>
      <c r="B309">
        <v>3874</v>
      </c>
      <c r="C309">
        <v>298</v>
      </c>
      <c r="D309">
        <v>3</v>
      </c>
      <c r="E309">
        <v>41</v>
      </c>
      <c r="F309">
        <v>14</v>
      </c>
      <c r="G309" t="s">
        <v>13</v>
      </c>
      <c r="H309" t="s">
        <v>12</v>
      </c>
      <c r="I309" t="s">
        <v>13</v>
      </c>
      <c r="J309" t="s">
        <v>15</v>
      </c>
      <c r="K309">
        <v>0</v>
      </c>
      <c r="L309">
        <v>0</v>
      </c>
      <c r="M309">
        <f t="shared" si="8"/>
        <v>75406</v>
      </c>
      <c r="N309" s="10" t="str">
        <f t="shared" si="9"/>
        <v>Low</v>
      </c>
    </row>
    <row r="310" spans="1:14" x14ac:dyDescent="0.35">
      <c r="A310">
        <v>14.956</v>
      </c>
      <c r="B310">
        <v>4640</v>
      </c>
      <c r="C310">
        <v>332</v>
      </c>
      <c r="D310">
        <v>2</v>
      </c>
      <c r="E310">
        <v>33</v>
      </c>
      <c r="F310">
        <v>6</v>
      </c>
      <c r="G310" t="s">
        <v>12</v>
      </c>
      <c r="H310" t="s">
        <v>12</v>
      </c>
      <c r="I310" t="s">
        <v>12</v>
      </c>
      <c r="J310" t="s">
        <v>15</v>
      </c>
      <c r="K310">
        <v>681</v>
      </c>
      <c r="L310">
        <v>1362</v>
      </c>
      <c r="M310">
        <f t="shared" si="8"/>
        <v>14956</v>
      </c>
      <c r="N310" s="10" t="str">
        <f t="shared" si="9"/>
        <v>Low</v>
      </c>
    </row>
    <row r="311" spans="1:14" x14ac:dyDescent="0.35">
      <c r="A311">
        <v>75.257000000000005</v>
      </c>
      <c r="B311">
        <v>7010</v>
      </c>
      <c r="C311">
        <v>494</v>
      </c>
      <c r="D311">
        <v>3</v>
      </c>
      <c r="E311">
        <v>34</v>
      </c>
      <c r="F311">
        <v>18</v>
      </c>
      <c r="G311" t="s">
        <v>13</v>
      </c>
      <c r="H311" t="s">
        <v>12</v>
      </c>
      <c r="I311" t="s">
        <v>13</v>
      </c>
      <c r="J311" t="s">
        <v>14</v>
      </c>
      <c r="K311">
        <v>885</v>
      </c>
      <c r="L311">
        <v>2655</v>
      </c>
      <c r="M311">
        <f t="shared" si="8"/>
        <v>75257</v>
      </c>
      <c r="N311" s="10" t="str">
        <f t="shared" si="9"/>
        <v>Low</v>
      </c>
    </row>
    <row r="312" spans="1:14" x14ac:dyDescent="0.35">
      <c r="A312">
        <v>33.694000000000003</v>
      </c>
      <c r="B312">
        <v>4891</v>
      </c>
      <c r="C312">
        <v>369</v>
      </c>
      <c r="D312">
        <v>1</v>
      </c>
      <c r="E312">
        <v>52</v>
      </c>
      <c r="F312">
        <v>16</v>
      </c>
      <c r="G312" t="s">
        <v>12</v>
      </c>
      <c r="H312" t="s">
        <v>13</v>
      </c>
      <c r="I312" t="s">
        <v>12</v>
      </c>
      <c r="J312" t="s">
        <v>16</v>
      </c>
      <c r="K312">
        <v>1036</v>
      </c>
      <c r="L312">
        <v>1036</v>
      </c>
      <c r="M312">
        <f t="shared" si="8"/>
        <v>33694</v>
      </c>
      <c r="N312" s="10" t="str">
        <f t="shared" si="9"/>
        <v>Low</v>
      </c>
    </row>
    <row r="313" spans="1:14" x14ac:dyDescent="0.35">
      <c r="A313">
        <v>23.375</v>
      </c>
      <c r="B313">
        <v>5429</v>
      </c>
      <c r="C313">
        <v>396</v>
      </c>
      <c r="D313">
        <v>3</v>
      </c>
      <c r="E313">
        <v>57</v>
      </c>
      <c r="F313">
        <v>15</v>
      </c>
      <c r="G313" t="s">
        <v>13</v>
      </c>
      <c r="H313" t="s">
        <v>12</v>
      </c>
      <c r="I313" t="s">
        <v>13</v>
      </c>
      <c r="J313" t="s">
        <v>14</v>
      </c>
      <c r="K313">
        <v>844</v>
      </c>
      <c r="L313">
        <v>2532</v>
      </c>
      <c r="M313">
        <f t="shared" si="8"/>
        <v>23375</v>
      </c>
      <c r="N313" s="10" t="str">
        <f t="shared" si="9"/>
        <v>Low</v>
      </c>
    </row>
    <row r="314" spans="1:14" x14ac:dyDescent="0.35">
      <c r="A314">
        <v>27.824999999999999</v>
      </c>
      <c r="B314">
        <v>5227</v>
      </c>
      <c r="C314">
        <v>386</v>
      </c>
      <c r="D314">
        <v>6</v>
      </c>
      <c r="E314">
        <v>63</v>
      </c>
      <c r="F314">
        <v>11</v>
      </c>
      <c r="G314" t="s">
        <v>12</v>
      </c>
      <c r="H314" t="s">
        <v>12</v>
      </c>
      <c r="I314" t="s">
        <v>13</v>
      </c>
      <c r="J314" t="s">
        <v>14</v>
      </c>
      <c r="K314">
        <v>823</v>
      </c>
      <c r="L314">
        <v>4938</v>
      </c>
      <c r="M314">
        <f t="shared" si="8"/>
        <v>27825</v>
      </c>
      <c r="N314" s="10" t="str">
        <f t="shared" si="9"/>
        <v>High</v>
      </c>
    </row>
    <row r="315" spans="1:14" x14ac:dyDescent="0.35">
      <c r="A315">
        <v>92.385999999999996</v>
      </c>
      <c r="B315">
        <v>7685</v>
      </c>
      <c r="C315">
        <v>534</v>
      </c>
      <c r="D315">
        <v>2</v>
      </c>
      <c r="E315">
        <v>75</v>
      </c>
      <c r="F315">
        <v>18</v>
      </c>
      <c r="G315" t="s">
        <v>13</v>
      </c>
      <c r="H315" t="s">
        <v>12</v>
      </c>
      <c r="I315" t="s">
        <v>13</v>
      </c>
      <c r="J315" t="s">
        <v>15</v>
      </c>
      <c r="K315">
        <v>843</v>
      </c>
      <c r="L315">
        <v>1686</v>
      </c>
      <c r="M315">
        <f t="shared" si="8"/>
        <v>92386</v>
      </c>
      <c r="N315" s="10" t="str">
        <f t="shared" si="9"/>
        <v>Low</v>
      </c>
    </row>
    <row r="316" spans="1:14" x14ac:dyDescent="0.35">
      <c r="A316">
        <v>115.52</v>
      </c>
      <c r="B316">
        <v>9272</v>
      </c>
      <c r="C316">
        <v>656</v>
      </c>
      <c r="D316">
        <v>2</v>
      </c>
      <c r="E316">
        <v>69</v>
      </c>
      <c r="F316">
        <v>14</v>
      </c>
      <c r="G316" t="s">
        <v>12</v>
      </c>
      <c r="H316" t="s">
        <v>12</v>
      </c>
      <c r="I316" t="s">
        <v>12</v>
      </c>
      <c r="J316" t="s">
        <v>16</v>
      </c>
      <c r="K316">
        <v>1140</v>
      </c>
      <c r="L316">
        <v>2280</v>
      </c>
      <c r="M316">
        <f t="shared" si="8"/>
        <v>115520</v>
      </c>
      <c r="N316" s="10" t="str">
        <f t="shared" si="9"/>
        <v>Low</v>
      </c>
    </row>
    <row r="317" spans="1:14" x14ac:dyDescent="0.35">
      <c r="A317">
        <v>14.478999999999999</v>
      </c>
      <c r="B317">
        <v>3907</v>
      </c>
      <c r="C317">
        <v>296</v>
      </c>
      <c r="D317">
        <v>3</v>
      </c>
      <c r="E317">
        <v>43</v>
      </c>
      <c r="F317">
        <v>16</v>
      </c>
      <c r="G317" t="s">
        <v>12</v>
      </c>
      <c r="H317" t="s">
        <v>12</v>
      </c>
      <c r="I317" t="s">
        <v>13</v>
      </c>
      <c r="J317" t="s">
        <v>14</v>
      </c>
      <c r="K317">
        <v>463</v>
      </c>
      <c r="L317">
        <v>1389</v>
      </c>
      <c r="M317">
        <f t="shared" si="8"/>
        <v>14479</v>
      </c>
      <c r="N317" s="10" t="str">
        <f t="shared" si="9"/>
        <v>Low</v>
      </c>
    </row>
    <row r="318" spans="1:14" x14ac:dyDescent="0.35">
      <c r="A318">
        <v>52.179000000000002</v>
      </c>
      <c r="B318">
        <v>7306</v>
      </c>
      <c r="C318">
        <v>522</v>
      </c>
      <c r="D318">
        <v>2</v>
      </c>
      <c r="E318">
        <v>57</v>
      </c>
      <c r="F318">
        <v>14</v>
      </c>
      <c r="G318" t="s">
        <v>12</v>
      </c>
      <c r="H318" t="s">
        <v>12</v>
      </c>
      <c r="I318" t="s">
        <v>12</v>
      </c>
      <c r="J318" t="s">
        <v>15</v>
      </c>
      <c r="K318">
        <v>1142</v>
      </c>
      <c r="L318">
        <v>2284</v>
      </c>
      <c r="M318">
        <f t="shared" si="8"/>
        <v>52179</v>
      </c>
      <c r="N318" s="10" t="str">
        <f t="shared" si="9"/>
        <v>Low</v>
      </c>
    </row>
    <row r="319" spans="1:14" x14ac:dyDescent="0.35">
      <c r="A319">
        <v>68.462000000000003</v>
      </c>
      <c r="B319">
        <v>4712</v>
      </c>
      <c r="C319">
        <v>340</v>
      </c>
      <c r="D319">
        <v>2</v>
      </c>
      <c r="E319">
        <v>71</v>
      </c>
      <c r="F319">
        <v>16</v>
      </c>
      <c r="G319" t="s">
        <v>12</v>
      </c>
      <c r="H319" t="s">
        <v>12</v>
      </c>
      <c r="I319" t="s">
        <v>13</v>
      </c>
      <c r="J319" t="s">
        <v>14</v>
      </c>
      <c r="K319">
        <v>136</v>
      </c>
      <c r="L319">
        <v>272</v>
      </c>
      <c r="M319">
        <f t="shared" si="8"/>
        <v>68462</v>
      </c>
      <c r="N319" s="10" t="str">
        <f t="shared" si="9"/>
        <v>Low</v>
      </c>
    </row>
    <row r="320" spans="1:14" x14ac:dyDescent="0.35">
      <c r="A320">
        <v>18.951000000000001</v>
      </c>
      <c r="B320">
        <v>1485</v>
      </c>
      <c r="C320">
        <v>129</v>
      </c>
      <c r="D320">
        <v>3</v>
      </c>
      <c r="E320">
        <v>82</v>
      </c>
      <c r="F320">
        <v>13</v>
      </c>
      <c r="G320" t="s">
        <v>13</v>
      </c>
      <c r="H320" t="s">
        <v>12</v>
      </c>
      <c r="I320" t="s">
        <v>12</v>
      </c>
      <c r="J320" t="s">
        <v>14</v>
      </c>
      <c r="K320">
        <v>0</v>
      </c>
      <c r="L320">
        <v>0</v>
      </c>
      <c r="M320">
        <f t="shared" si="8"/>
        <v>18951</v>
      </c>
      <c r="N320" s="10" t="str">
        <f t="shared" si="9"/>
        <v>Low</v>
      </c>
    </row>
    <row r="321" spans="1:14" x14ac:dyDescent="0.35">
      <c r="A321">
        <v>27.59</v>
      </c>
      <c r="B321">
        <v>2586</v>
      </c>
      <c r="C321">
        <v>229</v>
      </c>
      <c r="D321">
        <v>5</v>
      </c>
      <c r="E321">
        <v>54</v>
      </c>
      <c r="F321">
        <v>16</v>
      </c>
      <c r="G321" t="s">
        <v>12</v>
      </c>
      <c r="H321" t="s">
        <v>12</v>
      </c>
      <c r="I321" t="s">
        <v>13</v>
      </c>
      <c r="J321" t="s">
        <v>16</v>
      </c>
      <c r="K321">
        <v>0</v>
      </c>
      <c r="L321">
        <v>0</v>
      </c>
      <c r="M321">
        <f t="shared" si="8"/>
        <v>27590</v>
      </c>
      <c r="N321" s="10" t="str">
        <f t="shared" si="9"/>
        <v>High</v>
      </c>
    </row>
    <row r="322" spans="1:14" x14ac:dyDescent="0.35">
      <c r="A322">
        <v>16.279</v>
      </c>
      <c r="B322">
        <v>1160</v>
      </c>
      <c r="C322">
        <v>126</v>
      </c>
      <c r="D322">
        <v>3</v>
      </c>
      <c r="E322">
        <v>78</v>
      </c>
      <c r="F322">
        <v>13</v>
      </c>
      <c r="G322" t="s">
        <v>12</v>
      </c>
      <c r="H322" t="s">
        <v>13</v>
      </c>
      <c r="I322" t="s">
        <v>13</v>
      </c>
      <c r="J322" t="s">
        <v>16</v>
      </c>
      <c r="K322">
        <v>5</v>
      </c>
      <c r="L322">
        <v>15</v>
      </c>
      <c r="M322">
        <f t="shared" si="8"/>
        <v>16279</v>
      </c>
      <c r="N322" s="10" t="str">
        <f t="shared" si="9"/>
        <v>Low</v>
      </c>
    </row>
    <row r="323" spans="1:14" x14ac:dyDescent="0.35">
      <c r="A323">
        <v>25.077999999999999</v>
      </c>
      <c r="B323">
        <v>3096</v>
      </c>
      <c r="C323">
        <v>236</v>
      </c>
      <c r="D323">
        <v>2</v>
      </c>
      <c r="E323">
        <v>27</v>
      </c>
      <c r="F323">
        <v>15</v>
      </c>
      <c r="G323" t="s">
        <v>13</v>
      </c>
      <c r="H323" t="s">
        <v>12</v>
      </c>
      <c r="I323" t="s">
        <v>13</v>
      </c>
      <c r="J323" t="s">
        <v>14</v>
      </c>
      <c r="K323">
        <v>81</v>
      </c>
      <c r="L323">
        <v>162</v>
      </c>
      <c r="M323">
        <f t="shared" ref="M323:M386" si="10">A323*1000</f>
        <v>25078</v>
      </c>
      <c r="N323" s="10" t="str">
        <f t="shared" ref="N323:N386" si="11">IF(D323&lt;=3, "Low", "High")</f>
        <v>Low</v>
      </c>
    </row>
    <row r="324" spans="1:14" x14ac:dyDescent="0.35">
      <c r="A324">
        <v>27.228999999999999</v>
      </c>
      <c r="B324">
        <v>3484</v>
      </c>
      <c r="C324">
        <v>282</v>
      </c>
      <c r="D324">
        <v>6</v>
      </c>
      <c r="E324">
        <v>51</v>
      </c>
      <c r="F324">
        <v>11</v>
      </c>
      <c r="G324" t="s">
        <v>12</v>
      </c>
      <c r="H324" t="s">
        <v>12</v>
      </c>
      <c r="I324" t="s">
        <v>12</v>
      </c>
      <c r="J324" t="s">
        <v>14</v>
      </c>
      <c r="K324">
        <v>265</v>
      </c>
      <c r="L324">
        <v>1590</v>
      </c>
      <c r="M324">
        <f t="shared" si="10"/>
        <v>27229</v>
      </c>
      <c r="N324" s="10" t="str">
        <f t="shared" si="11"/>
        <v>High</v>
      </c>
    </row>
    <row r="325" spans="1:14" x14ac:dyDescent="0.35">
      <c r="A325">
        <v>182.72800000000001</v>
      </c>
      <c r="B325">
        <v>13913</v>
      </c>
      <c r="C325">
        <v>982</v>
      </c>
      <c r="D325">
        <v>4</v>
      </c>
      <c r="E325">
        <v>98</v>
      </c>
      <c r="F325">
        <v>17</v>
      </c>
      <c r="G325" t="s">
        <v>12</v>
      </c>
      <c r="H325" t="s">
        <v>12</v>
      </c>
      <c r="I325" t="s">
        <v>13</v>
      </c>
      <c r="J325" t="s">
        <v>14</v>
      </c>
      <c r="K325">
        <v>1999</v>
      </c>
      <c r="L325">
        <v>7996</v>
      </c>
      <c r="M325">
        <f t="shared" si="10"/>
        <v>182728</v>
      </c>
      <c r="N325" s="10" t="str">
        <f t="shared" si="11"/>
        <v>High</v>
      </c>
    </row>
    <row r="326" spans="1:14" x14ac:dyDescent="0.35">
      <c r="A326">
        <v>31.029</v>
      </c>
      <c r="B326">
        <v>2863</v>
      </c>
      <c r="C326">
        <v>223</v>
      </c>
      <c r="D326">
        <v>2</v>
      </c>
      <c r="E326">
        <v>66</v>
      </c>
      <c r="F326">
        <v>17</v>
      </c>
      <c r="G326" t="s">
        <v>12</v>
      </c>
      <c r="H326" t="s">
        <v>13</v>
      </c>
      <c r="I326" t="s">
        <v>13</v>
      </c>
      <c r="J326" t="s">
        <v>15</v>
      </c>
      <c r="K326">
        <v>415</v>
      </c>
      <c r="L326">
        <v>830</v>
      </c>
      <c r="M326">
        <f t="shared" si="10"/>
        <v>31029</v>
      </c>
      <c r="N326" s="10" t="str">
        <f t="shared" si="11"/>
        <v>Low</v>
      </c>
    </row>
    <row r="327" spans="1:14" x14ac:dyDescent="0.35">
      <c r="A327">
        <v>17.765000000000001</v>
      </c>
      <c r="B327">
        <v>5072</v>
      </c>
      <c r="C327">
        <v>364</v>
      </c>
      <c r="D327">
        <v>1</v>
      </c>
      <c r="E327">
        <v>66</v>
      </c>
      <c r="F327">
        <v>12</v>
      </c>
      <c r="G327" t="s">
        <v>13</v>
      </c>
      <c r="H327" t="s">
        <v>12</v>
      </c>
      <c r="I327" t="s">
        <v>13</v>
      </c>
      <c r="J327" t="s">
        <v>14</v>
      </c>
      <c r="K327">
        <v>732</v>
      </c>
      <c r="L327">
        <v>732</v>
      </c>
      <c r="M327">
        <f t="shared" si="10"/>
        <v>17765</v>
      </c>
      <c r="N327" s="10" t="str">
        <f t="shared" si="11"/>
        <v>Low</v>
      </c>
    </row>
    <row r="328" spans="1:14" x14ac:dyDescent="0.35">
      <c r="A328">
        <v>125.48</v>
      </c>
      <c r="B328">
        <v>10230</v>
      </c>
      <c r="C328">
        <v>721</v>
      </c>
      <c r="D328">
        <v>3</v>
      </c>
      <c r="E328">
        <v>82</v>
      </c>
      <c r="F328">
        <v>16</v>
      </c>
      <c r="G328" t="s">
        <v>12</v>
      </c>
      <c r="H328" t="s">
        <v>12</v>
      </c>
      <c r="I328" t="s">
        <v>13</v>
      </c>
      <c r="J328" t="s">
        <v>14</v>
      </c>
      <c r="K328">
        <v>1361</v>
      </c>
      <c r="L328">
        <v>4083</v>
      </c>
      <c r="M328">
        <f t="shared" si="10"/>
        <v>125480</v>
      </c>
      <c r="N328" s="10" t="str">
        <f t="shared" si="11"/>
        <v>Low</v>
      </c>
    </row>
    <row r="329" spans="1:14" x14ac:dyDescent="0.35">
      <c r="A329">
        <v>49.165999999999997</v>
      </c>
      <c r="B329">
        <v>6662</v>
      </c>
      <c r="C329">
        <v>508</v>
      </c>
      <c r="D329">
        <v>3</v>
      </c>
      <c r="E329">
        <v>68</v>
      </c>
      <c r="F329">
        <v>14</v>
      </c>
      <c r="G329" t="s">
        <v>13</v>
      </c>
      <c r="H329" t="s">
        <v>12</v>
      </c>
      <c r="I329" t="s">
        <v>12</v>
      </c>
      <c r="J329" t="s">
        <v>15</v>
      </c>
      <c r="K329">
        <v>984</v>
      </c>
      <c r="L329">
        <v>2952</v>
      </c>
      <c r="M329">
        <f t="shared" si="10"/>
        <v>49166</v>
      </c>
      <c r="N329" s="10" t="str">
        <f t="shared" si="11"/>
        <v>Low</v>
      </c>
    </row>
    <row r="330" spans="1:14" x14ac:dyDescent="0.35">
      <c r="A330">
        <v>41.192</v>
      </c>
      <c r="B330">
        <v>3673</v>
      </c>
      <c r="C330">
        <v>297</v>
      </c>
      <c r="D330">
        <v>3</v>
      </c>
      <c r="E330">
        <v>54</v>
      </c>
      <c r="F330">
        <v>16</v>
      </c>
      <c r="G330" t="s">
        <v>13</v>
      </c>
      <c r="H330" t="s">
        <v>12</v>
      </c>
      <c r="I330" t="s">
        <v>13</v>
      </c>
      <c r="J330" t="s">
        <v>14</v>
      </c>
      <c r="K330">
        <v>121</v>
      </c>
      <c r="L330">
        <v>363</v>
      </c>
      <c r="M330">
        <f t="shared" si="10"/>
        <v>41192</v>
      </c>
      <c r="N330" s="10" t="str">
        <f t="shared" si="11"/>
        <v>Low</v>
      </c>
    </row>
    <row r="331" spans="1:14" x14ac:dyDescent="0.35">
      <c r="A331">
        <v>94.192999999999998</v>
      </c>
      <c r="B331">
        <v>7576</v>
      </c>
      <c r="C331">
        <v>527</v>
      </c>
      <c r="D331">
        <v>2</v>
      </c>
      <c r="E331">
        <v>44</v>
      </c>
      <c r="F331">
        <v>16</v>
      </c>
      <c r="G331" t="s">
        <v>13</v>
      </c>
      <c r="H331" t="s">
        <v>12</v>
      </c>
      <c r="I331" t="s">
        <v>13</v>
      </c>
      <c r="J331" t="s">
        <v>14</v>
      </c>
      <c r="K331">
        <v>846</v>
      </c>
      <c r="L331">
        <v>1692</v>
      </c>
      <c r="M331">
        <f t="shared" si="10"/>
        <v>94193</v>
      </c>
      <c r="N331" s="10" t="str">
        <f t="shared" si="11"/>
        <v>Low</v>
      </c>
    </row>
    <row r="332" spans="1:14" x14ac:dyDescent="0.35">
      <c r="A332">
        <v>20.405000000000001</v>
      </c>
      <c r="B332">
        <v>4543</v>
      </c>
      <c r="C332">
        <v>329</v>
      </c>
      <c r="D332">
        <v>2</v>
      </c>
      <c r="E332">
        <v>72</v>
      </c>
      <c r="F332">
        <v>17</v>
      </c>
      <c r="G332" t="s">
        <v>12</v>
      </c>
      <c r="H332" t="s">
        <v>13</v>
      </c>
      <c r="I332" t="s">
        <v>12</v>
      </c>
      <c r="J332" t="s">
        <v>15</v>
      </c>
      <c r="K332">
        <v>1054</v>
      </c>
      <c r="L332">
        <v>2108</v>
      </c>
      <c r="M332">
        <f t="shared" si="10"/>
        <v>20405</v>
      </c>
      <c r="N332" s="10" t="str">
        <f t="shared" si="11"/>
        <v>Low</v>
      </c>
    </row>
    <row r="333" spans="1:14" x14ac:dyDescent="0.35">
      <c r="A333">
        <v>12.581</v>
      </c>
      <c r="B333">
        <v>3976</v>
      </c>
      <c r="C333">
        <v>291</v>
      </c>
      <c r="D333">
        <v>2</v>
      </c>
      <c r="E333">
        <v>48</v>
      </c>
      <c r="F333">
        <v>16</v>
      </c>
      <c r="G333" t="s">
        <v>12</v>
      </c>
      <c r="H333" t="s">
        <v>12</v>
      </c>
      <c r="I333" t="s">
        <v>13</v>
      </c>
      <c r="J333" t="s">
        <v>14</v>
      </c>
      <c r="K333">
        <v>474</v>
      </c>
      <c r="L333">
        <v>948</v>
      </c>
      <c r="M333">
        <f t="shared" si="10"/>
        <v>12581</v>
      </c>
      <c r="N333" s="10" t="str">
        <f t="shared" si="11"/>
        <v>Low</v>
      </c>
    </row>
    <row r="334" spans="1:14" x14ac:dyDescent="0.35">
      <c r="A334">
        <v>62.328000000000003</v>
      </c>
      <c r="B334">
        <v>5228</v>
      </c>
      <c r="C334">
        <v>377</v>
      </c>
      <c r="D334">
        <v>3</v>
      </c>
      <c r="E334">
        <v>83</v>
      </c>
      <c r="F334">
        <v>15</v>
      </c>
      <c r="G334" t="s">
        <v>12</v>
      </c>
      <c r="H334" t="s">
        <v>12</v>
      </c>
      <c r="I334" t="s">
        <v>12</v>
      </c>
      <c r="J334" t="s">
        <v>14</v>
      </c>
      <c r="K334">
        <v>380</v>
      </c>
      <c r="L334">
        <v>1140</v>
      </c>
      <c r="M334">
        <f t="shared" si="10"/>
        <v>62328</v>
      </c>
      <c r="N334" s="10" t="str">
        <f t="shared" si="11"/>
        <v>Low</v>
      </c>
    </row>
    <row r="335" spans="1:14" x14ac:dyDescent="0.35">
      <c r="A335">
        <v>21.010999999999999</v>
      </c>
      <c r="B335">
        <v>3402</v>
      </c>
      <c r="C335">
        <v>261</v>
      </c>
      <c r="D335">
        <v>2</v>
      </c>
      <c r="E335">
        <v>68</v>
      </c>
      <c r="F335">
        <v>17</v>
      </c>
      <c r="G335" t="s">
        <v>12</v>
      </c>
      <c r="H335" t="s">
        <v>12</v>
      </c>
      <c r="I335" t="s">
        <v>13</v>
      </c>
      <c r="J335" t="s">
        <v>16</v>
      </c>
      <c r="K335">
        <v>182</v>
      </c>
      <c r="L335">
        <v>364</v>
      </c>
      <c r="M335">
        <f t="shared" si="10"/>
        <v>21011</v>
      </c>
      <c r="N335" s="10" t="str">
        <f t="shared" si="11"/>
        <v>Low</v>
      </c>
    </row>
    <row r="336" spans="1:14" x14ac:dyDescent="0.35">
      <c r="A336">
        <v>24.23</v>
      </c>
      <c r="B336">
        <v>4756</v>
      </c>
      <c r="C336">
        <v>351</v>
      </c>
      <c r="D336">
        <v>2</v>
      </c>
      <c r="E336">
        <v>64</v>
      </c>
      <c r="F336">
        <v>15</v>
      </c>
      <c r="G336" t="s">
        <v>13</v>
      </c>
      <c r="H336" t="s">
        <v>12</v>
      </c>
      <c r="I336" t="s">
        <v>13</v>
      </c>
      <c r="J336" t="s">
        <v>14</v>
      </c>
      <c r="K336">
        <v>594</v>
      </c>
      <c r="L336">
        <v>1188</v>
      </c>
      <c r="M336">
        <f t="shared" si="10"/>
        <v>24230</v>
      </c>
      <c r="N336" s="10" t="str">
        <f t="shared" si="11"/>
        <v>Low</v>
      </c>
    </row>
    <row r="337" spans="1:14" x14ac:dyDescent="0.35">
      <c r="A337">
        <v>24.314</v>
      </c>
      <c r="B337">
        <v>3409</v>
      </c>
      <c r="C337">
        <v>270</v>
      </c>
      <c r="D337">
        <v>2</v>
      </c>
      <c r="E337">
        <v>23</v>
      </c>
      <c r="F337">
        <v>7</v>
      </c>
      <c r="G337" t="s">
        <v>13</v>
      </c>
      <c r="H337" t="s">
        <v>12</v>
      </c>
      <c r="I337" t="s">
        <v>13</v>
      </c>
      <c r="J337" t="s">
        <v>14</v>
      </c>
      <c r="K337">
        <v>194</v>
      </c>
      <c r="L337">
        <v>388</v>
      </c>
      <c r="M337">
        <f t="shared" si="10"/>
        <v>24314</v>
      </c>
      <c r="N337" s="10" t="str">
        <f t="shared" si="11"/>
        <v>Low</v>
      </c>
    </row>
    <row r="338" spans="1:14" x14ac:dyDescent="0.35">
      <c r="A338">
        <v>32.856000000000002</v>
      </c>
      <c r="B338">
        <v>5884</v>
      </c>
      <c r="C338">
        <v>438</v>
      </c>
      <c r="D338">
        <v>4</v>
      </c>
      <c r="E338">
        <v>68</v>
      </c>
      <c r="F338">
        <v>13</v>
      </c>
      <c r="G338" t="s">
        <v>12</v>
      </c>
      <c r="H338" t="s">
        <v>12</v>
      </c>
      <c r="I338" t="s">
        <v>12</v>
      </c>
      <c r="J338" t="s">
        <v>14</v>
      </c>
      <c r="K338">
        <v>926</v>
      </c>
      <c r="L338">
        <v>3704</v>
      </c>
      <c r="M338">
        <f t="shared" si="10"/>
        <v>32856</v>
      </c>
      <c r="N338" s="10" t="str">
        <f t="shared" si="11"/>
        <v>High</v>
      </c>
    </row>
    <row r="339" spans="1:14" x14ac:dyDescent="0.35">
      <c r="A339">
        <v>12.414</v>
      </c>
      <c r="B339">
        <v>855</v>
      </c>
      <c r="C339">
        <v>119</v>
      </c>
      <c r="D339">
        <v>3</v>
      </c>
      <c r="E339">
        <v>32</v>
      </c>
      <c r="F339">
        <v>12</v>
      </c>
      <c r="G339" t="s">
        <v>12</v>
      </c>
      <c r="H339" t="s">
        <v>12</v>
      </c>
      <c r="I339" t="s">
        <v>13</v>
      </c>
      <c r="J339" t="s">
        <v>16</v>
      </c>
      <c r="K339">
        <v>0</v>
      </c>
      <c r="L339">
        <v>0</v>
      </c>
      <c r="M339">
        <f t="shared" si="10"/>
        <v>12414</v>
      </c>
      <c r="N339" s="10" t="str">
        <f t="shared" si="11"/>
        <v>Low</v>
      </c>
    </row>
    <row r="340" spans="1:14" x14ac:dyDescent="0.35">
      <c r="A340">
        <v>41.365000000000002</v>
      </c>
      <c r="B340">
        <v>5303</v>
      </c>
      <c r="C340">
        <v>377</v>
      </c>
      <c r="D340">
        <v>1</v>
      </c>
      <c r="E340">
        <v>45</v>
      </c>
      <c r="F340">
        <v>14</v>
      </c>
      <c r="G340" t="s">
        <v>12</v>
      </c>
      <c r="H340" t="s">
        <v>12</v>
      </c>
      <c r="I340" t="s">
        <v>12</v>
      </c>
      <c r="J340" t="s">
        <v>14</v>
      </c>
      <c r="K340">
        <v>606</v>
      </c>
      <c r="L340">
        <v>606</v>
      </c>
      <c r="M340">
        <f t="shared" si="10"/>
        <v>41365</v>
      </c>
      <c r="N340" s="10" t="str">
        <f t="shared" si="11"/>
        <v>Low</v>
      </c>
    </row>
    <row r="341" spans="1:14" x14ac:dyDescent="0.35">
      <c r="A341">
        <v>149.316</v>
      </c>
      <c r="B341">
        <v>10278</v>
      </c>
      <c r="C341">
        <v>707</v>
      </c>
      <c r="D341">
        <v>1</v>
      </c>
      <c r="E341">
        <v>80</v>
      </c>
      <c r="F341">
        <v>16</v>
      </c>
      <c r="G341" t="s">
        <v>12</v>
      </c>
      <c r="H341" t="s">
        <v>12</v>
      </c>
      <c r="I341" t="s">
        <v>12</v>
      </c>
      <c r="J341" t="s">
        <v>16</v>
      </c>
      <c r="K341">
        <v>1107</v>
      </c>
      <c r="L341">
        <v>1107</v>
      </c>
      <c r="M341">
        <f t="shared" si="10"/>
        <v>149316</v>
      </c>
      <c r="N341" s="10" t="str">
        <f t="shared" si="11"/>
        <v>Low</v>
      </c>
    </row>
    <row r="342" spans="1:14" x14ac:dyDescent="0.35">
      <c r="A342">
        <v>27.794</v>
      </c>
      <c r="B342">
        <v>3807</v>
      </c>
      <c r="C342">
        <v>301</v>
      </c>
      <c r="D342">
        <v>4</v>
      </c>
      <c r="E342">
        <v>35</v>
      </c>
      <c r="F342">
        <v>8</v>
      </c>
      <c r="G342" t="s">
        <v>13</v>
      </c>
      <c r="H342" t="s">
        <v>12</v>
      </c>
      <c r="I342" t="s">
        <v>13</v>
      </c>
      <c r="J342" t="s">
        <v>16</v>
      </c>
      <c r="K342">
        <v>320</v>
      </c>
      <c r="L342">
        <v>1280</v>
      </c>
      <c r="M342">
        <f t="shared" si="10"/>
        <v>27794</v>
      </c>
      <c r="N342" s="10" t="str">
        <f t="shared" si="11"/>
        <v>High</v>
      </c>
    </row>
    <row r="343" spans="1:14" x14ac:dyDescent="0.35">
      <c r="A343">
        <v>13.234</v>
      </c>
      <c r="B343">
        <v>3922</v>
      </c>
      <c r="C343">
        <v>299</v>
      </c>
      <c r="D343">
        <v>2</v>
      </c>
      <c r="E343">
        <v>77</v>
      </c>
      <c r="F343">
        <v>17</v>
      </c>
      <c r="G343" t="s">
        <v>13</v>
      </c>
      <c r="H343" t="s">
        <v>12</v>
      </c>
      <c r="I343" t="s">
        <v>13</v>
      </c>
      <c r="J343" t="s">
        <v>14</v>
      </c>
      <c r="K343">
        <v>426</v>
      </c>
      <c r="L343">
        <v>852</v>
      </c>
      <c r="M343">
        <f t="shared" si="10"/>
        <v>13234</v>
      </c>
      <c r="N343" s="10" t="str">
        <f t="shared" si="11"/>
        <v>Low</v>
      </c>
    </row>
    <row r="344" spans="1:14" x14ac:dyDescent="0.35">
      <c r="A344">
        <v>14.595000000000001</v>
      </c>
      <c r="B344">
        <v>2955</v>
      </c>
      <c r="C344">
        <v>260</v>
      </c>
      <c r="D344">
        <v>5</v>
      </c>
      <c r="E344">
        <v>37</v>
      </c>
      <c r="F344">
        <v>9</v>
      </c>
      <c r="G344" t="s">
        <v>12</v>
      </c>
      <c r="H344" t="s">
        <v>12</v>
      </c>
      <c r="I344" t="s">
        <v>13</v>
      </c>
      <c r="J344" t="s">
        <v>16</v>
      </c>
      <c r="K344">
        <v>204</v>
      </c>
      <c r="L344">
        <v>1020</v>
      </c>
      <c r="M344">
        <f t="shared" si="10"/>
        <v>14595</v>
      </c>
      <c r="N344" s="10" t="str">
        <f t="shared" si="11"/>
        <v>High</v>
      </c>
    </row>
    <row r="345" spans="1:14" x14ac:dyDescent="0.35">
      <c r="A345">
        <v>10.734999999999999</v>
      </c>
      <c r="B345">
        <v>3746</v>
      </c>
      <c r="C345">
        <v>280</v>
      </c>
      <c r="D345">
        <v>2</v>
      </c>
      <c r="E345">
        <v>44</v>
      </c>
      <c r="F345">
        <v>17</v>
      </c>
      <c r="G345" t="s">
        <v>13</v>
      </c>
      <c r="H345" t="s">
        <v>12</v>
      </c>
      <c r="I345" t="s">
        <v>13</v>
      </c>
      <c r="J345" t="s">
        <v>14</v>
      </c>
      <c r="K345">
        <v>410</v>
      </c>
      <c r="L345">
        <v>820</v>
      </c>
      <c r="M345">
        <f t="shared" si="10"/>
        <v>10735</v>
      </c>
      <c r="N345" s="10" t="str">
        <f t="shared" si="11"/>
        <v>Low</v>
      </c>
    </row>
    <row r="346" spans="1:14" x14ac:dyDescent="0.35">
      <c r="A346">
        <v>48.218000000000004</v>
      </c>
      <c r="B346">
        <v>5199</v>
      </c>
      <c r="C346">
        <v>401</v>
      </c>
      <c r="D346">
        <v>7</v>
      </c>
      <c r="E346">
        <v>39</v>
      </c>
      <c r="F346">
        <v>10</v>
      </c>
      <c r="G346" t="s">
        <v>12</v>
      </c>
      <c r="H346" t="s">
        <v>12</v>
      </c>
      <c r="I346" t="s">
        <v>13</v>
      </c>
      <c r="J346" t="s">
        <v>15</v>
      </c>
      <c r="K346">
        <v>633</v>
      </c>
      <c r="L346">
        <v>4431</v>
      </c>
      <c r="M346">
        <f t="shared" si="10"/>
        <v>48218</v>
      </c>
      <c r="N346" s="10" t="str">
        <f t="shared" si="11"/>
        <v>High</v>
      </c>
    </row>
    <row r="347" spans="1:14" x14ac:dyDescent="0.35">
      <c r="A347">
        <v>30.012</v>
      </c>
      <c r="B347">
        <v>1511</v>
      </c>
      <c r="C347">
        <v>137</v>
      </c>
      <c r="D347">
        <v>2</v>
      </c>
      <c r="E347">
        <v>33</v>
      </c>
      <c r="F347">
        <v>17</v>
      </c>
      <c r="G347" t="s">
        <v>12</v>
      </c>
      <c r="H347" t="s">
        <v>12</v>
      </c>
      <c r="I347" t="s">
        <v>13</v>
      </c>
      <c r="J347" t="s">
        <v>14</v>
      </c>
      <c r="K347">
        <v>0</v>
      </c>
      <c r="L347">
        <v>0</v>
      </c>
      <c r="M347">
        <f t="shared" si="10"/>
        <v>30012</v>
      </c>
      <c r="N347" s="10" t="str">
        <f t="shared" si="11"/>
        <v>Low</v>
      </c>
    </row>
    <row r="348" spans="1:14" x14ac:dyDescent="0.35">
      <c r="A348">
        <v>21.550999999999998</v>
      </c>
      <c r="B348">
        <v>5380</v>
      </c>
      <c r="C348">
        <v>420</v>
      </c>
      <c r="D348">
        <v>5</v>
      </c>
      <c r="E348">
        <v>51</v>
      </c>
      <c r="F348">
        <v>18</v>
      </c>
      <c r="G348" t="s">
        <v>12</v>
      </c>
      <c r="H348" t="s">
        <v>12</v>
      </c>
      <c r="I348" t="s">
        <v>13</v>
      </c>
      <c r="J348" t="s">
        <v>15</v>
      </c>
      <c r="K348">
        <v>907</v>
      </c>
      <c r="L348">
        <v>4535</v>
      </c>
      <c r="M348">
        <f t="shared" si="10"/>
        <v>21551</v>
      </c>
      <c r="N348" s="10" t="str">
        <f t="shared" si="11"/>
        <v>High</v>
      </c>
    </row>
    <row r="349" spans="1:14" x14ac:dyDescent="0.35">
      <c r="A349">
        <v>160.23099999999999</v>
      </c>
      <c r="B349">
        <v>10748</v>
      </c>
      <c r="C349">
        <v>754</v>
      </c>
      <c r="D349">
        <v>2</v>
      </c>
      <c r="E349">
        <v>69</v>
      </c>
      <c r="F349">
        <v>17</v>
      </c>
      <c r="G349" t="s">
        <v>12</v>
      </c>
      <c r="H349" t="s">
        <v>12</v>
      </c>
      <c r="I349" t="s">
        <v>12</v>
      </c>
      <c r="J349" t="s">
        <v>14</v>
      </c>
      <c r="K349">
        <v>1192</v>
      </c>
      <c r="L349">
        <v>2384</v>
      </c>
      <c r="M349">
        <f t="shared" si="10"/>
        <v>160231</v>
      </c>
      <c r="N349" s="10" t="str">
        <f t="shared" si="11"/>
        <v>Low</v>
      </c>
    </row>
    <row r="350" spans="1:14" x14ac:dyDescent="0.35">
      <c r="A350">
        <v>13.433</v>
      </c>
      <c r="B350">
        <v>1134</v>
      </c>
      <c r="C350">
        <v>112</v>
      </c>
      <c r="D350">
        <v>3</v>
      </c>
      <c r="E350">
        <v>70</v>
      </c>
      <c r="F350">
        <v>14</v>
      </c>
      <c r="G350" t="s">
        <v>12</v>
      </c>
      <c r="H350" t="s">
        <v>12</v>
      </c>
      <c r="I350" t="s">
        <v>13</v>
      </c>
      <c r="J350" t="s">
        <v>14</v>
      </c>
      <c r="K350">
        <v>0</v>
      </c>
      <c r="L350">
        <v>0</v>
      </c>
      <c r="M350">
        <f t="shared" si="10"/>
        <v>13433</v>
      </c>
      <c r="N350" s="10" t="str">
        <f t="shared" si="11"/>
        <v>Low</v>
      </c>
    </row>
    <row r="351" spans="1:14" x14ac:dyDescent="0.35">
      <c r="A351">
        <v>48.576999999999998</v>
      </c>
      <c r="B351">
        <v>5145</v>
      </c>
      <c r="C351">
        <v>389</v>
      </c>
      <c r="D351">
        <v>3</v>
      </c>
      <c r="E351">
        <v>71</v>
      </c>
      <c r="F351">
        <v>13</v>
      </c>
      <c r="G351" t="s">
        <v>13</v>
      </c>
      <c r="H351" t="s">
        <v>12</v>
      </c>
      <c r="I351" t="s">
        <v>13</v>
      </c>
      <c r="J351" t="s">
        <v>15</v>
      </c>
      <c r="K351">
        <v>503</v>
      </c>
      <c r="L351">
        <v>1509</v>
      </c>
      <c r="M351">
        <f t="shared" si="10"/>
        <v>48577</v>
      </c>
      <c r="N351" s="10" t="str">
        <f t="shared" si="11"/>
        <v>Low</v>
      </c>
    </row>
    <row r="352" spans="1:14" x14ac:dyDescent="0.35">
      <c r="A352">
        <v>30.001999999999999</v>
      </c>
      <c r="B352">
        <v>1561</v>
      </c>
      <c r="C352">
        <v>155</v>
      </c>
      <c r="D352">
        <v>4</v>
      </c>
      <c r="E352">
        <v>70</v>
      </c>
      <c r="F352">
        <v>13</v>
      </c>
      <c r="G352" t="s">
        <v>13</v>
      </c>
      <c r="H352" t="s">
        <v>12</v>
      </c>
      <c r="I352" t="s">
        <v>13</v>
      </c>
      <c r="J352" t="s">
        <v>14</v>
      </c>
      <c r="K352">
        <v>0</v>
      </c>
      <c r="L352">
        <v>0</v>
      </c>
      <c r="M352">
        <f t="shared" si="10"/>
        <v>30002</v>
      </c>
      <c r="N352" s="10" t="str">
        <f t="shared" si="11"/>
        <v>High</v>
      </c>
    </row>
    <row r="353" spans="1:14" x14ac:dyDescent="0.35">
      <c r="A353">
        <v>61.62</v>
      </c>
      <c r="B353">
        <v>5140</v>
      </c>
      <c r="C353">
        <v>374</v>
      </c>
      <c r="D353">
        <v>1</v>
      </c>
      <c r="E353">
        <v>71</v>
      </c>
      <c r="F353">
        <v>9</v>
      </c>
      <c r="G353" t="s">
        <v>12</v>
      </c>
      <c r="H353" t="s">
        <v>12</v>
      </c>
      <c r="I353" t="s">
        <v>13</v>
      </c>
      <c r="J353" t="s">
        <v>14</v>
      </c>
      <c r="K353">
        <v>302</v>
      </c>
      <c r="L353">
        <v>302</v>
      </c>
      <c r="M353">
        <f t="shared" si="10"/>
        <v>61620</v>
      </c>
      <c r="N353" s="10" t="str">
        <f t="shared" si="11"/>
        <v>Low</v>
      </c>
    </row>
    <row r="354" spans="1:14" x14ac:dyDescent="0.35">
      <c r="A354">
        <v>104.483</v>
      </c>
      <c r="B354">
        <v>7140</v>
      </c>
      <c r="C354">
        <v>507</v>
      </c>
      <c r="D354">
        <v>2</v>
      </c>
      <c r="E354">
        <v>41</v>
      </c>
      <c r="F354">
        <v>14</v>
      </c>
      <c r="G354" t="s">
        <v>12</v>
      </c>
      <c r="H354" t="s">
        <v>12</v>
      </c>
      <c r="I354" t="s">
        <v>13</v>
      </c>
      <c r="J354" t="s">
        <v>16</v>
      </c>
      <c r="K354">
        <v>583</v>
      </c>
      <c r="L354">
        <v>1166</v>
      </c>
      <c r="M354">
        <f t="shared" si="10"/>
        <v>104483</v>
      </c>
      <c r="N354" s="10" t="str">
        <f t="shared" si="11"/>
        <v>Low</v>
      </c>
    </row>
    <row r="355" spans="1:14" x14ac:dyDescent="0.35">
      <c r="A355">
        <v>41.868000000000002</v>
      </c>
      <c r="B355">
        <v>4716</v>
      </c>
      <c r="C355">
        <v>342</v>
      </c>
      <c r="D355">
        <v>2</v>
      </c>
      <c r="E355">
        <v>47</v>
      </c>
      <c r="F355">
        <v>18</v>
      </c>
      <c r="G355" t="s">
        <v>12</v>
      </c>
      <c r="H355" t="s">
        <v>12</v>
      </c>
      <c r="I355" t="s">
        <v>12</v>
      </c>
      <c r="J355" t="s">
        <v>14</v>
      </c>
      <c r="K355">
        <v>425</v>
      </c>
      <c r="L355">
        <v>850</v>
      </c>
      <c r="M355">
        <f t="shared" si="10"/>
        <v>41868</v>
      </c>
      <c r="N355" s="10" t="str">
        <f t="shared" si="11"/>
        <v>Low</v>
      </c>
    </row>
    <row r="356" spans="1:14" x14ac:dyDescent="0.35">
      <c r="A356">
        <v>12.068</v>
      </c>
      <c r="B356">
        <v>3873</v>
      </c>
      <c r="C356">
        <v>292</v>
      </c>
      <c r="D356">
        <v>1</v>
      </c>
      <c r="E356">
        <v>44</v>
      </c>
      <c r="F356">
        <v>18</v>
      </c>
      <c r="G356" t="s">
        <v>13</v>
      </c>
      <c r="H356" t="s">
        <v>12</v>
      </c>
      <c r="I356" t="s">
        <v>13</v>
      </c>
      <c r="J356" t="s">
        <v>15</v>
      </c>
      <c r="K356">
        <v>413</v>
      </c>
      <c r="L356">
        <v>413</v>
      </c>
      <c r="M356">
        <f t="shared" si="10"/>
        <v>12068</v>
      </c>
      <c r="N356" s="10" t="str">
        <f t="shared" si="11"/>
        <v>Low</v>
      </c>
    </row>
    <row r="357" spans="1:14" x14ac:dyDescent="0.35">
      <c r="A357">
        <v>180.68199999999999</v>
      </c>
      <c r="B357">
        <v>11966</v>
      </c>
      <c r="C357">
        <v>832</v>
      </c>
      <c r="D357">
        <v>2</v>
      </c>
      <c r="E357">
        <v>58</v>
      </c>
      <c r="F357">
        <v>8</v>
      </c>
      <c r="G357" t="s">
        <v>13</v>
      </c>
      <c r="H357" t="s">
        <v>12</v>
      </c>
      <c r="I357" t="s">
        <v>13</v>
      </c>
      <c r="J357" t="s">
        <v>16</v>
      </c>
      <c r="K357">
        <v>1405</v>
      </c>
      <c r="L357">
        <v>2810</v>
      </c>
      <c r="M357">
        <f t="shared" si="10"/>
        <v>180682</v>
      </c>
      <c r="N357" s="10" t="str">
        <f t="shared" si="11"/>
        <v>Low</v>
      </c>
    </row>
    <row r="358" spans="1:14" x14ac:dyDescent="0.35">
      <c r="A358">
        <v>34.479999999999997</v>
      </c>
      <c r="B358">
        <v>6090</v>
      </c>
      <c r="C358">
        <v>442</v>
      </c>
      <c r="D358">
        <v>3</v>
      </c>
      <c r="E358">
        <v>36</v>
      </c>
      <c r="F358">
        <v>14</v>
      </c>
      <c r="G358" t="s">
        <v>12</v>
      </c>
      <c r="H358" t="s">
        <v>12</v>
      </c>
      <c r="I358" t="s">
        <v>12</v>
      </c>
      <c r="J358" t="s">
        <v>14</v>
      </c>
      <c r="K358">
        <v>962</v>
      </c>
      <c r="L358">
        <v>2886</v>
      </c>
      <c r="M358">
        <f t="shared" si="10"/>
        <v>34480</v>
      </c>
      <c r="N358" s="10" t="str">
        <f t="shared" si="11"/>
        <v>Low</v>
      </c>
    </row>
    <row r="359" spans="1:14" x14ac:dyDescent="0.35">
      <c r="A359">
        <v>39.609000000000002</v>
      </c>
      <c r="B359">
        <v>2539</v>
      </c>
      <c r="C359">
        <v>188</v>
      </c>
      <c r="D359">
        <v>1</v>
      </c>
      <c r="E359">
        <v>40</v>
      </c>
      <c r="F359">
        <v>14</v>
      </c>
      <c r="G359" t="s">
        <v>12</v>
      </c>
      <c r="H359" t="s">
        <v>12</v>
      </c>
      <c r="I359" t="s">
        <v>13</v>
      </c>
      <c r="J359" t="s">
        <v>15</v>
      </c>
      <c r="K359">
        <v>0</v>
      </c>
      <c r="L359">
        <v>0</v>
      </c>
      <c r="M359">
        <f t="shared" si="10"/>
        <v>39609</v>
      </c>
      <c r="N359" s="10" t="str">
        <f t="shared" si="11"/>
        <v>Low</v>
      </c>
    </row>
    <row r="360" spans="1:14" x14ac:dyDescent="0.35">
      <c r="A360">
        <v>30.111000000000001</v>
      </c>
      <c r="B360">
        <v>4336</v>
      </c>
      <c r="C360">
        <v>339</v>
      </c>
      <c r="D360">
        <v>1</v>
      </c>
      <c r="E360">
        <v>81</v>
      </c>
      <c r="F360">
        <v>18</v>
      </c>
      <c r="G360" t="s">
        <v>12</v>
      </c>
      <c r="H360" t="s">
        <v>12</v>
      </c>
      <c r="I360" t="s">
        <v>13</v>
      </c>
      <c r="J360" t="s">
        <v>14</v>
      </c>
      <c r="K360">
        <v>347</v>
      </c>
      <c r="L360">
        <v>347</v>
      </c>
      <c r="M360">
        <f t="shared" si="10"/>
        <v>30111</v>
      </c>
      <c r="N360" s="10" t="str">
        <f t="shared" si="11"/>
        <v>Low</v>
      </c>
    </row>
    <row r="361" spans="1:14" x14ac:dyDescent="0.35">
      <c r="A361">
        <v>12.335000000000001</v>
      </c>
      <c r="B361">
        <v>4471</v>
      </c>
      <c r="C361">
        <v>344</v>
      </c>
      <c r="D361">
        <v>3</v>
      </c>
      <c r="E361">
        <v>79</v>
      </c>
      <c r="F361">
        <v>12</v>
      </c>
      <c r="G361" t="s">
        <v>12</v>
      </c>
      <c r="H361" t="s">
        <v>12</v>
      </c>
      <c r="I361" t="s">
        <v>13</v>
      </c>
      <c r="J361" t="s">
        <v>16</v>
      </c>
      <c r="K361">
        <v>611</v>
      </c>
      <c r="L361">
        <v>1833</v>
      </c>
      <c r="M361">
        <f t="shared" si="10"/>
        <v>12335</v>
      </c>
      <c r="N361" s="10" t="str">
        <f t="shared" si="11"/>
        <v>Low</v>
      </c>
    </row>
    <row r="362" spans="1:14" x14ac:dyDescent="0.35">
      <c r="A362">
        <v>53.566000000000003</v>
      </c>
      <c r="B362">
        <v>5891</v>
      </c>
      <c r="C362">
        <v>434</v>
      </c>
      <c r="D362">
        <v>4</v>
      </c>
      <c r="E362">
        <v>82</v>
      </c>
      <c r="F362">
        <v>10</v>
      </c>
      <c r="G362" t="s">
        <v>13</v>
      </c>
      <c r="H362" t="s">
        <v>12</v>
      </c>
      <c r="I362" t="s">
        <v>12</v>
      </c>
      <c r="J362" t="s">
        <v>14</v>
      </c>
      <c r="K362">
        <v>712</v>
      </c>
      <c r="L362">
        <v>2848</v>
      </c>
      <c r="M362">
        <f t="shared" si="10"/>
        <v>53566</v>
      </c>
      <c r="N362" s="10" t="str">
        <f t="shared" si="11"/>
        <v>High</v>
      </c>
    </row>
    <row r="363" spans="1:14" x14ac:dyDescent="0.35">
      <c r="A363">
        <v>53.216999999999999</v>
      </c>
      <c r="B363">
        <v>4943</v>
      </c>
      <c r="C363">
        <v>362</v>
      </c>
      <c r="D363">
        <v>2</v>
      </c>
      <c r="E363">
        <v>46</v>
      </c>
      <c r="F363">
        <v>16</v>
      </c>
      <c r="G363" t="s">
        <v>13</v>
      </c>
      <c r="H363" t="s">
        <v>12</v>
      </c>
      <c r="I363" t="s">
        <v>13</v>
      </c>
      <c r="J363" t="s">
        <v>15</v>
      </c>
      <c r="K363">
        <v>382</v>
      </c>
      <c r="L363">
        <v>764</v>
      </c>
      <c r="M363">
        <f t="shared" si="10"/>
        <v>53217</v>
      </c>
      <c r="N363" s="10" t="str">
        <f t="shared" si="11"/>
        <v>Low</v>
      </c>
    </row>
    <row r="364" spans="1:14" x14ac:dyDescent="0.35">
      <c r="A364">
        <v>26.161999999999999</v>
      </c>
      <c r="B364">
        <v>5101</v>
      </c>
      <c r="C364">
        <v>382</v>
      </c>
      <c r="D364">
        <v>3</v>
      </c>
      <c r="E364">
        <v>62</v>
      </c>
      <c r="F364">
        <v>19</v>
      </c>
      <c r="G364" t="s">
        <v>13</v>
      </c>
      <c r="H364" t="s">
        <v>12</v>
      </c>
      <c r="I364" t="s">
        <v>12</v>
      </c>
      <c r="J364" t="s">
        <v>16</v>
      </c>
      <c r="K364">
        <v>710</v>
      </c>
      <c r="L364">
        <v>2130</v>
      </c>
      <c r="M364">
        <f t="shared" si="10"/>
        <v>26162</v>
      </c>
      <c r="N364" s="10" t="str">
        <f t="shared" si="11"/>
        <v>Low</v>
      </c>
    </row>
    <row r="365" spans="1:14" x14ac:dyDescent="0.35">
      <c r="A365">
        <v>64.173000000000002</v>
      </c>
      <c r="B365">
        <v>6127</v>
      </c>
      <c r="C365">
        <v>433</v>
      </c>
      <c r="D365">
        <v>1</v>
      </c>
      <c r="E365">
        <v>80</v>
      </c>
      <c r="F365">
        <v>10</v>
      </c>
      <c r="G365" t="s">
        <v>12</v>
      </c>
      <c r="H365" t="s">
        <v>12</v>
      </c>
      <c r="I365" t="s">
        <v>13</v>
      </c>
      <c r="J365" t="s">
        <v>14</v>
      </c>
      <c r="K365">
        <v>578</v>
      </c>
      <c r="L365">
        <v>578</v>
      </c>
      <c r="M365">
        <f t="shared" si="10"/>
        <v>64173</v>
      </c>
      <c r="N365" s="10" t="str">
        <f t="shared" si="11"/>
        <v>Low</v>
      </c>
    </row>
    <row r="366" spans="1:14" x14ac:dyDescent="0.35">
      <c r="A366">
        <v>128.66900000000001</v>
      </c>
      <c r="B366">
        <v>9824</v>
      </c>
      <c r="C366">
        <v>685</v>
      </c>
      <c r="D366">
        <v>3</v>
      </c>
      <c r="E366">
        <v>67</v>
      </c>
      <c r="F366">
        <v>16</v>
      </c>
      <c r="G366" t="s">
        <v>12</v>
      </c>
      <c r="H366" t="s">
        <v>12</v>
      </c>
      <c r="I366" t="s">
        <v>13</v>
      </c>
      <c r="J366" t="s">
        <v>15</v>
      </c>
      <c r="K366">
        <v>1243</v>
      </c>
      <c r="L366">
        <v>3729</v>
      </c>
      <c r="M366">
        <f t="shared" si="10"/>
        <v>128669.00000000001</v>
      </c>
      <c r="N366" s="10" t="str">
        <f t="shared" si="11"/>
        <v>Low</v>
      </c>
    </row>
    <row r="367" spans="1:14" x14ac:dyDescent="0.35">
      <c r="A367">
        <v>113.77200000000001</v>
      </c>
      <c r="B367">
        <v>6442</v>
      </c>
      <c r="C367">
        <v>489</v>
      </c>
      <c r="D367">
        <v>4</v>
      </c>
      <c r="E367">
        <v>69</v>
      </c>
      <c r="F367">
        <v>15</v>
      </c>
      <c r="G367" t="s">
        <v>12</v>
      </c>
      <c r="H367" t="s">
        <v>13</v>
      </c>
      <c r="I367" t="s">
        <v>13</v>
      </c>
      <c r="J367" t="s">
        <v>14</v>
      </c>
      <c r="K367">
        <v>790</v>
      </c>
      <c r="L367">
        <v>3160</v>
      </c>
      <c r="M367">
        <f t="shared" si="10"/>
        <v>113772</v>
      </c>
      <c r="N367" s="10" t="str">
        <f t="shared" si="11"/>
        <v>High</v>
      </c>
    </row>
    <row r="368" spans="1:14" x14ac:dyDescent="0.35">
      <c r="A368">
        <v>61.069000000000003</v>
      </c>
      <c r="B368">
        <v>7871</v>
      </c>
      <c r="C368">
        <v>564</v>
      </c>
      <c r="D368">
        <v>3</v>
      </c>
      <c r="E368">
        <v>56</v>
      </c>
      <c r="F368">
        <v>14</v>
      </c>
      <c r="G368" t="s">
        <v>12</v>
      </c>
      <c r="H368" t="s">
        <v>12</v>
      </c>
      <c r="I368" t="s">
        <v>13</v>
      </c>
      <c r="J368" t="s">
        <v>14</v>
      </c>
      <c r="K368">
        <v>1264</v>
      </c>
      <c r="L368">
        <v>3792</v>
      </c>
      <c r="M368">
        <f t="shared" si="10"/>
        <v>61069</v>
      </c>
      <c r="N368" s="10" t="str">
        <f t="shared" si="11"/>
        <v>Low</v>
      </c>
    </row>
    <row r="369" spans="1:14" x14ac:dyDescent="0.35">
      <c r="A369">
        <v>23.792999999999999</v>
      </c>
      <c r="B369">
        <v>3615</v>
      </c>
      <c r="C369">
        <v>263</v>
      </c>
      <c r="D369">
        <v>2</v>
      </c>
      <c r="E369">
        <v>70</v>
      </c>
      <c r="F369">
        <v>14</v>
      </c>
      <c r="G369" t="s">
        <v>12</v>
      </c>
      <c r="H369" t="s">
        <v>12</v>
      </c>
      <c r="I369" t="s">
        <v>12</v>
      </c>
      <c r="J369" t="s">
        <v>16</v>
      </c>
      <c r="K369">
        <v>216</v>
      </c>
      <c r="L369">
        <v>432</v>
      </c>
      <c r="M369">
        <f t="shared" si="10"/>
        <v>23793</v>
      </c>
      <c r="N369" s="10" t="str">
        <f t="shared" si="11"/>
        <v>Low</v>
      </c>
    </row>
    <row r="370" spans="1:14" x14ac:dyDescent="0.35">
      <c r="A370">
        <v>89</v>
      </c>
      <c r="B370">
        <v>5759</v>
      </c>
      <c r="C370">
        <v>440</v>
      </c>
      <c r="D370">
        <v>3</v>
      </c>
      <c r="E370">
        <v>37</v>
      </c>
      <c r="F370">
        <v>6</v>
      </c>
      <c r="G370" t="s">
        <v>13</v>
      </c>
      <c r="H370" t="s">
        <v>12</v>
      </c>
      <c r="I370" t="s">
        <v>12</v>
      </c>
      <c r="J370" t="s">
        <v>14</v>
      </c>
      <c r="K370">
        <v>345</v>
      </c>
      <c r="L370">
        <v>1035</v>
      </c>
      <c r="M370">
        <f t="shared" si="10"/>
        <v>89000</v>
      </c>
      <c r="N370" s="10" t="str">
        <f t="shared" si="11"/>
        <v>Low</v>
      </c>
    </row>
    <row r="371" spans="1:14" x14ac:dyDescent="0.35">
      <c r="A371">
        <v>71.682000000000002</v>
      </c>
      <c r="B371">
        <v>8028</v>
      </c>
      <c r="C371">
        <v>599</v>
      </c>
      <c r="D371">
        <v>3</v>
      </c>
      <c r="E371">
        <v>57</v>
      </c>
      <c r="F371">
        <v>16</v>
      </c>
      <c r="G371" t="s">
        <v>12</v>
      </c>
      <c r="H371" t="s">
        <v>12</v>
      </c>
      <c r="I371" t="s">
        <v>13</v>
      </c>
      <c r="J371" t="s">
        <v>14</v>
      </c>
      <c r="K371">
        <v>1208</v>
      </c>
      <c r="L371">
        <v>3624</v>
      </c>
      <c r="M371">
        <f t="shared" si="10"/>
        <v>71682</v>
      </c>
      <c r="N371" s="10" t="str">
        <f t="shared" si="11"/>
        <v>Low</v>
      </c>
    </row>
    <row r="372" spans="1:14" x14ac:dyDescent="0.35">
      <c r="A372">
        <v>35.61</v>
      </c>
      <c r="B372">
        <v>6135</v>
      </c>
      <c r="C372">
        <v>466</v>
      </c>
      <c r="D372">
        <v>4</v>
      </c>
      <c r="E372">
        <v>40</v>
      </c>
      <c r="F372">
        <v>12</v>
      </c>
      <c r="G372" t="s">
        <v>12</v>
      </c>
      <c r="H372" t="s">
        <v>12</v>
      </c>
      <c r="I372" t="s">
        <v>12</v>
      </c>
      <c r="J372" t="s">
        <v>14</v>
      </c>
      <c r="K372">
        <v>992</v>
      </c>
      <c r="L372">
        <v>3968</v>
      </c>
      <c r="M372">
        <f t="shared" si="10"/>
        <v>35610</v>
      </c>
      <c r="N372" s="10" t="str">
        <f t="shared" si="11"/>
        <v>High</v>
      </c>
    </row>
    <row r="373" spans="1:14" x14ac:dyDescent="0.35">
      <c r="A373">
        <v>39.116</v>
      </c>
      <c r="B373">
        <v>2150</v>
      </c>
      <c r="C373">
        <v>173</v>
      </c>
      <c r="D373">
        <v>4</v>
      </c>
      <c r="E373">
        <v>75</v>
      </c>
      <c r="F373">
        <v>15</v>
      </c>
      <c r="G373" t="s">
        <v>12</v>
      </c>
      <c r="H373" t="s">
        <v>12</v>
      </c>
      <c r="I373" t="s">
        <v>12</v>
      </c>
      <c r="J373" t="s">
        <v>14</v>
      </c>
      <c r="K373">
        <v>0</v>
      </c>
      <c r="L373">
        <v>0</v>
      </c>
      <c r="M373">
        <f t="shared" si="10"/>
        <v>39116</v>
      </c>
      <c r="N373" s="10" t="str">
        <f t="shared" si="11"/>
        <v>High</v>
      </c>
    </row>
    <row r="374" spans="1:14" x14ac:dyDescent="0.35">
      <c r="A374">
        <v>19.782</v>
      </c>
      <c r="B374">
        <v>3782</v>
      </c>
      <c r="C374">
        <v>293</v>
      </c>
      <c r="D374">
        <v>2</v>
      </c>
      <c r="E374">
        <v>46</v>
      </c>
      <c r="F374">
        <v>16</v>
      </c>
      <c r="G374" t="s">
        <v>13</v>
      </c>
      <c r="H374" t="s">
        <v>13</v>
      </c>
      <c r="I374" t="s">
        <v>12</v>
      </c>
      <c r="J374" t="s">
        <v>14</v>
      </c>
      <c r="K374">
        <v>840</v>
      </c>
      <c r="L374">
        <v>1680</v>
      </c>
      <c r="M374">
        <f t="shared" si="10"/>
        <v>19782</v>
      </c>
      <c r="N374" s="10" t="str">
        <f t="shared" si="11"/>
        <v>Low</v>
      </c>
    </row>
    <row r="375" spans="1:14" x14ac:dyDescent="0.35">
      <c r="A375">
        <v>55.411999999999999</v>
      </c>
      <c r="B375">
        <v>5354</v>
      </c>
      <c r="C375">
        <v>383</v>
      </c>
      <c r="D375">
        <v>2</v>
      </c>
      <c r="E375">
        <v>37</v>
      </c>
      <c r="F375">
        <v>16</v>
      </c>
      <c r="G375" t="s">
        <v>13</v>
      </c>
      <c r="H375" t="s">
        <v>13</v>
      </c>
      <c r="I375" t="s">
        <v>13</v>
      </c>
      <c r="J375" t="s">
        <v>14</v>
      </c>
      <c r="K375">
        <v>1003</v>
      </c>
      <c r="L375">
        <v>2006</v>
      </c>
      <c r="M375">
        <f t="shared" si="10"/>
        <v>55412</v>
      </c>
      <c r="N375" s="10" t="str">
        <f t="shared" si="11"/>
        <v>Low</v>
      </c>
    </row>
    <row r="376" spans="1:14" x14ac:dyDescent="0.35">
      <c r="A376">
        <v>29.4</v>
      </c>
      <c r="B376">
        <v>4840</v>
      </c>
      <c r="C376">
        <v>368</v>
      </c>
      <c r="D376">
        <v>3</v>
      </c>
      <c r="E376">
        <v>76</v>
      </c>
      <c r="F376">
        <v>18</v>
      </c>
      <c r="G376" t="s">
        <v>13</v>
      </c>
      <c r="H376" t="s">
        <v>12</v>
      </c>
      <c r="I376" t="s">
        <v>13</v>
      </c>
      <c r="J376" t="s">
        <v>14</v>
      </c>
      <c r="K376">
        <v>588</v>
      </c>
      <c r="L376">
        <v>1764</v>
      </c>
      <c r="M376">
        <f t="shared" si="10"/>
        <v>29400</v>
      </c>
      <c r="N376" s="10" t="str">
        <f t="shared" si="11"/>
        <v>Low</v>
      </c>
    </row>
    <row r="377" spans="1:14" x14ac:dyDescent="0.35">
      <c r="A377">
        <v>20.974</v>
      </c>
      <c r="B377">
        <v>5673</v>
      </c>
      <c r="C377">
        <v>413</v>
      </c>
      <c r="D377">
        <v>5</v>
      </c>
      <c r="E377">
        <v>44</v>
      </c>
      <c r="F377">
        <v>16</v>
      </c>
      <c r="G377" t="s">
        <v>13</v>
      </c>
      <c r="H377" t="s">
        <v>12</v>
      </c>
      <c r="I377" t="s">
        <v>13</v>
      </c>
      <c r="J377" t="s">
        <v>14</v>
      </c>
      <c r="K377">
        <v>1000</v>
      </c>
      <c r="L377">
        <v>5000</v>
      </c>
      <c r="M377">
        <f t="shared" si="10"/>
        <v>20974</v>
      </c>
      <c r="N377" s="10" t="str">
        <f t="shared" si="11"/>
        <v>High</v>
      </c>
    </row>
    <row r="378" spans="1:14" x14ac:dyDescent="0.35">
      <c r="A378">
        <v>87.625</v>
      </c>
      <c r="B378">
        <v>7167</v>
      </c>
      <c r="C378">
        <v>515</v>
      </c>
      <c r="D378">
        <v>2</v>
      </c>
      <c r="E378">
        <v>46</v>
      </c>
      <c r="F378">
        <v>10</v>
      </c>
      <c r="G378" t="s">
        <v>13</v>
      </c>
      <c r="H378" t="s">
        <v>12</v>
      </c>
      <c r="I378" t="s">
        <v>12</v>
      </c>
      <c r="J378" t="s">
        <v>16</v>
      </c>
      <c r="K378">
        <v>767</v>
      </c>
      <c r="L378">
        <v>1534</v>
      </c>
      <c r="M378">
        <f t="shared" si="10"/>
        <v>87625</v>
      </c>
      <c r="N378" s="10" t="str">
        <f t="shared" si="11"/>
        <v>Low</v>
      </c>
    </row>
    <row r="379" spans="1:14" x14ac:dyDescent="0.35">
      <c r="A379">
        <v>28.143999999999998</v>
      </c>
      <c r="B379">
        <v>1567</v>
      </c>
      <c r="C379">
        <v>142</v>
      </c>
      <c r="D379">
        <v>3</v>
      </c>
      <c r="E379">
        <v>51</v>
      </c>
      <c r="F379">
        <v>10</v>
      </c>
      <c r="G379" t="s">
        <v>12</v>
      </c>
      <c r="H379" t="s">
        <v>12</v>
      </c>
      <c r="I379" t="s">
        <v>13</v>
      </c>
      <c r="J379" t="s">
        <v>14</v>
      </c>
      <c r="K379">
        <v>0</v>
      </c>
      <c r="L379">
        <v>0</v>
      </c>
      <c r="M379">
        <f t="shared" si="10"/>
        <v>28144</v>
      </c>
      <c r="N379" s="10" t="str">
        <f t="shared" si="11"/>
        <v>Low</v>
      </c>
    </row>
    <row r="380" spans="1:14" x14ac:dyDescent="0.35">
      <c r="A380">
        <v>19.349</v>
      </c>
      <c r="B380">
        <v>4941</v>
      </c>
      <c r="C380">
        <v>366</v>
      </c>
      <c r="D380">
        <v>1</v>
      </c>
      <c r="E380">
        <v>33</v>
      </c>
      <c r="F380">
        <v>19</v>
      </c>
      <c r="G380" t="s">
        <v>12</v>
      </c>
      <c r="H380" t="s">
        <v>12</v>
      </c>
      <c r="I380" t="s">
        <v>13</v>
      </c>
      <c r="J380" t="s">
        <v>14</v>
      </c>
      <c r="K380">
        <v>717</v>
      </c>
      <c r="L380">
        <v>717</v>
      </c>
      <c r="M380">
        <f t="shared" si="10"/>
        <v>19349</v>
      </c>
      <c r="N380" s="10" t="str">
        <f t="shared" si="11"/>
        <v>Low</v>
      </c>
    </row>
    <row r="381" spans="1:14" x14ac:dyDescent="0.35">
      <c r="A381">
        <v>53.308</v>
      </c>
      <c r="B381">
        <v>2860</v>
      </c>
      <c r="C381">
        <v>214</v>
      </c>
      <c r="D381">
        <v>1</v>
      </c>
      <c r="E381">
        <v>84</v>
      </c>
      <c r="F381">
        <v>10</v>
      </c>
      <c r="G381" t="s">
        <v>12</v>
      </c>
      <c r="H381" t="s">
        <v>12</v>
      </c>
      <c r="I381" t="s">
        <v>13</v>
      </c>
      <c r="J381" t="s">
        <v>14</v>
      </c>
      <c r="K381">
        <v>0</v>
      </c>
      <c r="L381">
        <v>0</v>
      </c>
      <c r="M381">
        <f t="shared" si="10"/>
        <v>53308</v>
      </c>
      <c r="N381" s="10" t="str">
        <f t="shared" si="11"/>
        <v>Low</v>
      </c>
    </row>
    <row r="382" spans="1:14" x14ac:dyDescent="0.35">
      <c r="A382">
        <v>115.123</v>
      </c>
      <c r="B382">
        <v>7760</v>
      </c>
      <c r="C382">
        <v>538</v>
      </c>
      <c r="D382">
        <v>3</v>
      </c>
      <c r="E382">
        <v>83</v>
      </c>
      <c r="F382">
        <v>14</v>
      </c>
      <c r="G382" t="s">
        <v>13</v>
      </c>
      <c r="H382" t="s">
        <v>12</v>
      </c>
      <c r="I382" t="s">
        <v>12</v>
      </c>
      <c r="J382" t="s">
        <v>16</v>
      </c>
      <c r="K382">
        <v>661</v>
      </c>
      <c r="L382">
        <v>1983</v>
      </c>
      <c r="M382">
        <f t="shared" si="10"/>
        <v>115123</v>
      </c>
      <c r="N382" s="10" t="str">
        <f t="shared" si="11"/>
        <v>Low</v>
      </c>
    </row>
    <row r="383" spans="1:14" x14ac:dyDescent="0.35">
      <c r="A383">
        <v>101.788</v>
      </c>
      <c r="B383">
        <v>8029</v>
      </c>
      <c r="C383">
        <v>574</v>
      </c>
      <c r="D383">
        <v>2</v>
      </c>
      <c r="E383">
        <v>84</v>
      </c>
      <c r="F383">
        <v>11</v>
      </c>
      <c r="G383" t="s">
        <v>12</v>
      </c>
      <c r="H383" t="s">
        <v>12</v>
      </c>
      <c r="I383" t="s">
        <v>13</v>
      </c>
      <c r="J383" t="s">
        <v>14</v>
      </c>
      <c r="K383">
        <v>849</v>
      </c>
      <c r="L383">
        <v>1698</v>
      </c>
      <c r="M383">
        <f t="shared" si="10"/>
        <v>101788</v>
      </c>
      <c r="N383" s="10" t="str">
        <f t="shared" si="11"/>
        <v>Low</v>
      </c>
    </row>
    <row r="384" spans="1:14" x14ac:dyDescent="0.35">
      <c r="A384">
        <v>24.824000000000002</v>
      </c>
      <c r="B384">
        <v>5495</v>
      </c>
      <c r="C384">
        <v>409</v>
      </c>
      <c r="D384">
        <v>1</v>
      </c>
      <c r="E384">
        <v>33</v>
      </c>
      <c r="F384">
        <v>9</v>
      </c>
      <c r="G384" t="s">
        <v>12</v>
      </c>
      <c r="H384" t="s">
        <v>13</v>
      </c>
      <c r="I384" t="s">
        <v>12</v>
      </c>
      <c r="J384" t="s">
        <v>14</v>
      </c>
      <c r="K384">
        <v>1352</v>
      </c>
      <c r="L384">
        <v>1352</v>
      </c>
      <c r="M384">
        <f t="shared" si="10"/>
        <v>24824</v>
      </c>
      <c r="N384" s="10" t="str">
        <f t="shared" si="11"/>
        <v>Low</v>
      </c>
    </row>
    <row r="385" spans="1:14" x14ac:dyDescent="0.35">
      <c r="A385">
        <v>14.292</v>
      </c>
      <c r="B385">
        <v>3274</v>
      </c>
      <c r="C385">
        <v>282</v>
      </c>
      <c r="D385">
        <v>9</v>
      </c>
      <c r="E385">
        <v>64</v>
      </c>
      <c r="F385">
        <v>9</v>
      </c>
      <c r="G385" t="s">
        <v>12</v>
      </c>
      <c r="H385" t="s">
        <v>12</v>
      </c>
      <c r="I385" t="s">
        <v>13</v>
      </c>
      <c r="J385" t="s">
        <v>14</v>
      </c>
      <c r="K385">
        <v>382</v>
      </c>
      <c r="L385">
        <v>3438</v>
      </c>
      <c r="M385">
        <f t="shared" si="10"/>
        <v>14292</v>
      </c>
      <c r="N385" s="10" t="str">
        <f t="shared" si="11"/>
        <v>High</v>
      </c>
    </row>
    <row r="386" spans="1:14" x14ac:dyDescent="0.35">
      <c r="A386">
        <v>20.088000000000001</v>
      </c>
      <c r="B386">
        <v>1870</v>
      </c>
      <c r="C386">
        <v>180</v>
      </c>
      <c r="D386">
        <v>3</v>
      </c>
      <c r="E386">
        <v>76</v>
      </c>
      <c r="F386">
        <v>16</v>
      </c>
      <c r="G386" t="s">
        <v>12</v>
      </c>
      <c r="H386" t="s">
        <v>12</v>
      </c>
      <c r="I386" t="s">
        <v>12</v>
      </c>
      <c r="J386" t="s">
        <v>16</v>
      </c>
      <c r="K386">
        <v>0</v>
      </c>
      <c r="L386">
        <v>0</v>
      </c>
      <c r="M386">
        <f t="shared" si="10"/>
        <v>20088</v>
      </c>
      <c r="N386" s="10" t="str">
        <f t="shared" si="11"/>
        <v>Low</v>
      </c>
    </row>
    <row r="387" spans="1:14" x14ac:dyDescent="0.35">
      <c r="A387">
        <v>26.4</v>
      </c>
      <c r="B387">
        <v>5640</v>
      </c>
      <c r="C387">
        <v>398</v>
      </c>
      <c r="D387">
        <v>3</v>
      </c>
      <c r="E387">
        <v>58</v>
      </c>
      <c r="F387">
        <v>15</v>
      </c>
      <c r="G387" t="s">
        <v>13</v>
      </c>
      <c r="H387" t="s">
        <v>12</v>
      </c>
      <c r="I387" t="s">
        <v>12</v>
      </c>
      <c r="J387" t="s">
        <v>15</v>
      </c>
      <c r="K387">
        <v>905</v>
      </c>
      <c r="L387">
        <v>2715</v>
      </c>
      <c r="M387">
        <f t="shared" ref="M387:M401" si="12">A387*1000</f>
        <v>26400</v>
      </c>
      <c r="N387" s="10" t="str">
        <f t="shared" ref="N387:N401" si="13">IF(D387&lt;=3, "Low", "High")</f>
        <v>Low</v>
      </c>
    </row>
    <row r="388" spans="1:14" x14ac:dyDescent="0.35">
      <c r="A388">
        <v>19.253</v>
      </c>
      <c r="B388">
        <v>3683</v>
      </c>
      <c r="C388">
        <v>287</v>
      </c>
      <c r="D388">
        <v>4</v>
      </c>
      <c r="E388">
        <v>57</v>
      </c>
      <c r="F388">
        <v>10</v>
      </c>
      <c r="G388" t="s">
        <v>12</v>
      </c>
      <c r="H388" t="s">
        <v>12</v>
      </c>
      <c r="I388" t="s">
        <v>12</v>
      </c>
      <c r="J388" t="s">
        <v>16</v>
      </c>
      <c r="K388">
        <v>371</v>
      </c>
      <c r="L388">
        <v>1484</v>
      </c>
      <c r="M388">
        <f t="shared" si="12"/>
        <v>19253</v>
      </c>
      <c r="N388" s="10" t="str">
        <f t="shared" si="13"/>
        <v>High</v>
      </c>
    </row>
    <row r="389" spans="1:14" x14ac:dyDescent="0.35">
      <c r="A389">
        <v>16.529</v>
      </c>
      <c r="B389">
        <v>1357</v>
      </c>
      <c r="C389">
        <v>126</v>
      </c>
      <c r="D389">
        <v>3</v>
      </c>
      <c r="E389">
        <v>62</v>
      </c>
      <c r="F389">
        <v>9</v>
      </c>
      <c r="G389" t="s">
        <v>12</v>
      </c>
      <c r="H389" t="s">
        <v>12</v>
      </c>
      <c r="I389" t="s">
        <v>12</v>
      </c>
      <c r="J389" t="s">
        <v>15</v>
      </c>
      <c r="K389">
        <v>0</v>
      </c>
      <c r="L389">
        <v>0</v>
      </c>
      <c r="M389">
        <f t="shared" si="12"/>
        <v>16529</v>
      </c>
      <c r="N389" s="10" t="str">
        <f t="shared" si="13"/>
        <v>Low</v>
      </c>
    </row>
    <row r="390" spans="1:14" x14ac:dyDescent="0.35">
      <c r="A390">
        <v>37.878</v>
      </c>
      <c r="B390">
        <v>6827</v>
      </c>
      <c r="C390">
        <v>482</v>
      </c>
      <c r="D390">
        <v>2</v>
      </c>
      <c r="E390">
        <v>80</v>
      </c>
      <c r="F390">
        <v>13</v>
      </c>
      <c r="G390" t="s">
        <v>13</v>
      </c>
      <c r="H390" t="s">
        <v>12</v>
      </c>
      <c r="I390" t="s">
        <v>12</v>
      </c>
      <c r="J390" t="s">
        <v>14</v>
      </c>
      <c r="K390">
        <v>1129</v>
      </c>
      <c r="L390">
        <v>2258</v>
      </c>
      <c r="M390">
        <f t="shared" si="12"/>
        <v>37878</v>
      </c>
      <c r="N390" s="10" t="str">
        <f t="shared" si="13"/>
        <v>Low</v>
      </c>
    </row>
    <row r="391" spans="1:14" x14ac:dyDescent="0.35">
      <c r="A391">
        <v>83.947999999999993</v>
      </c>
      <c r="B391">
        <v>7100</v>
      </c>
      <c r="C391">
        <v>503</v>
      </c>
      <c r="D391">
        <v>2</v>
      </c>
      <c r="E391">
        <v>44</v>
      </c>
      <c r="F391">
        <v>18</v>
      </c>
      <c r="G391" t="s">
        <v>12</v>
      </c>
      <c r="H391" t="s">
        <v>12</v>
      </c>
      <c r="I391" t="s">
        <v>12</v>
      </c>
      <c r="J391" t="s">
        <v>14</v>
      </c>
      <c r="K391">
        <v>806</v>
      </c>
      <c r="L391">
        <v>1612</v>
      </c>
      <c r="M391">
        <f t="shared" si="12"/>
        <v>83948</v>
      </c>
      <c r="N391" s="10" t="str">
        <f t="shared" si="13"/>
        <v>Low</v>
      </c>
    </row>
    <row r="392" spans="1:14" x14ac:dyDescent="0.35">
      <c r="A392">
        <v>135.11799999999999</v>
      </c>
      <c r="B392">
        <v>10578</v>
      </c>
      <c r="C392">
        <v>747</v>
      </c>
      <c r="D392">
        <v>3</v>
      </c>
      <c r="E392">
        <v>81</v>
      </c>
      <c r="F392">
        <v>15</v>
      </c>
      <c r="G392" t="s">
        <v>13</v>
      </c>
      <c r="H392" t="s">
        <v>12</v>
      </c>
      <c r="I392" t="s">
        <v>13</v>
      </c>
      <c r="J392" t="s">
        <v>15</v>
      </c>
      <c r="K392">
        <v>1393</v>
      </c>
      <c r="L392">
        <v>4179</v>
      </c>
      <c r="M392">
        <f t="shared" si="12"/>
        <v>135118</v>
      </c>
      <c r="N392" s="10" t="str">
        <f t="shared" si="13"/>
        <v>Low</v>
      </c>
    </row>
    <row r="393" spans="1:14" x14ac:dyDescent="0.35">
      <c r="A393">
        <v>73.326999999999998</v>
      </c>
      <c r="B393">
        <v>6555</v>
      </c>
      <c r="C393">
        <v>472</v>
      </c>
      <c r="D393">
        <v>2</v>
      </c>
      <c r="E393">
        <v>43</v>
      </c>
      <c r="F393">
        <v>15</v>
      </c>
      <c r="G393" t="s">
        <v>13</v>
      </c>
      <c r="H393" t="s">
        <v>12</v>
      </c>
      <c r="I393" t="s">
        <v>12</v>
      </c>
      <c r="J393" t="s">
        <v>14</v>
      </c>
      <c r="K393">
        <v>721</v>
      </c>
      <c r="L393">
        <v>1442</v>
      </c>
      <c r="M393">
        <f t="shared" si="12"/>
        <v>73327</v>
      </c>
      <c r="N393" s="10" t="str">
        <f t="shared" si="13"/>
        <v>Low</v>
      </c>
    </row>
    <row r="394" spans="1:14" x14ac:dyDescent="0.35">
      <c r="A394">
        <v>25.974</v>
      </c>
      <c r="B394">
        <v>2308</v>
      </c>
      <c r="C394">
        <v>196</v>
      </c>
      <c r="D394">
        <v>2</v>
      </c>
      <c r="E394">
        <v>24</v>
      </c>
      <c r="F394">
        <v>10</v>
      </c>
      <c r="G394" t="s">
        <v>12</v>
      </c>
      <c r="H394" t="s">
        <v>12</v>
      </c>
      <c r="I394" t="s">
        <v>12</v>
      </c>
      <c r="J394" t="s">
        <v>15</v>
      </c>
      <c r="K394">
        <v>0</v>
      </c>
      <c r="L394">
        <v>0</v>
      </c>
      <c r="M394">
        <f t="shared" si="12"/>
        <v>25974</v>
      </c>
      <c r="N394" s="10" t="str">
        <f t="shared" si="13"/>
        <v>Low</v>
      </c>
    </row>
    <row r="395" spans="1:14" x14ac:dyDescent="0.35">
      <c r="A395">
        <v>17.315999999999999</v>
      </c>
      <c r="B395">
        <v>1335</v>
      </c>
      <c r="C395">
        <v>138</v>
      </c>
      <c r="D395">
        <v>2</v>
      </c>
      <c r="E395">
        <v>65</v>
      </c>
      <c r="F395">
        <v>13</v>
      </c>
      <c r="G395" t="s">
        <v>12</v>
      </c>
      <c r="H395" t="s">
        <v>12</v>
      </c>
      <c r="I395" t="s">
        <v>12</v>
      </c>
      <c r="J395" t="s">
        <v>16</v>
      </c>
      <c r="K395">
        <v>0</v>
      </c>
      <c r="L395">
        <v>0</v>
      </c>
      <c r="M395">
        <f t="shared" si="12"/>
        <v>17316</v>
      </c>
      <c r="N395" s="10" t="str">
        <f t="shared" si="13"/>
        <v>Low</v>
      </c>
    </row>
    <row r="396" spans="1:14" x14ac:dyDescent="0.35">
      <c r="A396">
        <v>49.793999999999997</v>
      </c>
      <c r="B396">
        <v>5758</v>
      </c>
      <c r="C396">
        <v>410</v>
      </c>
      <c r="D396">
        <v>4</v>
      </c>
      <c r="E396">
        <v>40</v>
      </c>
      <c r="F396">
        <v>8</v>
      </c>
      <c r="G396" t="s">
        <v>12</v>
      </c>
      <c r="H396" t="s">
        <v>12</v>
      </c>
      <c r="I396" t="s">
        <v>12</v>
      </c>
      <c r="J396" t="s">
        <v>14</v>
      </c>
      <c r="K396">
        <v>734</v>
      </c>
      <c r="L396">
        <v>2936</v>
      </c>
      <c r="M396">
        <f t="shared" si="12"/>
        <v>49794</v>
      </c>
      <c r="N396" s="10" t="str">
        <f t="shared" si="13"/>
        <v>High</v>
      </c>
    </row>
    <row r="397" spans="1:14" x14ac:dyDescent="0.35">
      <c r="A397">
        <v>12.096</v>
      </c>
      <c r="B397">
        <v>4100</v>
      </c>
      <c r="C397">
        <v>307</v>
      </c>
      <c r="D397">
        <v>3</v>
      </c>
      <c r="E397">
        <v>32</v>
      </c>
      <c r="F397">
        <v>13</v>
      </c>
      <c r="G397" t="s">
        <v>12</v>
      </c>
      <c r="H397" t="s">
        <v>12</v>
      </c>
      <c r="I397" t="s">
        <v>13</v>
      </c>
      <c r="J397" t="s">
        <v>14</v>
      </c>
      <c r="K397">
        <v>560</v>
      </c>
      <c r="L397">
        <v>1680</v>
      </c>
      <c r="M397">
        <f t="shared" si="12"/>
        <v>12096</v>
      </c>
      <c r="N397" s="10" t="str">
        <f t="shared" si="13"/>
        <v>Low</v>
      </c>
    </row>
    <row r="398" spans="1:14" x14ac:dyDescent="0.35">
      <c r="A398">
        <v>13.364000000000001</v>
      </c>
      <c r="B398">
        <v>3838</v>
      </c>
      <c r="C398">
        <v>296</v>
      </c>
      <c r="D398">
        <v>5</v>
      </c>
      <c r="E398">
        <v>65</v>
      </c>
      <c r="F398">
        <v>17</v>
      </c>
      <c r="G398" t="s">
        <v>12</v>
      </c>
      <c r="H398" t="s">
        <v>12</v>
      </c>
      <c r="I398" t="s">
        <v>12</v>
      </c>
      <c r="J398" t="s">
        <v>16</v>
      </c>
      <c r="K398">
        <v>480</v>
      </c>
      <c r="L398">
        <v>2400</v>
      </c>
      <c r="M398">
        <f t="shared" si="12"/>
        <v>13364</v>
      </c>
      <c r="N398" s="10" t="str">
        <f t="shared" si="13"/>
        <v>High</v>
      </c>
    </row>
    <row r="399" spans="1:14" x14ac:dyDescent="0.35">
      <c r="A399">
        <v>57.872</v>
      </c>
      <c r="B399">
        <v>4171</v>
      </c>
      <c r="C399">
        <v>321</v>
      </c>
      <c r="D399">
        <v>5</v>
      </c>
      <c r="E399">
        <v>67</v>
      </c>
      <c r="F399">
        <v>12</v>
      </c>
      <c r="G399" t="s">
        <v>13</v>
      </c>
      <c r="H399" t="s">
        <v>12</v>
      </c>
      <c r="I399" t="s">
        <v>13</v>
      </c>
      <c r="J399" t="s">
        <v>14</v>
      </c>
      <c r="K399">
        <v>138</v>
      </c>
      <c r="L399">
        <v>690</v>
      </c>
      <c r="M399">
        <f t="shared" si="12"/>
        <v>57872</v>
      </c>
      <c r="N399" s="10" t="str">
        <f t="shared" si="13"/>
        <v>High</v>
      </c>
    </row>
    <row r="400" spans="1:14" x14ac:dyDescent="0.35">
      <c r="A400">
        <v>37.728000000000002</v>
      </c>
      <c r="B400">
        <v>2525</v>
      </c>
      <c r="C400">
        <v>192</v>
      </c>
      <c r="D400">
        <v>1</v>
      </c>
      <c r="E400">
        <v>44</v>
      </c>
      <c r="F400">
        <v>13</v>
      </c>
      <c r="G400" t="s">
        <v>12</v>
      </c>
      <c r="H400" t="s">
        <v>12</v>
      </c>
      <c r="I400" t="s">
        <v>13</v>
      </c>
      <c r="J400" t="s">
        <v>14</v>
      </c>
      <c r="K400">
        <v>0</v>
      </c>
      <c r="L400">
        <v>0</v>
      </c>
      <c r="M400">
        <f t="shared" si="12"/>
        <v>37728</v>
      </c>
      <c r="N400" s="10" t="str">
        <f t="shared" si="13"/>
        <v>Low</v>
      </c>
    </row>
    <row r="401" spans="1:14" x14ac:dyDescent="0.35">
      <c r="A401">
        <v>18.701000000000001</v>
      </c>
      <c r="B401">
        <v>5524</v>
      </c>
      <c r="C401">
        <v>415</v>
      </c>
      <c r="D401">
        <v>5</v>
      </c>
      <c r="E401">
        <v>64</v>
      </c>
      <c r="F401">
        <v>7</v>
      </c>
      <c r="G401" t="s">
        <v>13</v>
      </c>
      <c r="H401" t="s">
        <v>12</v>
      </c>
      <c r="I401" t="s">
        <v>12</v>
      </c>
      <c r="J401" t="s">
        <v>15</v>
      </c>
      <c r="K401">
        <v>966</v>
      </c>
      <c r="L401">
        <v>4830</v>
      </c>
      <c r="M401">
        <f t="shared" si="12"/>
        <v>18701</v>
      </c>
      <c r="N401" s="10" t="str">
        <f t="shared" si="13"/>
        <v>High</v>
      </c>
    </row>
    <row r="403" spans="1:14" x14ac:dyDescent="0.35">
      <c r="B403">
        <f>AVERAGE(B2:B401)</f>
        <v>4735.6000000000004</v>
      </c>
      <c r="C403">
        <f>AVERAGE(C2:C401)</f>
        <v>354.94</v>
      </c>
      <c r="D403">
        <f>AVERAGE(D2:D401)</f>
        <v>2.9575</v>
      </c>
      <c r="E403">
        <f>AVERAGE(E2:E401)</f>
        <v>55.667499999999997</v>
      </c>
      <c r="F403">
        <f>AVERAGE(F2:F401)</f>
        <v>13.45</v>
      </c>
      <c r="K403">
        <f>AVERAGE(K2:K401)</f>
        <v>520.01499999999999</v>
      </c>
      <c r="L403">
        <f>AVERAGE(L2:L401)</f>
        <v>1592.3150000000001</v>
      </c>
      <c r="M403">
        <f>AVERAGE(M2:M401)</f>
        <v>45218.885000000002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77DED-539A-41C7-A295-FF2BDA8BAA9C}">
  <dimension ref="B2:I47"/>
  <sheetViews>
    <sheetView tabSelected="1" topLeftCell="A28" zoomScale="80" workbookViewId="0">
      <selection activeCell="E47" sqref="E47"/>
    </sheetView>
  </sheetViews>
  <sheetFormatPr defaultRowHeight="14.5" x14ac:dyDescent="0.35"/>
  <cols>
    <col min="2" max="2" width="17.6328125" customWidth="1"/>
    <col min="5" max="5" width="18.6328125" customWidth="1"/>
    <col min="8" max="8" width="19.36328125" customWidth="1"/>
    <col min="9" max="9" width="13.08984375" customWidth="1"/>
    <col min="11" max="11" width="18.26953125" customWidth="1"/>
    <col min="13" max="13" width="17.26953125" customWidth="1"/>
    <col min="14" max="14" width="8.7265625" customWidth="1"/>
  </cols>
  <sheetData>
    <row r="2" spans="2:9" x14ac:dyDescent="0.35">
      <c r="B2" s="11" t="s">
        <v>0</v>
      </c>
      <c r="C2" s="11"/>
      <c r="E2" s="11" t="s">
        <v>1</v>
      </c>
      <c r="F2" s="11"/>
      <c r="H2" s="11" t="s">
        <v>2</v>
      </c>
      <c r="I2" s="11"/>
    </row>
    <row r="3" spans="2:9" x14ac:dyDescent="0.35">
      <c r="B3" t="s">
        <v>18</v>
      </c>
      <c r="C3">
        <v>45.218885000000036</v>
      </c>
      <c r="E3" t="s">
        <v>18</v>
      </c>
      <c r="F3">
        <v>4735.6000000000004</v>
      </c>
      <c r="H3" t="s">
        <v>18</v>
      </c>
      <c r="I3">
        <v>354.94</v>
      </c>
    </row>
    <row r="4" spans="2:9" x14ac:dyDescent="0.35">
      <c r="B4" t="s">
        <v>19</v>
      </c>
      <c r="C4">
        <v>1.7622136582535248</v>
      </c>
      <c r="E4" t="s">
        <v>19</v>
      </c>
      <c r="F4">
        <v>115.40994237715719</v>
      </c>
      <c r="H4" t="s">
        <v>19</v>
      </c>
      <c r="I4">
        <v>7.7362071295874513</v>
      </c>
    </row>
    <row r="5" spans="2:9" x14ac:dyDescent="0.35">
      <c r="B5" t="s">
        <v>20</v>
      </c>
      <c r="C5">
        <v>33.115499999999997</v>
      </c>
      <c r="E5" t="s">
        <v>20</v>
      </c>
      <c r="F5">
        <v>4622.5</v>
      </c>
      <c r="H5" t="s">
        <v>20</v>
      </c>
      <c r="I5">
        <v>344</v>
      </c>
    </row>
    <row r="6" spans="2:9" x14ac:dyDescent="0.35">
      <c r="B6" t="s">
        <v>21</v>
      </c>
      <c r="C6">
        <v>23.792999999999999</v>
      </c>
      <c r="E6" t="s">
        <v>21</v>
      </c>
      <c r="F6">
        <v>3388</v>
      </c>
      <c r="H6" t="s">
        <v>21</v>
      </c>
      <c r="I6">
        <v>344</v>
      </c>
    </row>
    <row r="7" spans="2:9" x14ac:dyDescent="0.35">
      <c r="B7" t="s">
        <v>22</v>
      </c>
      <c r="C7">
        <v>35.244273165070496</v>
      </c>
      <c r="E7" t="s">
        <v>22</v>
      </c>
      <c r="F7">
        <v>2308.198847543144</v>
      </c>
      <c r="H7" t="s">
        <v>22</v>
      </c>
      <c r="I7">
        <v>154.72414259174903</v>
      </c>
    </row>
    <row r="8" spans="2:9" x14ac:dyDescent="0.35">
      <c r="B8" t="s">
        <v>23</v>
      </c>
      <c r="C8">
        <v>1242.1587909341081</v>
      </c>
      <c r="E8" t="s">
        <v>23</v>
      </c>
      <c r="F8">
        <v>5327781.9197994983</v>
      </c>
      <c r="H8" t="s">
        <v>23</v>
      </c>
      <c r="I8">
        <v>23939.560300751884</v>
      </c>
    </row>
    <row r="9" spans="2:9" x14ac:dyDescent="0.35">
      <c r="B9" t="s">
        <v>24</v>
      </c>
      <c r="C9">
        <v>2.9474764313066197</v>
      </c>
      <c r="E9" t="s">
        <v>24</v>
      </c>
      <c r="F9">
        <v>1.0042474180848631</v>
      </c>
      <c r="H9" t="s">
        <v>24</v>
      </c>
      <c r="I9">
        <v>1.0609469816702761</v>
      </c>
    </row>
    <row r="10" spans="2:9" x14ac:dyDescent="0.35">
      <c r="B10" t="s">
        <v>25</v>
      </c>
      <c r="C10">
        <v>1.7421174049581498</v>
      </c>
      <c r="E10" t="s">
        <v>25</v>
      </c>
      <c r="F10">
        <v>0.83749290073219829</v>
      </c>
      <c r="H10" t="s">
        <v>25</v>
      </c>
      <c r="I10">
        <v>0.86539352273700931</v>
      </c>
    </row>
    <row r="11" spans="2:9" x14ac:dyDescent="0.35">
      <c r="B11" t="s">
        <v>26</v>
      </c>
      <c r="C11">
        <v>176.27999999999997</v>
      </c>
      <c r="E11" t="s">
        <v>26</v>
      </c>
      <c r="F11">
        <v>13058</v>
      </c>
      <c r="H11" t="s">
        <v>26</v>
      </c>
      <c r="I11">
        <v>889</v>
      </c>
    </row>
    <row r="12" spans="2:9" x14ac:dyDescent="0.35">
      <c r="B12" t="s">
        <v>27</v>
      </c>
      <c r="C12">
        <v>10.353999999999999</v>
      </c>
      <c r="E12" t="s">
        <v>27</v>
      </c>
      <c r="F12">
        <v>855</v>
      </c>
      <c r="H12" t="s">
        <v>27</v>
      </c>
      <c r="I12">
        <v>93</v>
      </c>
    </row>
    <row r="13" spans="2:9" x14ac:dyDescent="0.35">
      <c r="B13" t="s">
        <v>28</v>
      </c>
      <c r="C13">
        <v>186.63399999999999</v>
      </c>
      <c r="E13" t="s">
        <v>28</v>
      </c>
      <c r="F13">
        <v>13913</v>
      </c>
      <c r="H13" t="s">
        <v>28</v>
      </c>
      <c r="I13">
        <v>982</v>
      </c>
    </row>
    <row r="14" spans="2:9" x14ac:dyDescent="0.35">
      <c r="B14" t="s">
        <v>29</v>
      </c>
      <c r="C14">
        <v>18087.554000000015</v>
      </c>
      <c r="E14" t="s">
        <v>29</v>
      </c>
      <c r="F14">
        <v>1894240</v>
      </c>
      <c r="H14" t="s">
        <v>29</v>
      </c>
      <c r="I14">
        <v>141976</v>
      </c>
    </row>
    <row r="15" spans="2:9" ht="15" thickBot="1" x14ac:dyDescent="0.4">
      <c r="B15" s="1" t="s">
        <v>30</v>
      </c>
      <c r="C15" s="1">
        <v>400</v>
      </c>
      <c r="E15" s="1" t="s">
        <v>30</v>
      </c>
      <c r="F15" s="1">
        <v>400</v>
      </c>
      <c r="H15" s="1" t="s">
        <v>30</v>
      </c>
      <c r="I15" s="1">
        <v>400</v>
      </c>
    </row>
    <row r="18" spans="2:9" x14ac:dyDescent="0.35">
      <c r="B18" s="11" t="s">
        <v>3</v>
      </c>
      <c r="C18" s="11"/>
      <c r="E18" s="11" t="s">
        <v>4</v>
      </c>
      <c r="F18" s="11"/>
      <c r="H18" s="11" t="s">
        <v>5</v>
      </c>
      <c r="I18" s="11"/>
    </row>
    <row r="19" spans="2:9" x14ac:dyDescent="0.35">
      <c r="B19" t="s">
        <v>18</v>
      </c>
      <c r="C19">
        <v>2.9575</v>
      </c>
      <c r="E19" t="s">
        <v>18</v>
      </c>
      <c r="F19">
        <v>55.667499999999997</v>
      </c>
      <c r="H19" t="s">
        <v>18</v>
      </c>
      <c r="I19">
        <v>13.45</v>
      </c>
    </row>
    <row r="20" spans="2:9" x14ac:dyDescent="0.35">
      <c r="B20" t="s">
        <v>19</v>
      </c>
      <c r="C20">
        <v>6.856374291201775E-2</v>
      </c>
      <c r="E20" t="s">
        <v>19</v>
      </c>
      <c r="F20">
        <v>0.86249033811013442</v>
      </c>
      <c r="H20" t="s">
        <v>19</v>
      </c>
      <c r="I20">
        <v>0.15626033800386682</v>
      </c>
    </row>
    <row r="21" spans="2:9" x14ac:dyDescent="0.35">
      <c r="B21" t="s">
        <v>20</v>
      </c>
      <c r="C21">
        <v>3</v>
      </c>
      <c r="E21" t="s">
        <v>20</v>
      </c>
      <c r="F21">
        <v>56</v>
      </c>
      <c r="H21" t="s">
        <v>20</v>
      </c>
      <c r="I21">
        <v>14</v>
      </c>
    </row>
    <row r="22" spans="2:9" x14ac:dyDescent="0.35">
      <c r="B22" t="s">
        <v>21</v>
      </c>
      <c r="C22">
        <v>2</v>
      </c>
      <c r="E22" t="s">
        <v>21</v>
      </c>
      <c r="F22">
        <v>66</v>
      </c>
      <c r="H22" t="s">
        <v>21</v>
      </c>
      <c r="I22">
        <v>16</v>
      </c>
    </row>
    <row r="23" spans="2:9" x14ac:dyDescent="0.35">
      <c r="B23" t="s">
        <v>22</v>
      </c>
      <c r="C23">
        <v>1.3712748582403549</v>
      </c>
      <c r="E23" t="s">
        <v>22</v>
      </c>
      <c r="F23">
        <v>17.249806762202688</v>
      </c>
      <c r="H23" t="s">
        <v>22</v>
      </c>
      <c r="I23">
        <v>3.1252067600773366</v>
      </c>
    </row>
    <row r="24" spans="2:9" x14ac:dyDescent="0.35">
      <c r="B24" t="s">
        <v>23</v>
      </c>
      <c r="C24">
        <v>1.8803947368421057</v>
      </c>
      <c r="E24" t="s">
        <v>23</v>
      </c>
      <c r="F24">
        <v>297.55583333333357</v>
      </c>
      <c r="H24" t="s">
        <v>23</v>
      </c>
      <c r="I24">
        <v>9.7669172932330834</v>
      </c>
    </row>
    <row r="25" spans="2:9" x14ac:dyDescent="0.35">
      <c r="B25" t="s">
        <v>24</v>
      </c>
      <c r="C25">
        <v>0.94395308373220832</v>
      </c>
      <c r="E25" t="s">
        <v>24</v>
      </c>
      <c r="F25">
        <v>-1.065579690020749</v>
      </c>
      <c r="H25" t="s">
        <v>24</v>
      </c>
      <c r="I25">
        <v>-0.57812074345444664</v>
      </c>
    </row>
    <row r="26" spans="2:9" x14ac:dyDescent="0.35">
      <c r="B26" t="s">
        <v>25</v>
      </c>
      <c r="C26">
        <v>0.79192833408374075</v>
      </c>
      <c r="E26" t="s">
        <v>25</v>
      </c>
      <c r="F26">
        <v>1.1495909415831982E-2</v>
      </c>
      <c r="H26" t="s">
        <v>25</v>
      </c>
      <c r="I26">
        <v>-0.32921176090512971</v>
      </c>
    </row>
    <row r="27" spans="2:9" x14ac:dyDescent="0.35">
      <c r="B27" t="s">
        <v>26</v>
      </c>
      <c r="C27">
        <v>8</v>
      </c>
      <c r="E27" t="s">
        <v>26</v>
      </c>
      <c r="F27">
        <v>75</v>
      </c>
      <c r="H27" t="s">
        <v>26</v>
      </c>
      <c r="I27">
        <v>15</v>
      </c>
    </row>
    <row r="28" spans="2:9" x14ac:dyDescent="0.35">
      <c r="B28" t="s">
        <v>27</v>
      </c>
      <c r="C28">
        <v>1</v>
      </c>
      <c r="E28" t="s">
        <v>27</v>
      </c>
      <c r="F28">
        <v>23</v>
      </c>
      <c r="H28" t="s">
        <v>27</v>
      </c>
      <c r="I28">
        <v>5</v>
      </c>
    </row>
    <row r="29" spans="2:9" x14ac:dyDescent="0.35">
      <c r="B29" t="s">
        <v>28</v>
      </c>
      <c r="C29">
        <v>9</v>
      </c>
      <c r="E29" t="s">
        <v>28</v>
      </c>
      <c r="F29">
        <v>98</v>
      </c>
      <c r="H29" t="s">
        <v>28</v>
      </c>
      <c r="I29">
        <v>20</v>
      </c>
    </row>
    <row r="30" spans="2:9" x14ac:dyDescent="0.35">
      <c r="B30" t="s">
        <v>29</v>
      </c>
      <c r="C30">
        <v>1183</v>
      </c>
      <c r="E30" t="s">
        <v>29</v>
      </c>
      <c r="F30">
        <v>22267</v>
      </c>
      <c r="H30" t="s">
        <v>29</v>
      </c>
      <c r="I30">
        <v>5380</v>
      </c>
    </row>
    <row r="31" spans="2:9" ht="15" thickBot="1" x14ac:dyDescent="0.4">
      <c r="B31" s="1" t="s">
        <v>30</v>
      </c>
      <c r="C31" s="1">
        <v>400</v>
      </c>
      <c r="E31" s="1" t="s">
        <v>30</v>
      </c>
      <c r="F31" s="1">
        <v>400</v>
      </c>
      <c r="H31" s="1" t="s">
        <v>30</v>
      </c>
      <c r="I31" s="1">
        <v>400</v>
      </c>
    </row>
    <row r="34" spans="2:8" x14ac:dyDescent="0.35">
      <c r="B34" s="11" t="s">
        <v>31</v>
      </c>
      <c r="C34" s="11"/>
      <c r="E34" s="4"/>
      <c r="F34" s="4"/>
      <c r="G34" s="4"/>
      <c r="H34" s="4"/>
    </row>
    <row r="35" spans="2:8" ht="43.5" x14ac:dyDescent="0.35">
      <c r="B35" t="s">
        <v>18</v>
      </c>
      <c r="C35">
        <v>1592.3150000000001</v>
      </c>
      <c r="E35" s="5" t="s">
        <v>9</v>
      </c>
      <c r="F35" s="9" t="s">
        <v>36</v>
      </c>
      <c r="G35" s="9" t="s">
        <v>34</v>
      </c>
      <c r="H35" s="9" t="s">
        <v>35</v>
      </c>
    </row>
    <row r="36" spans="2:8" x14ac:dyDescent="0.35">
      <c r="B36" t="s">
        <v>19</v>
      </c>
      <c r="C36">
        <v>89.877872802410138</v>
      </c>
      <c r="E36" s="6" t="s">
        <v>16</v>
      </c>
      <c r="F36" s="4">
        <v>99</v>
      </c>
      <c r="G36" s="4">
        <v>99</v>
      </c>
      <c r="H36" s="4">
        <v>99</v>
      </c>
    </row>
    <row r="37" spans="2:8" x14ac:dyDescent="0.35">
      <c r="B37" t="s">
        <v>20</v>
      </c>
      <c r="C37">
        <v>1035.5</v>
      </c>
      <c r="E37" s="6" t="s">
        <v>14</v>
      </c>
      <c r="F37" s="4">
        <v>199</v>
      </c>
      <c r="G37" s="4">
        <v>199</v>
      </c>
      <c r="H37" s="4">
        <v>199</v>
      </c>
    </row>
    <row r="38" spans="2:8" x14ac:dyDescent="0.35">
      <c r="B38" t="s">
        <v>21</v>
      </c>
      <c r="C38">
        <v>0</v>
      </c>
      <c r="E38" s="6" t="s">
        <v>15</v>
      </c>
      <c r="F38" s="4">
        <v>102</v>
      </c>
      <c r="G38" s="4">
        <v>102</v>
      </c>
      <c r="H38" s="4">
        <v>102</v>
      </c>
    </row>
    <row r="39" spans="2:8" x14ac:dyDescent="0.35">
      <c r="B39" t="s">
        <v>22</v>
      </c>
      <c r="C39">
        <v>1797.5574560482028</v>
      </c>
      <c r="E39" s="7" t="s">
        <v>33</v>
      </c>
      <c r="F39" s="8">
        <v>400</v>
      </c>
      <c r="G39" s="8">
        <v>400</v>
      </c>
      <c r="H39" s="8">
        <v>400</v>
      </c>
    </row>
    <row r="40" spans="2:8" x14ac:dyDescent="0.35">
      <c r="B40" t="s">
        <v>23</v>
      </c>
      <c r="C40">
        <v>3231212.8077944862</v>
      </c>
    </row>
    <row r="41" spans="2:8" x14ac:dyDescent="0.35">
      <c r="B41" t="s">
        <v>24</v>
      </c>
      <c r="C41">
        <v>4.0700458301347329</v>
      </c>
    </row>
    <row r="42" spans="2:8" x14ac:dyDescent="0.35">
      <c r="B42" t="s">
        <v>25</v>
      </c>
      <c r="C42">
        <v>1.7300294977284698</v>
      </c>
    </row>
    <row r="43" spans="2:8" x14ac:dyDescent="0.35">
      <c r="B43" t="s">
        <v>26</v>
      </c>
      <c r="C43">
        <v>11739</v>
      </c>
    </row>
    <row r="44" spans="2:8" x14ac:dyDescent="0.35">
      <c r="B44" t="s">
        <v>27</v>
      </c>
      <c r="C44">
        <v>0</v>
      </c>
    </row>
    <row r="45" spans="2:8" x14ac:dyDescent="0.35">
      <c r="B45" t="s">
        <v>28</v>
      </c>
      <c r="C45">
        <v>11739</v>
      </c>
    </row>
    <row r="46" spans="2:8" x14ac:dyDescent="0.35">
      <c r="B46" t="s">
        <v>29</v>
      </c>
      <c r="C46">
        <v>636926</v>
      </c>
    </row>
    <row r="47" spans="2:8" ht="15" thickBot="1" x14ac:dyDescent="0.4">
      <c r="B47" s="1" t="s">
        <v>30</v>
      </c>
      <c r="C47" s="1">
        <v>400</v>
      </c>
    </row>
  </sheetData>
  <mergeCells count="7">
    <mergeCell ref="B34:C34"/>
    <mergeCell ref="B2:C2"/>
    <mergeCell ref="B18:C18"/>
    <mergeCell ref="E18:F18"/>
    <mergeCell ref="H18:I18"/>
    <mergeCell ref="H2:I2"/>
    <mergeCell ref="E2:F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AB03-B2E9-4123-9E1B-4E05FB068E0C}">
  <dimension ref="A3:B7"/>
  <sheetViews>
    <sheetView workbookViewId="0">
      <selection activeCell="C8" sqref="A3:C8"/>
    </sheetView>
  </sheetViews>
  <sheetFormatPr defaultRowHeight="14.5" x14ac:dyDescent="0.35"/>
  <cols>
    <col min="1" max="1" width="12.36328125" bestFit="1" customWidth="1"/>
    <col min="2" max="2" width="25.6328125" bestFit="1" customWidth="1"/>
  </cols>
  <sheetData>
    <row r="3" spans="1:2" x14ac:dyDescent="0.35">
      <c r="A3" s="2" t="s">
        <v>32</v>
      </c>
      <c r="B3" t="s">
        <v>38</v>
      </c>
    </row>
    <row r="4" spans="1:2" x14ac:dyDescent="0.35">
      <c r="A4" s="3" t="s">
        <v>16</v>
      </c>
      <c r="B4">
        <v>99</v>
      </c>
    </row>
    <row r="5" spans="1:2" x14ac:dyDescent="0.35">
      <c r="A5" s="3" t="s">
        <v>14</v>
      </c>
      <c r="B5">
        <v>199</v>
      </c>
    </row>
    <row r="6" spans="1:2" x14ac:dyDescent="0.35">
      <c r="A6" s="3" t="s">
        <v>15</v>
      </c>
      <c r="B6">
        <v>102</v>
      </c>
    </row>
    <row r="7" spans="1:2" x14ac:dyDescent="0.35">
      <c r="A7" s="3" t="s">
        <v>33</v>
      </c>
      <c r="B7">
        <v>400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credit_Assn1_SMDM</vt:lpstr>
      <vt:lpstr>Q2 and Q3</vt:lpstr>
      <vt:lpstr>Q7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modified xsi:type="dcterms:W3CDTF">2026-05-29T14:20:52Z</dcterms:modified>
</cp:coreProperties>
</file>