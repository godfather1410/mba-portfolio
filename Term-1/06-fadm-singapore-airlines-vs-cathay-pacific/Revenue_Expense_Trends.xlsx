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hai\Desktop\Assignments\"/>
    </mc:Choice>
  </mc:AlternateContent>
  <xr:revisionPtr revIDLastSave="0" documentId="13_ncr:1_{12B5C18B-EFDA-45BE-8506-819B98E7D7F3}" xr6:coauthVersionLast="47" xr6:coauthVersionMax="47" xr10:uidLastSave="{00000000-0000-0000-0000-000000000000}"/>
  <bookViews>
    <workbookView xWindow="-110" yWindow="-110" windowWidth="19420" windowHeight="10300" activeTab="1" xr2:uid="{E1AE0115-9053-4A21-BC63-3DF8714DA02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2" l="1"/>
  <c r="M11" i="2"/>
  <c r="N11" i="2"/>
  <c r="O11" i="2"/>
  <c r="K11" i="2"/>
  <c r="C11" i="2"/>
  <c r="D11" i="2"/>
  <c r="E11" i="2"/>
  <c r="F11" i="2"/>
  <c r="B11" i="2"/>
  <c r="L19" i="2"/>
  <c r="L20" i="2" s="1"/>
  <c r="M19" i="2"/>
  <c r="M20" i="2" s="1"/>
  <c r="N19" i="2"/>
  <c r="N20" i="2" s="1"/>
  <c r="O19" i="2"/>
  <c r="L16" i="2"/>
  <c r="K7" i="2"/>
  <c r="L7" i="2"/>
  <c r="M7" i="2"/>
  <c r="N7" i="2"/>
  <c r="O7" i="2"/>
  <c r="K8" i="2"/>
  <c r="L8" i="2"/>
  <c r="M8" i="2"/>
  <c r="N8" i="2"/>
  <c r="O8" i="2"/>
  <c r="K9" i="2"/>
  <c r="L9" i="2"/>
  <c r="M9" i="2"/>
  <c r="N9" i="2"/>
  <c r="O9" i="2"/>
  <c r="K10" i="2"/>
  <c r="L10" i="2"/>
  <c r="M10" i="2"/>
  <c r="N10" i="2"/>
  <c r="O10" i="2"/>
  <c r="K12" i="2"/>
  <c r="L12" i="2"/>
  <c r="M12" i="2"/>
  <c r="N12" i="2"/>
  <c r="O12" i="2"/>
  <c r="O16" i="2" s="1"/>
  <c r="L6" i="2"/>
  <c r="M6" i="2"/>
  <c r="M16" i="2" s="1"/>
  <c r="M17" i="2" s="1"/>
  <c r="N6" i="2"/>
  <c r="N16" i="2" s="1"/>
  <c r="N17" i="2" s="1"/>
  <c r="O6" i="2"/>
  <c r="K6" i="2"/>
  <c r="K16" i="2" s="1"/>
  <c r="F8" i="2"/>
  <c r="B9" i="2"/>
  <c r="C9" i="2"/>
  <c r="D9" i="2"/>
  <c r="E9" i="2"/>
  <c r="F9" i="2"/>
  <c r="B10" i="2"/>
  <c r="C10" i="2"/>
  <c r="D10" i="2"/>
  <c r="B12" i="2"/>
  <c r="C12" i="2"/>
  <c r="D12" i="2"/>
  <c r="E12" i="2"/>
  <c r="F12" i="2"/>
  <c r="C17" i="2"/>
  <c r="D17" i="2"/>
  <c r="F20" i="2"/>
  <c r="J24" i="1" a="1"/>
  <c r="J24" i="1" s="1"/>
  <c r="N14" i="1"/>
  <c r="L14" i="1"/>
  <c r="M14" i="1"/>
  <c r="K15" i="1"/>
  <c r="L15" i="1"/>
  <c r="M15" i="1"/>
  <c r="N15" i="1"/>
  <c r="J15" i="1"/>
  <c r="K14" i="1"/>
  <c r="J14" i="1"/>
  <c r="F16" i="1"/>
  <c r="F14" i="1"/>
  <c r="E14" i="1"/>
  <c r="E16" i="1"/>
  <c r="D16" i="1"/>
  <c r="D14" i="1"/>
  <c r="C16" i="1"/>
  <c r="B16" i="1"/>
  <c r="C14" i="1"/>
  <c r="B14" i="1"/>
  <c r="K17" i="2" l="1"/>
  <c r="K18" i="2"/>
  <c r="L17" i="2"/>
  <c r="E17" i="2"/>
  <c r="K19" i="2"/>
  <c r="K20" i="2" s="1"/>
  <c r="F17" i="2"/>
  <c r="D18" i="2"/>
  <c r="E20" i="2"/>
  <c r="E21" i="2" s="1"/>
  <c r="D20" i="2"/>
  <c r="C20" i="2"/>
  <c r="C21" i="2" s="1"/>
  <c r="B17" i="2"/>
  <c r="B20" i="2"/>
  <c r="B21" i="2" s="1"/>
  <c r="C18" i="2"/>
  <c r="B24" i="1" a="1"/>
  <c r="B24" i="1" s="1"/>
  <c r="E18" i="2" l="1"/>
  <c r="D21" i="2"/>
  <c r="B18" i="2"/>
  <c r="B1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<sst xmlns="http://schemas.openxmlformats.org/spreadsheetml/2006/main" count="109" uniqueCount="42">
  <si>
    <t>Singapore Airlines</t>
  </si>
  <si>
    <t>2024-2025</t>
  </si>
  <si>
    <t>2023-2024</t>
  </si>
  <si>
    <t>2022-2023</t>
  </si>
  <si>
    <t>2021-2022</t>
  </si>
  <si>
    <t>2020-2021</t>
  </si>
  <si>
    <t>IN SGD</t>
  </si>
  <si>
    <t>Cathay Pacific</t>
  </si>
  <si>
    <t>Profit for the Financial Year</t>
  </si>
  <si>
    <t>Earnings Per Share (in cents)</t>
  </si>
  <si>
    <t>Employee Count</t>
  </si>
  <si>
    <t>Net Asset Value per share</t>
  </si>
  <si>
    <t>sales/employee</t>
  </si>
  <si>
    <t>Total Revenue (in million)</t>
  </si>
  <si>
    <t>Total Assets (in million)</t>
  </si>
  <si>
    <t>sales/asset (in million)</t>
  </si>
  <si>
    <t>(in million)</t>
  </si>
  <si>
    <t>Total Expenses</t>
  </si>
  <si>
    <t>in HKD</t>
  </si>
  <si>
    <t>IN INR (converted using the exchange rate of 1 SGD = 74.45 INR</t>
  </si>
  <si>
    <t>Operating Profit/Loss (in million)</t>
  </si>
  <si>
    <t>Profit/Loss Before Taxaction (in million)</t>
  </si>
  <si>
    <t>Profit/Loss for the Financial Year</t>
  </si>
  <si>
    <t>sales/employee (in million)</t>
  </si>
  <si>
    <t>IN INR (converted using the exchange rate of 1HKD = 12.12 INR</t>
  </si>
  <si>
    <t>Total Revenue</t>
  </si>
  <si>
    <t>IN INR (in millions) (converted using the exchange rate of 1 SGD = 74.45 INR)</t>
  </si>
  <si>
    <t>IN INR (in millions) (converted using the exchange rate of 1 HKD = 12.12 INR)</t>
  </si>
  <si>
    <t>Operating Profit/Loss</t>
  </si>
  <si>
    <t>Profit/Loss Before Taxaction</t>
  </si>
  <si>
    <t>Total Assets</t>
  </si>
  <si>
    <t>Calculated Values</t>
  </si>
  <si>
    <t>Sales/Asset</t>
  </si>
  <si>
    <t>Percentage Change in Sales/Asset</t>
  </si>
  <si>
    <t>Sales/Employee</t>
  </si>
  <si>
    <t>Percentage Change in Sales/Employee</t>
  </si>
  <si>
    <t>Notes</t>
  </si>
  <si>
    <t>Sales/Asset = Total Revenue/Total Assets</t>
  </si>
  <si>
    <t>Sales/Employee = Total Revenue/Employee Count</t>
  </si>
  <si>
    <t>Operating Profit/Loss = Total Revenue - Total Expenses</t>
  </si>
  <si>
    <t>Total Percentage Change in Sales/Asset in 5 years</t>
  </si>
  <si>
    <t>Earnings Per Share (in INR)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</si>
</sst>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rgb="FFFA7D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2" borderId="3" applyNumberFormat="0" applyAlignment="0" applyProtection="0"/>
  </cellStyleXfs>
  <cellXfs count="9">
    <xf numFmtId="0" fontId="0" fillId="0" borderId="0" xfId="0"/>
    <xf numFmtId="0" fontId="1" fillId="0" borderId="0" xfId="0" applyFont="1"/>
    <xf numFmtId="4" fontId="0" fillId="0" borderId="0" xfId="0" applyNumberFormat="1"/>
    <xf numFmtId="3" fontId="0" fillId="0" borderId="0" xfId="0" applyNumberFormat="1"/>
    <xf numFmtId="0" fontId="3" fillId="0" borderId="1" xfId="2" applyFill="1"/>
    <xf numFmtId="0" fontId="1" fillId="0" borderId="0" xfId="0" applyFont="1" applyFill="1"/>
    <xf numFmtId="0" fontId="4" fillId="0" borderId="2" xfId="3" applyFill="1" applyAlignment="1"/>
    <xf numFmtId="0" fontId="5" fillId="2" borderId="3" xfId="4"/>
    <xf numFmtId="0" fontId="2" fillId="0" borderId="0" xfId="1"/>
  </cellXfs>
  <cellStyles count="5">
    <cellStyle name="Calculation" xfId="4" builtinId="22"/>
    <cellStyle name="Heading 1" xfId="2" builtinId="16"/>
    <cellStyle name="Heading 3" xfId="3" builtinId="18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4F3F7-3CAA-493D-B92B-F0CC70ED338C}">
  <dimension ref="A1:N37"/>
  <sheetViews>
    <sheetView topLeftCell="A19" workbookViewId="0">
      <selection activeCell="J37" sqref="J37:N37"/>
    </sheetView>
  </sheetViews>
  <sheetFormatPr defaultRowHeight="14.5" x14ac:dyDescent="0.35"/>
  <cols>
    <col min="1" max="1" width="24.08984375" style="1" customWidth="1"/>
    <col min="2" max="2" width="14.1796875" customWidth="1"/>
    <col min="3" max="3" width="14.90625" customWidth="1"/>
    <col min="4" max="4" width="14.08984375" customWidth="1"/>
    <col min="5" max="5" width="12.08984375" customWidth="1"/>
    <col min="6" max="6" width="13.08984375" customWidth="1"/>
    <col min="9" max="9" width="21.08984375" style="1" customWidth="1"/>
    <col min="10" max="10" width="12.36328125" customWidth="1"/>
    <col min="11" max="11" width="10.81640625" customWidth="1"/>
  </cols>
  <sheetData>
    <row r="1" spans="1:14" s="1" customFormat="1" x14ac:dyDescent="0.35">
      <c r="A1" s="1" t="s">
        <v>0</v>
      </c>
      <c r="J1" s="1" t="s">
        <v>7</v>
      </c>
    </row>
    <row r="3" spans="1:14" x14ac:dyDescent="0.35">
      <c r="B3" s="1" t="s">
        <v>6</v>
      </c>
      <c r="J3" s="1" t="s">
        <v>18</v>
      </c>
    </row>
    <row r="4" spans="1:14" s="1" customFormat="1" x14ac:dyDescent="0.35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J4" s="1" t="s">
        <v>1</v>
      </c>
      <c r="K4" s="1" t="s">
        <v>2</v>
      </c>
      <c r="L4" s="1" t="s">
        <v>3</v>
      </c>
      <c r="M4" s="1" t="s">
        <v>4</v>
      </c>
      <c r="N4" s="1" t="s">
        <v>5</v>
      </c>
    </row>
    <row r="5" spans="1:14" x14ac:dyDescent="0.35">
      <c r="A5" s="1" t="s">
        <v>13</v>
      </c>
      <c r="B5">
        <v>19539.8</v>
      </c>
      <c r="C5">
        <v>19012.7</v>
      </c>
      <c r="D5" s="2">
        <v>17774.8</v>
      </c>
      <c r="E5" s="2">
        <v>7614.8</v>
      </c>
      <c r="F5" s="2">
        <v>3815.9</v>
      </c>
      <c r="I5" s="1" t="s">
        <v>13</v>
      </c>
      <c r="J5" s="3">
        <v>116766</v>
      </c>
      <c r="K5" s="3">
        <v>104371</v>
      </c>
      <c r="L5" s="3">
        <v>94485</v>
      </c>
      <c r="M5" s="3">
        <v>51036</v>
      </c>
      <c r="N5" s="3">
        <v>45587</v>
      </c>
    </row>
    <row r="6" spans="1:14" x14ac:dyDescent="0.35">
      <c r="A6" s="1" t="s">
        <v>17</v>
      </c>
      <c r="B6" s="2">
        <v>17830.7</v>
      </c>
      <c r="C6" s="2">
        <v>16285.2</v>
      </c>
      <c r="D6" s="2">
        <v>15082.7</v>
      </c>
      <c r="E6" s="2">
        <v>8224.5</v>
      </c>
      <c r="F6" s="2">
        <v>6328.4</v>
      </c>
      <c r="I6" s="1" t="s">
        <v>17</v>
      </c>
      <c r="J6" s="3">
        <v>102693</v>
      </c>
      <c r="K6" s="3">
        <v>91194</v>
      </c>
      <c r="L6" s="3">
        <v>81486</v>
      </c>
      <c r="M6" s="3">
        <v>47565</v>
      </c>
      <c r="N6" s="3">
        <v>46037</v>
      </c>
    </row>
    <row r="7" spans="1:14" x14ac:dyDescent="0.35">
      <c r="A7" s="1" t="s">
        <v>20</v>
      </c>
      <c r="B7" s="2">
        <v>1709.1</v>
      </c>
      <c r="C7" s="2">
        <v>2727.5</v>
      </c>
      <c r="D7" s="2">
        <v>2692.1</v>
      </c>
      <c r="E7">
        <v>-609.70000000000005</v>
      </c>
      <c r="F7" s="2">
        <v>-2512.5</v>
      </c>
      <c r="I7" s="1" t="s">
        <v>20</v>
      </c>
      <c r="J7" s="3">
        <v>14458</v>
      </c>
      <c r="K7" s="3">
        <v>13928</v>
      </c>
      <c r="L7" s="3">
        <v>15125</v>
      </c>
      <c r="M7" s="3">
        <v>3471</v>
      </c>
      <c r="N7" s="3">
        <v>-1443</v>
      </c>
    </row>
    <row r="8" spans="1:14" x14ac:dyDescent="0.35">
      <c r="A8" s="1" t="s">
        <v>21</v>
      </c>
      <c r="B8" s="2">
        <v>2964.8</v>
      </c>
      <c r="C8" s="2">
        <v>3037.1</v>
      </c>
      <c r="D8" s="2">
        <v>2636.8</v>
      </c>
      <c r="E8" s="2">
        <v>-1090</v>
      </c>
      <c r="F8" s="2">
        <v>-4957.2</v>
      </c>
      <c r="I8" s="1" t="s">
        <v>21</v>
      </c>
      <c r="J8" s="3">
        <v>12310</v>
      </c>
      <c r="K8" s="3">
        <v>11203</v>
      </c>
      <c r="L8" s="3">
        <v>10858</v>
      </c>
      <c r="M8" s="3">
        <v>-6115</v>
      </c>
      <c r="N8" s="3">
        <v>-6057</v>
      </c>
    </row>
    <row r="9" spans="1:14" x14ac:dyDescent="0.35">
      <c r="A9" s="1" t="s">
        <v>8</v>
      </c>
      <c r="B9" s="2">
        <v>2812.2</v>
      </c>
      <c r="C9" s="2">
        <v>2695.1</v>
      </c>
      <c r="D9" s="2">
        <v>2218.9</v>
      </c>
      <c r="I9" s="1" t="s">
        <v>22</v>
      </c>
      <c r="J9" s="3">
        <v>10828</v>
      </c>
      <c r="K9" s="3">
        <v>9888</v>
      </c>
      <c r="L9" s="3">
        <v>9790</v>
      </c>
      <c r="M9" s="3">
        <v>-6622</v>
      </c>
      <c r="N9" s="3">
        <v>-5526</v>
      </c>
    </row>
    <row r="10" spans="1:14" x14ac:dyDescent="0.35">
      <c r="A10" s="1" t="s">
        <v>9</v>
      </c>
      <c r="B10">
        <v>89.3</v>
      </c>
      <c r="C10">
        <v>63.3</v>
      </c>
      <c r="D10">
        <v>35.6</v>
      </c>
      <c r="E10">
        <v>-16.2</v>
      </c>
      <c r="F10">
        <v>-102.6</v>
      </c>
      <c r="I10" s="1" t="s">
        <v>9</v>
      </c>
      <c r="J10">
        <v>165.5</v>
      </c>
      <c r="K10">
        <v>149.19999999999999</v>
      </c>
      <c r="L10">
        <v>140.80000000000001</v>
      </c>
      <c r="M10">
        <v>-112.4</v>
      </c>
      <c r="N10">
        <v>-95.1</v>
      </c>
    </row>
    <row r="11" spans="1:14" x14ac:dyDescent="0.35">
      <c r="A11" s="1" t="s">
        <v>14</v>
      </c>
      <c r="B11" s="2">
        <v>43086.8</v>
      </c>
      <c r="C11" s="2">
        <v>44264.7</v>
      </c>
      <c r="D11" s="2">
        <v>49101.2</v>
      </c>
      <c r="E11" s="2">
        <v>48671</v>
      </c>
      <c r="F11" s="2">
        <v>37581.300000000003</v>
      </c>
      <c r="I11" s="1" t="s">
        <v>14</v>
      </c>
      <c r="J11" s="3">
        <v>154521</v>
      </c>
      <c r="K11" s="3">
        <v>151998</v>
      </c>
      <c r="L11" s="3">
        <v>151366</v>
      </c>
      <c r="M11" s="3">
        <v>154578</v>
      </c>
      <c r="N11" s="3">
        <v>167730</v>
      </c>
    </row>
    <row r="12" spans="1:14" x14ac:dyDescent="0.35">
      <c r="A12" s="1" t="s">
        <v>11</v>
      </c>
      <c r="B12" s="2">
        <v>5.27</v>
      </c>
      <c r="C12">
        <v>5.49</v>
      </c>
      <c r="D12">
        <v>6.68</v>
      </c>
      <c r="E12">
        <v>7.55</v>
      </c>
      <c r="F12">
        <v>5.36</v>
      </c>
      <c r="I12" s="1" t="s">
        <v>11</v>
      </c>
      <c r="J12">
        <v>8.9</v>
      </c>
      <c r="K12">
        <v>8.1999999999999993</v>
      </c>
      <c r="L12">
        <v>7.8</v>
      </c>
      <c r="M12">
        <v>6.7</v>
      </c>
      <c r="N12">
        <v>8.1</v>
      </c>
    </row>
    <row r="14" spans="1:14" x14ac:dyDescent="0.35">
      <c r="A14" s="1" t="s">
        <v>15</v>
      </c>
      <c r="B14">
        <f>B5/B11</f>
        <v>0.45349851926808205</v>
      </c>
      <c r="C14">
        <f>C5/C11</f>
        <v>0.42952284777712268</v>
      </c>
      <c r="D14">
        <f>D5/D11</f>
        <v>0.36200337262633092</v>
      </c>
      <c r="E14">
        <f>E5/E11</f>
        <v>0.15645456226500382</v>
      </c>
      <c r="F14">
        <f>F5/F11</f>
        <v>0.10153720068225421</v>
      </c>
      <c r="I14" s="1" t="s">
        <v>15</v>
      </c>
      <c r="J14">
        <f>J5/J11</f>
        <v>0.75566427864173802</v>
      </c>
      <c r="K14">
        <f>K5/K11</f>
        <v>0.68666035079408938</v>
      </c>
      <c r="L14">
        <f t="shared" ref="L14:N14" si="0">L5/L11</f>
        <v>0.62421547771626384</v>
      </c>
      <c r="M14">
        <f t="shared" si="0"/>
        <v>0.33016341264604276</v>
      </c>
      <c r="N14">
        <f t="shared" si="0"/>
        <v>0.2717879926071663</v>
      </c>
    </row>
    <row r="15" spans="1:14" x14ac:dyDescent="0.35">
      <c r="A15" s="1" t="s">
        <v>12</v>
      </c>
      <c r="B15" s="3">
        <v>702340</v>
      </c>
      <c r="C15" s="3">
        <v>742133</v>
      </c>
      <c r="D15" s="3">
        <v>778947</v>
      </c>
      <c r="E15" s="3">
        <v>342793</v>
      </c>
      <c r="F15" s="3">
        <v>149368</v>
      </c>
      <c r="I15" s="1" t="s">
        <v>23</v>
      </c>
      <c r="J15">
        <f>J5/J18</f>
        <v>3.5383636363636364</v>
      </c>
      <c r="K15">
        <f t="shared" ref="K15:N15" si="1">K5/K18</f>
        <v>3.4674750830564784</v>
      </c>
      <c r="L15">
        <f t="shared" si="1"/>
        <v>3.9699579831932774</v>
      </c>
      <c r="M15">
        <f t="shared" si="1"/>
        <v>2.4073584905660379</v>
      </c>
      <c r="N15">
        <f t="shared" si="1"/>
        <v>2.1105092592592594</v>
      </c>
    </row>
    <row r="16" spans="1:14" x14ac:dyDescent="0.35">
      <c r="A16" s="1" t="s">
        <v>16</v>
      </c>
      <c r="B16">
        <f>B5/B18</f>
        <v>0.70233995902375901</v>
      </c>
      <c r="C16">
        <f>C5/C18</f>
        <v>0.74213279206838678</v>
      </c>
      <c r="D16">
        <f>D5/D18</f>
        <v>0.77894736842105261</v>
      </c>
      <c r="E16">
        <f>E5/E18</f>
        <v>0.34279283334833888</v>
      </c>
      <c r="F16">
        <f>F5/F18</f>
        <v>0.14936783183935493</v>
      </c>
    </row>
    <row r="18" spans="1:14" x14ac:dyDescent="0.35">
      <c r="A18" s="1" t="s">
        <v>10</v>
      </c>
      <c r="B18" s="3">
        <v>27821</v>
      </c>
      <c r="C18" s="3">
        <v>25619</v>
      </c>
      <c r="D18" s="3">
        <v>22819</v>
      </c>
      <c r="E18" s="3">
        <v>22214</v>
      </c>
      <c r="F18" s="3">
        <v>25547</v>
      </c>
      <c r="I18" s="1" t="s">
        <v>10</v>
      </c>
      <c r="J18" s="3">
        <v>33000</v>
      </c>
      <c r="K18" s="3">
        <v>30100</v>
      </c>
      <c r="L18" s="3">
        <v>23800</v>
      </c>
      <c r="M18" s="3">
        <v>21200</v>
      </c>
      <c r="N18" s="3">
        <v>21600</v>
      </c>
    </row>
    <row r="20" spans="1:14" x14ac:dyDescent="0.35">
      <c r="B20" s="1" t="s">
        <v>0</v>
      </c>
      <c r="J20" s="1" t="s">
        <v>7</v>
      </c>
      <c r="K20" s="1"/>
      <c r="L20" s="1"/>
      <c r="M20" s="1"/>
      <c r="N20" s="1"/>
    </row>
    <row r="22" spans="1:14" x14ac:dyDescent="0.35">
      <c r="B22" s="1" t="s">
        <v>19</v>
      </c>
      <c r="J22" s="1" t="s">
        <v>24</v>
      </c>
    </row>
    <row r="23" spans="1:14" x14ac:dyDescent="0.35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J23" s="1" t="s">
        <v>1</v>
      </c>
      <c r="K23" s="1" t="s">
        <v>2</v>
      </c>
      <c r="L23" s="1" t="s">
        <v>3</v>
      </c>
      <c r="M23" s="1" t="s">
        <v>4</v>
      </c>
      <c r="N23" s="1" t="s">
        <v>5</v>
      </c>
    </row>
    <row r="24" spans="1:14" x14ac:dyDescent="0.35">
      <c r="A24" s="1" t="s">
        <v>13</v>
      </c>
      <c r="B24" cm="1">
        <f t="array" ref="B24:F35">B5:F16*74.45</f>
        <v>1454738.11</v>
      </c>
      <c r="C24">
        <v>1415495.5150000001</v>
      </c>
      <c r="D24" s="2">
        <v>1323333.8600000001</v>
      </c>
      <c r="E24" s="2">
        <v>566921.86</v>
      </c>
      <c r="F24" s="2">
        <v>284093.755</v>
      </c>
      <c r="I24" s="1" t="s">
        <v>13</v>
      </c>
      <c r="J24" s="3" cm="1">
        <f t="array" ref="J24:N34">J5:N15*12.12</f>
        <v>1415203.92</v>
      </c>
      <c r="K24" s="3">
        <v>1264976.52</v>
      </c>
      <c r="L24" s="3">
        <v>1145158.2</v>
      </c>
      <c r="M24" s="3">
        <v>618556.31999999995</v>
      </c>
      <c r="N24" s="3">
        <v>552514.43999999994</v>
      </c>
    </row>
    <row r="25" spans="1:14" x14ac:dyDescent="0.35">
      <c r="A25" s="1" t="s">
        <v>17</v>
      </c>
      <c r="B25">
        <v>1327495.615</v>
      </c>
      <c r="C25">
        <v>1212433.1400000001</v>
      </c>
      <c r="D25" s="2">
        <v>1122907.0150000001</v>
      </c>
      <c r="E25" s="2">
        <v>612314.02500000002</v>
      </c>
      <c r="F25" s="2">
        <v>471149.38</v>
      </c>
      <c r="I25" s="1" t="s">
        <v>17</v>
      </c>
      <c r="J25" s="3">
        <v>1244639.1599999999</v>
      </c>
      <c r="K25" s="3">
        <v>1105271.28</v>
      </c>
      <c r="L25" s="3">
        <v>987610.32</v>
      </c>
      <c r="M25" s="3">
        <v>576487.79999999993</v>
      </c>
      <c r="N25" s="3">
        <v>557968.43999999994</v>
      </c>
    </row>
    <row r="26" spans="1:14" x14ac:dyDescent="0.35">
      <c r="A26" s="1" t="s">
        <v>20</v>
      </c>
      <c r="B26" s="2">
        <v>127242.495</v>
      </c>
      <c r="C26" s="2">
        <v>203062.375</v>
      </c>
      <c r="D26" s="2">
        <v>200426.845</v>
      </c>
      <c r="E26">
        <v>-45392.165000000008</v>
      </c>
      <c r="F26" s="2">
        <v>-187055.625</v>
      </c>
      <c r="I26" s="1" t="s">
        <v>20</v>
      </c>
      <c r="J26" s="3">
        <v>175230.96</v>
      </c>
      <c r="K26" s="3">
        <v>168807.36</v>
      </c>
      <c r="L26" s="3">
        <v>183315</v>
      </c>
      <c r="M26" s="3">
        <v>42068.52</v>
      </c>
      <c r="N26" s="3">
        <v>-17489.16</v>
      </c>
    </row>
    <row r="27" spans="1:14" x14ac:dyDescent="0.35">
      <c r="A27" s="1" t="s">
        <v>21</v>
      </c>
      <c r="B27" s="2">
        <v>220729.36000000002</v>
      </c>
      <c r="C27" s="2">
        <v>226112.095</v>
      </c>
      <c r="D27" s="2">
        <v>196309.76000000001</v>
      </c>
      <c r="E27" s="2">
        <v>-81150.5</v>
      </c>
      <c r="F27" s="2">
        <v>-369063.54</v>
      </c>
      <c r="I27" s="1" t="s">
        <v>21</v>
      </c>
      <c r="J27" s="3">
        <v>149197.19999999998</v>
      </c>
      <c r="K27" s="3">
        <v>135780.35999999999</v>
      </c>
      <c r="L27" s="3">
        <v>131598.96</v>
      </c>
      <c r="M27" s="3">
        <v>-74113.799999999988</v>
      </c>
      <c r="N27" s="3">
        <v>-73410.84</v>
      </c>
    </row>
    <row r="28" spans="1:14" x14ac:dyDescent="0.35">
      <c r="A28" s="1" t="s">
        <v>8</v>
      </c>
      <c r="B28" s="2">
        <v>209368.29</v>
      </c>
      <c r="C28" s="2">
        <v>200650.19500000001</v>
      </c>
      <c r="D28" s="2">
        <v>165197.10500000001</v>
      </c>
      <c r="E28">
        <v>0</v>
      </c>
      <c r="F28">
        <v>0</v>
      </c>
      <c r="I28" s="1" t="s">
        <v>22</v>
      </c>
      <c r="J28" s="3">
        <v>131235.35999999999</v>
      </c>
      <c r="K28" s="3">
        <v>119842.56</v>
      </c>
      <c r="L28" s="3">
        <v>118654.79999999999</v>
      </c>
      <c r="M28" s="3">
        <v>-80258.64</v>
      </c>
      <c r="N28" s="3">
        <v>-66975.12</v>
      </c>
    </row>
    <row r="29" spans="1:14" x14ac:dyDescent="0.35">
      <c r="A29" s="1" t="s">
        <v>9</v>
      </c>
      <c r="B29">
        <v>6648.3850000000002</v>
      </c>
      <c r="C29">
        <v>4712.6850000000004</v>
      </c>
      <c r="D29">
        <v>2650.42</v>
      </c>
      <c r="E29">
        <v>-1206.0899999999999</v>
      </c>
      <c r="F29">
        <v>-7638.57</v>
      </c>
      <c r="I29" s="1" t="s">
        <v>9</v>
      </c>
      <c r="J29">
        <v>2005.86</v>
      </c>
      <c r="K29">
        <v>1808.3039999999996</v>
      </c>
      <c r="L29">
        <v>1706.4960000000001</v>
      </c>
      <c r="M29">
        <v>-1362.288</v>
      </c>
      <c r="N29">
        <v>-1152.6119999999999</v>
      </c>
    </row>
    <row r="30" spans="1:14" x14ac:dyDescent="0.35">
      <c r="A30" s="1" t="s">
        <v>14</v>
      </c>
      <c r="B30" s="2">
        <v>3207812.2600000002</v>
      </c>
      <c r="C30" s="2">
        <v>3295506.915</v>
      </c>
      <c r="D30" s="2">
        <v>3655584.34</v>
      </c>
      <c r="E30" s="2">
        <v>3623555.95</v>
      </c>
      <c r="F30" s="2">
        <v>2797927.7850000001</v>
      </c>
      <c r="I30" s="1" t="s">
        <v>14</v>
      </c>
      <c r="J30" s="3">
        <v>1872794.5199999998</v>
      </c>
      <c r="K30" s="3">
        <v>1842215.7599999998</v>
      </c>
      <c r="L30" s="3">
        <v>1834555.92</v>
      </c>
      <c r="M30" s="3">
        <v>1873485.3599999999</v>
      </c>
      <c r="N30" s="3">
        <v>2032887.5999999999</v>
      </c>
    </row>
    <row r="31" spans="1:14" x14ac:dyDescent="0.35">
      <c r="A31" s="1" t="s">
        <v>11</v>
      </c>
      <c r="B31" s="2">
        <v>392.35149999999999</v>
      </c>
      <c r="C31">
        <v>408.73050000000001</v>
      </c>
      <c r="D31">
        <v>497.32600000000002</v>
      </c>
      <c r="E31">
        <v>562.09749999999997</v>
      </c>
      <c r="F31">
        <v>399.05200000000002</v>
      </c>
      <c r="I31" s="1" t="s">
        <v>11</v>
      </c>
      <c r="J31">
        <v>107.86799999999999</v>
      </c>
      <c r="K31">
        <v>99.383999999999986</v>
      </c>
      <c r="L31">
        <v>94.535999999999987</v>
      </c>
      <c r="M31">
        <v>81.203999999999994</v>
      </c>
      <c r="N31">
        <v>98.171999999999983</v>
      </c>
    </row>
    <row r="32" spans="1:14" x14ac:dyDescent="0.35">
      <c r="B32">
        <v>0</v>
      </c>
      <c r="C32">
        <v>0</v>
      </c>
      <c r="D32">
        <v>0</v>
      </c>
      <c r="E32">
        <v>0</v>
      </c>
      <c r="F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35">
      <c r="A33" s="1" t="s">
        <v>15</v>
      </c>
      <c r="B33">
        <v>33.762964759508712</v>
      </c>
      <c r="C33">
        <v>31.977976017006785</v>
      </c>
      <c r="D33">
        <v>26.951151092030337</v>
      </c>
      <c r="E33">
        <v>11.648042160629535</v>
      </c>
      <c r="F33">
        <v>7.5594445907938255</v>
      </c>
      <c r="I33" s="1" t="s">
        <v>15</v>
      </c>
      <c r="J33">
        <v>9.158651057137865</v>
      </c>
      <c r="K33">
        <v>8.3223234516243636</v>
      </c>
      <c r="L33">
        <v>7.565491589921117</v>
      </c>
      <c r="M33">
        <v>4.0015805612700381</v>
      </c>
      <c r="N33">
        <v>3.2940704703988555</v>
      </c>
    </row>
    <row r="34" spans="1:14" x14ac:dyDescent="0.35">
      <c r="A34" s="1" t="s">
        <v>12</v>
      </c>
      <c r="B34" s="3">
        <v>52289213</v>
      </c>
      <c r="C34" s="3">
        <v>55251801.850000001</v>
      </c>
      <c r="D34" s="3">
        <v>57992604.149999999</v>
      </c>
      <c r="E34" s="3">
        <v>25520938.850000001</v>
      </c>
      <c r="F34" s="3">
        <v>11120447.6</v>
      </c>
      <c r="I34" s="1" t="s">
        <v>23</v>
      </c>
      <c r="J34">
        <v>42.884967272727273</v>
      </c>
      <c r="K34">
        <v>42.025798006644514</v>
      </c>
      <c r="L34">
        <v>48.11589075630252</v>
      </c>
      <c r="M34">
        <v>29.177184905660379</v>
      </c>
      <c r="N34">
        <v>25.579372222222222</v>
      </c>
    </row>
    <row r="35" spans="1:14" x14ac:dyDescent="0.35">
      <c r="A35" s="1" t="s">
        <v>16</v>
      </c>
      <c r="B35">
        <v>52.28920994931886</v>
      </c>
      <c r="C35">
        <v>55.251786369491398</v>
      </c>
      <c r="D35">
        <v>57.992631578947368</v>
      </c>
      <c r="E35">
        <v>25.520926442783832</v>
      </c>
      <c r="F35">
        <v>11.120435080439975</v>
      </c>
    </row>
    <row r="37" spans="1:14" x14ac:dyDescent="0.35">
      <c r="A37" s="1" t="s">
        <v>10</v>
      </c>
      <c r="B37" s="3">
        <v>27821</v>
      </c>
      <c r="C37" s="3">
        <v>25619</v>
      </c>
      <c r="D37" s="3">
        <v>22819</v>
      </c>
      <c r="E37" s="3">
        <v>22214</v>
      </c>
      <c r="F37" s="3">
        <v>25547</v>
      </c>
      <c r="I37" s="1" t="s">
        <v>10</v>
      </c>
      <c r="J37" s="3">
        <v>33000</v>
      </c>
      <c r="K37" s="3">
        <v>30100</v>
      </c>
      <c r="L37" s="3">
        <v>23800</v>
      </c>
      <c r="M37" s="3">
        <v>21200</v>
      </c>
      <c r="N37" s="3">
        <v>21600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D2C4C-5C63-4FB4-9566-1572E2154B5D}">
  <dimension ref="A1:O27"/>
  <sheetViews>
    <sheetView tabSelected="1" workbookViewId="0">
      <selection activeCell="F8" sqref="F8"/>
    </sheetView>
  </sheetViews>
  <sheetFormatPr defaultRowHeight="14.5" x14ac:dyDescent="0.35"/>
  <cols>
    <col min="1" max="1" width="24.08984375" style="1" customWidth="1"/>
    <col min="2" max="6" width="11.453125" bestFit="1" customWidth="1"/>
    <col min="10" max="10" width="26.08984375" customWidth="1"/>
    <col min="11" max="11" width="11.453125" bestFit="1" customWidth="1"/>
    <col min="12" max="12" width="11.26953125" customWidth="1"/>
    <col min="13" max="13" width="12.453125" customWidth="1"/>
    <col min="14" max="14" width="12.08984375" customWidth="1"/>
    <col min="15" max="15" width="11.81640625" customWidth="1"/>
  </cols>
  <sheetData>
    <row r="1" spans="1:15" s="5" customFormat="1" ht="20" thickBot="1" x14ac:dyDescent="0.5">
      <c r="A1" s="4" t="s">
        <v>0</v>
      </c>
      <c r="J1" s="4" t="s">
        <v>7</v>
      </c>
    </row>
    <row r="2" spans="1:15" ht="15" thickTop="1" x14ac:dyDescent="0.35">
      <c r="J2" s="1"/>
    </row>
    <row r="3" spans="1:15" ht="15" thickBot="1" x14ac:dyDescent="0.4">
      <c r="A3" s="6" t="s">
        <v>26</v>
      </c>
      <c r="J3" s="6" t="s">
        <v>27</v>
      </c>
    </row>
    <row r="4" spans="1:15" ht="15" thickBot="1" x14ac:dyDescent="0.4">
      <c r="A4" s="6"/>
      <c r="J4" s="6"/>
    </row>
    <row r="5" spans="1:15" x14ac:dyDescent="0.35">
      <c r="B5" s="7">
        <v>2025</v>
      </c>
      <c r="C5" s="7">
        <v>2024</v>
      </c>
      <c r="D5" s="7">
        <v>2023</v>
      </c>
      <c r="E5" s="7">
        <v>2022</v>
      </c>
      <c r="F5" s="7">
        <v>2021</v>
      </c>
      <c r="J5" s="1"/>
      <c r="K5" s="7">
        <v>2025</v>
      </c>
      <c r="L5" s="7">
        <v>2024</v>
      </c>
      <c r="M5" s="7">
        <v>2023</v>
      </c>
      <c r="N5" s="7">
        <v>2022</v>
      </c>
      <c r="O5" s="7">
        <v>2021</v>
      </c>
    </row>
    <row r="6" spans="1:15" x14ac:dyDescent="0.35">
      <c r="A6" s="7" t="s">
        <v>25</v>
      </c>
      <c r="B6" s="2">
        <v>1454738.11</v>
      </c>
      <c r="C6" s="2">
        <v>1415495.52</v>
      </c>
      <c r="D6" s="2">
        <v>1323333.8600000001</v>
      </c>
      <c r="E6" s="2">
        <v>566921.86</v>
      </c>
      <c r="F6" s="2">
        <v>284093.76</v>
      </c>
      <c r="J6" s="7" t="s">
        <v>25</v>
      </c>
      <c r="K6" s="2">
        <f>Sheet1!J5*12.12</f>
        <v>1415203.92</v>
      </c>
      <c r="L6" s="2">
        <f>Sheet1!K5*12.12</f>
        <v>1264976.52</v>
      </c>
      <c r="M6" s="2">
        <f>Sheet1!L5*12.12</f>
        <v>1145158.2</v>
      </c>
      <c r="N6" s="2">
        <f>Sheet1!M5*12.12</f>
        <v>618556.31999999995</v>
      </c>
      <c r="O6" s="2">
        <f>Sheet1!N5*12.12</f>
        <v>552514.43999999994</v>
      </c>
    </row>
    <row r="7" spans="1:15" x14ac:dyDescent="0.35">
      <c r="A7" s="7" t="s">
        <v>17</v>
      </c>
      <c r="B7" s="2">
        <v>1327495.6200000001</v>
      </c>
      <c r="C7" s="2">
        <v>1212433.1399999999</v>
      </c>
      <c r="D7" s="2">
        <v>1122907.02</v>
      </c>
      <c r="E7" s="2">
        <v>612314.03</v>
      </c>
      <c r="F7" s="2">
        <v>471149.38</v>
      </c>
      <c r="J7" s="7" t="s">
        <v>17</v>
      </c>
      <c r="K7" s="2">
        <f>Sheet1!J6*12.12</f>
        <v>1244639.1599999999</v>
      </c>
      <c r="L7" s="2">
        <f>Sheet1!K6*12.12</f>
        <v>1105271.28</v>
      </c>
      <c r="M7" s="2">
        <f>Sheet1!L6*12.12</f>
        <v>987610.32</v>
      </c>
      <c r="N7" s="2">
        <f>Sheet1!M6*12.12</f>
        <v>576487.79999999993</v>
      </c>
      <c r="O7" s="2">
        <f>Sheet1!N6*12.12</f>
        <v>557968.43999999994</v>
      </c>
    </row>
    <row r="8" spans="1:15" x14ac:dyDescent="0.35">
      <c r="A8" s="7" t="s">
        <v>28</v>
      </c>
      <c r="B8" s="2">
        <v>127242.5</v>
      </c>
      <c r="C8" s="2">
        <v>203062.38</v>
      </c>
      <c r="D8" s="2">
        <v>200426.85</v>
      </c>
      <c r="E8" s="2">
        <v>-45392.17</v>
      </c>
      <c r="F8" s="2">
        <f>Sheet1!F7*74.45</f>
        <v>-187055.625</v>
      </c>
      <c r="J8" s="7" t="s">
        <v>28</v>
      </c>
      <c r="K8" s="2">
        <f>Sheet1!J7*12.12</f>
        <v>175230.96</v>
      </c>
      <c r="L8" s="2">
        <f>Sheet1!K7*12.12</f>
        <v>168807.36</v>
      </c>
      <c r="M8" s="2">
        <f>Sheet1!L7*12.12</f>
        <v>183315</v>
      </c>
      <c r="N8" s="2">
        <f>Sheet1!M7*12.12</f>
        <v>42068.52</v>
      </c>
      <c r="O8" s="2">
        <f>Sheet1!N7*12.12</f>
        <v>-17489.16</v>
      </c>
    </row>
    <row r="9" spans="1:15" x14ac:dyDescent="0.35">
      <c r="A9" s="7" t="s">
        <v>29</v>
      </c>
      <c r="B9" s="2">
        <f>Sheet1!B8*74.45</f>
        <v>220729.36000000002</v>
      </c>
      <c r="C9" s="2">
        <f>Sheet1!C8*74.45</f>
        <v>226112.095</v>
      </c>
      <c r="D9" s="2">
        <f>Sheet1!D8*74.45</f>
        <v>196309.76000000001</v>
      </c>
      <c r="E9" s="2">
        <f>Sheet1!E8*74.45</f>
        <v>-81150.5</v>
      </c>
      <c r="F9" s="2">
        <f>Sheet1!F8*74.45</f>
        <v>-369063.54</v>
      </c>
      <c r="J9" s="7" t="s">
        <v>29</v>
      </c>
      <c r="K9" s="2">
        <f>Sheet1!J8*12.12</f>
        <v>149197.19999999998</v>
      </c>
      <c r="L9" s="2">
        <f>Sheet1!K8*12.12</f>
        <v>135780.35999999999</v>
      </c>
      <c r="M9" s="2">
        <f>Sheet1!L8*12.12</f>
        <v>131598.96</v>
      </c>
      <c r="N9" s="2">
        <f>Sheet1!M8*12.12</f>
        <v>-74113.799999999988</v>
      </c>
      <c r="O9" s="2">
        <f>Sheet1!N8*12.12</f>
        <v>-73410.84</v>
      </c>
    </row>
    <row r="10" spans="1:15" x14ac:dyDescent="0.35">
      <c r="A10" s="7" t="s">
        <v>22</v>
      </c>
      <c r="B10" s="2">
        <f>Sheet1!B9*74.45</f>
        <v>209368.29</v>
      </c>
      <c r="C10" s="2">
        <f>Sheet1!C9*74.45</f>
        <v>200650.19500000001</v>
      </c>
      <c r="D10" s="2">
        <f>Sheet1!D9*74.45</f>
        <v>165197.10500000001</v>
      </c>
      <c r="E10" s="2"/>
      <c r="F10" s="2"/>
      <c r="J10" s="7" t="s">
        <v>22</v>
      </c>
      <c r="K10" s="2">
        <f>Sheet1!J9*12.12</f>
        <v>131235.35999999999</v>
      </c>
      <c r="L10" s="2">
        <f>Sheet1!K9*12.12</f>
        <v>119842.56</v>
      </c>
      <c r="M10" s="2">
        <f>Sheet1!L9*12.12</f>
        <v>118654.79999999999</v>
      </c>
      <c r="N10" s="2">
        <f>Sheet1!M9*12.12</f>
        <v>-80258.64</v>
      </c>
      <c r="O10" s="2">
        <f>Sheet1!N9*12.12</f>
        <v>-66975.12</v>
      </c>
    </row>
    <row r="11" spans="1:15" x14ac:dyDescent="0.35">
      <c r="A11" s="7" t="s">
        <v>41</v>
      </c>
      <c r="B11" s="2">
        <f>Sheet1!B10*74.45/100</f>
        <v>66.483850000000004</v>
      </c>
      <c r="C11" s="2">
        <f>Sheet1!C10*74.45/100</f>
        <v>47.126850000000005</v>
      </c>
      <c r="D11" s="2">
        <f>Sheet1!D10*74.45/100</f>
        <v>26.504200000000001</v>
      </c>
      <c r="E11" s="2">
        <f>Sheet1!E10*74.45/100</f>
        <v>-12.060899999999998</v>
      </c>
      <c r="F11" s="2">
        <f>Sheet1!F10*74.45/100</f>
        <v>-76.3857</v>
      </c>
      <c r="J11" s="7" t="s">
        <v>41</v>
      </c>
      <c r="K11" s="2">
        <f>Sheet1!J10*12.12/100</f>
        <v>20.058599999999998</v>
      </c>
      <c r="L11" s="2">
        <f>Sheet1!K10*12.12/100</f>
        <v>18.083039999999997</v>
      </c>
      <c r="M11" s="2">
        <f>Sheet1!L10*12.12/100</f>
        <v>17.064959999999999</v>
      </c>
      <c r="N11" s="2">
        <f>Sheet1!M10*12.12/100</f>
        <v>-13.62288</v>
      </c>
      <c r="O11" s="2">
        <f>Sheet1!N10*12.12/100</f>
        <v>-11.526119999999999</v>
      </c>
    </row>
    <row r="12" spans="1:15" x14ac:dyDescent="0.35">
      <c r="A12" s="7" t="s">
        <v>30</v>
      </c>
      <c r="B12" s="2">
        <f>Sheet1!B11*74.45</f>
        <v>3207812.2600000002</v>
      </c>
      <c r="C12" s="2">
        <f>Sheet1!C11*74.45</f>
        <v>3295506.915</v>
      </c>
      <c r="D12" s="2">
        <f>Sheet1!D11*74.45</f>
        <v>3655584.34</v>
      </c>
      <c r="E12" s="2">
        <f>Sheet1!E11*74.45</f>
        <v>3623555.95</v>
      </c>
      <c r="F12" s="2">
        <f>Sheet1!F11*74.45</f>
        <v>2797927.7850000001</v>
      </c>
      <c r="J12" s="7" t="s">
        <v>30</v>
      </c>
      <c r="K12" s="2">
        <f>Sheet1!J11*12.12</f>
        <v>1872794.5199999998</v>
      </c>
      <c r="L12" s="2">
        <f>Sheet1!K11*12.12</f>
        <v>1842215.7599999998</v>
      </c>
      <c r="M12" s="2">
        <f>Sheet1!L11*12.12</f>
        <v>1834555.92</v>
      </c>
      <c r="N12" s="2">
        <f>Sheet1!M11*12.12</f>
        <v>1873485.3599999999</v>
      </c>
      <c r="O12" s="2">
        <f>Sheet1!N11*12.12</f>
        <v>2032887.5999999999</v>
      </c>
    </row>
    <row r="13" spans="1:15" x14ac:dyDescent="0.35">
      <c r="A13" s="7" t="s">
        <v>10</v>
      </c>
      <c r="B13" s="2">
        <v>27821</v>
      </c>
      <c r="C13" s="2">
        <v>25619</v>
      </c>
      <c r="D13" s="2">
        <v>22819</v>
      </c>
      <c r="E13" s="2">
        <v>22214</v>
      </c>
      <c r="F13" s="2">
        <v>25547</v>
      </c>
      <c r="J13" s="7" t="s">
        <v>10</v>
      </c>
      <c r="K13" s="2">
        <v>33000</v>
      </c>
      <c r="L13" s="2">
        <v>30100</v>
      </c>
      <c r="M13" s="2">
        <v>23800</v>
      </c>
      <c r="N13" s="2">
        <v>21200</v>
      </c>
      <c r="O13" s="2">
        <v>21600</v>
      </c>
    </row>
    <row r="15" spans="1:15" ht="23.5" x14ac:dyDescent="0.55000000000000004">
      <c r="A15" s="8" t="s">
        <v>31</v>
      </c>
    </row>
    <row r="16" spans="1:15" x14ac:dyDescent="0.35">
      <c r="J16" s="7" t="s">
        <v>32</v>
      </c>
      <c r="K16">
        <f>K6/K12</f>
        <v>0.75566427864173802</v>
      </c>
      <c r="L16">
        <f>L6/L12</f>
        <v>0.68666035079408949</v>
      </c>
      <c r="M16">
        <f>M6/M12</f>
        <v>0.62421547771626384</v>
      </c>
      <c r="N16">
        <f>N6/N12</f>
        <v>0.33016341264604276</v>
      </c>
      <c r="O16">
        <f>O6/O12</f>
        <v>0.2717879926071663</v>
      </c>
    </row>
    <row r="17" spans="1:15" x14ac:dyDescent="0.35">
      <c r="A17" s="7" t="s">
        <v>32</v>
      </c>
      <c r="B17">
        <f>B6/B12</f>
        <v>0.4534985192680821</v>
      </c>
      <c r="C17">
        <f>C6/C12</f>
        <v>0.42952284929433987</v>
      </c>
      <c r="D17">
        <f>D6/D12</f>
        <v>0.36200337262633098</v>
      </c>
      <c r="E17">
        <f>E6/E12</f>
        <v>0.15645456226500379</v>
      </c>
      <c r="F17">
        <f>F6/F12</f>
        <v>0.10153720246929103</v>
      </c>
      <c r="J17" s="7" t="s">
        <v>33</v>
      </c>
      <c r="K17">
        <f>(K16-L16)/L16%</f>
        <v>10.049208137305266</v>
      </c>
      <c r="L17">
        <f t="shared" ref="L17:N17" si="0">(L16-M16)/M16%</f>
        <v>10.003736739480507</v>
      </c>
      <c r="M17">
        <f t="shared" si="0"/>
        <v>89.062583498755075</v>
      </c>
      <c r="N17">
        <f t="shared" si="0"/>
        <v>21.478292502513327</v>
      </c>
    </row>
    <row r="18" spans="1:15" x14ac:dyDescent="0.35">
      <c r="A18" s="7" t="s">
        <v>33</v>
      </c>
      <c r="B18">
        <f>(B17-C17)/C17%</f>
        <v>5.5819312088126845</v>
      </c>
      <c r="C18">
        <f t="shared" ref="C18:E18" si="1">(C17-D17)/D17%</f>
        <v>18.65161536428673</v>
      </c>
      <c r="D18">
        <f t="shared" si="1"/>
        <v>131.3792371315879</v>
      </c>
      <c r="E18">
        <f t="shared" si="1"/>
        <v>54.085949248327964</v>
      </c>
      <c r="J18" s="7" t="s">
        <v>40</v>
      </c>
      <c r="K18">
        <f>(K16-O16)/O16%</f>
        <v>178.03446038690572</v>
      </c>
    </row>
    <row r="19" spans="1:15" x14ac:dyDescent="0.35">
      <c r="A19" s="7" t="s">
        <v>40</v>
      </c>
      <c r="B19">
        <f>(B17-F17)/F17%</f>
        <v>346.63286779566181</v>
      </c>
      <c r="J19" s="7" t="s">
        <v>34</v>
      </c>
      <c r="K19">
        <f>K6/K13</f>
        <v>42.884967272727273</v>
      </c>
      <c r="L19">
        <f>L6/L13</f>
        <v>42.025798006644521</v>
      </c>
      <c r="M19">
        <f>M6/M13</f>
        <v>48.11589075630252</v>
      </c>
      <c r="N19">
        <f>N6/N13</f>
        <v>29.177184905660376</v>
      </c>
      <c r="O19">
        <f>O6/O13</f>
        <v>25.579372222222219</v>
      </c>
    </row>
    <row r="20" spans="1:15" x14ac:dyDescent="0.35">
      <c r="A20" s="7" t="s">
        <v>34</v>
      </c>
      <c r="B20">
        <f>B6/B13</f>
        <v>52.289209949318867</v>
      </c>
      <c r="C20">
        <f>C6/C13</f>
        <v>55.251786564659042</v>
      </c>
      <c r="D20">
        <f>D6/D13</f>
        <v>57.992631578947375</v>
      </c>
      <c r="E20">
        <f>E6/E13</f>
        <v>25.520926442783828</v>
      </c>
      <c r="F20">
        <f>F6/F13</f>
        <v>11.12043527615767</v>
      </c>
      <c r="J20" s="7" t="s">
        <v>35</v>
      </c>
      <c r="K20">
        <f>(K19-L19)/L19%</f>
        <v>2.0443853700217955</v>
      </c>
      <c r="L20">
        <f t="shared" ref="L20:N20" si="2">(L19-M19)/M19%</f>
        <v>-12.657133961216918</v>
      </c>
      <c r="M20">
        <f t="shared" si="2"/>
        <v>64.909297836228319</v>
      </c>
      <c r="N20">
        <f t="shared" si="2"/>
        <v>14.065289218914206</v>
      </c>
    </row>
    <row r="21" spans="1:15" x14ac:dyDescent="0.35">
      <c r="A21" s="7" t="s">
        <v>35</v>
      </c>
      <c r="B21">
        <f>(B20-C20)/C20%</f>
        <v>-5.3619562362443896</v>
      </c>
      <c r="C21">
        <f t="shared" ref="C21:E21" si="3">(C20-D20)/D20%</f>
        <v>-4.7261952763035513</v>
      </c>
      <c r="D21">
        <f t="shared" si="3"/>
        <v>127.23560490236468</v>
      </c>
      <c r="E21">
        <f t="shared" si="3"/>
        <v>129.49575092173743</v>
      </c>
    </row>
    <row r="23" spans="1:15" ht="23.5" x14ac:dyDescent="0.55000000000000004">
      <c r="A23" s="8" t="s">
        <v>36</v>
      </c>
    </row>
    <row r="25" spans="1:15" x14ac:dyDescent="0.35">
      <c r="A25" s="1" t="s">
        <v>37</v>
      </c>
    </row>
    <row r="26" spans="1:15" x14ac:dyDescent="0.35">
      <c r="A26" s="1" t="s">
        <v>38</v>
      </c>
    </row>
    <row r="27" spans="1:15" x14ac:dyDescent="0.35">
      <c r="A27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suhaila</dc:creator>
  <cp:lastModifiedBy>suhaila</cp:lastModifiedBy>
  <dcterms:created xsi:type="dcterms:W3CDTF">2026-05-29T13:52:22Z</dcterms:created>
  <dcterms:modified xsi:type="dcterms:W3CDTF">2026-05-30T19:29:25Z</dcterms:modified>
</cp:coreProperties>
</file>