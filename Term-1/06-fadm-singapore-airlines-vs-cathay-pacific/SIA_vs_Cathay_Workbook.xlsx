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eNeT\OneDrive\Desktop\"/>
    </mc:Choice>
  </mc:AlternateContent>
  <xr:revisionPtr revIDLastSave="0" documentId="13_ncr:1_{37196A1D-F1C0-4094-8D8C-F9CF681CFE65}" xr6:coauthVersionLast="47" xr6:coauthVersionMax="47" xr10:uidLastSave="{00000000-0000-0000-0000-000000000000}"/>
  <bookViews>
    <workbookView xWindow="12710" yWindow="0" windowWidth="12980" windowHeight="15370" tabRatio="500" firstSheet="21" activeTab="21" xr2:uid="{00000000-000D-0000-FFFF-FFFF00000000}"/>
  </bookViews>
  <sheets>
    <sheet name="Cover" sheetId="1" r:id="rId1"/>
    <sheet name="Executive Summary" sheetId="2" r:id="rId2"/>
    <sheet name="Company Overview" sheetId="3" r:id="rId3"/>
    <sheet name="Financial Statements" sheetId="4" r:id="rId4"/>
    <sheet name="Efficiency Metrics" sheetId="5" r:id="rId5"/>
    <sheet name="Segment Analysis" sheetId="6" r:id="rId6"/>
    <sheet name="Acquisitions &amp; Strategy" sheetId="7" r:id="rId7"/>
    <sheet name="Shareholding &amp; Governance" sheetId="8" r:id="rId8"/>
    <sheet name="Stock Market Analysis" sheetId="9" r:id="rId9"/>
    <sheet name="Charts Data" sheetId="10" r:id="rId10"/>
    <sheet name="Assumptions &amp; Notes" sheetId="11" r:id="rId11"/>
    <sheet name="Part 2" sheetId="18" r:id="rId12"/>
    <sheet name="Profit Ratios" sheetId="13" r:id="rId13"/>
    <sheet name="Extended Ratios" sheetId="12" r:id="rId14"/>
    <sheet name="Expense Analysis" sheetId="14" r:id="rId15"/>
    <sheet name="Growth Trends" sheetId="16" r:id="rId16"/>
    <sheet name="Notes and assumptions Part 2" sheetId="15" r:id="rId17"/>
    <sheet name="Cover_Part 3" sheetId="19" r:id="rId18"/>
    <sheet name="SIA_CFS" sheetId="21" r:id="rId19"/>
    <sheet name="Cathay_CFS" sheetId="22" r:id="rId20"/>
    <sheet name="Comparison_INR" sheetId="23" r:id="rId21"/>
    <sheet name="Analysis_Commentary" sheetId="24" r:id="rId2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 i="22" l="1"/>
  <c r="C12" i="22"/>
  <c r="D12" i="22"/>
  <c r="B19" i="22"/>
  <c r="C19" i="22"/>
  <c r="D19" i="22"/>
  <c r="B48" i="22"/>
  <c r="C48" i="22"/>
  <c r="D48" i="22"/>
  <c r="B13" i="21"/>
  <c r="C13" i="21"/>
  <c r="D13" i="21"/>
  <c r="B20" i="21"/>
  <c r="C20" i="21"/>
  <c r="D20" i="21"/>
  <c r="B52" i="21"/>
  <c r="C52" i="21"/>
  <c r="D52" i="21"/>
  <c r="D10" i="12"/>
  <c r="E10" i="12"/>
  <c r="D11" i="12"/>
  <c r="E11" i="12"/>
  <c r="D12" i="12"/>
  <c r="E12" i="12"/>
  <c r="D15" i="12"/>
  <c r="E15" i="12"/>
  <c r="C40" i="12" s="1"/>
  <c r="D16" i="12"/>
  <c r="E16" i="12"/>
  <c r="C41" i="12" s="1"/>
  <c r="D17" i="12"/>
  <c r="E17" i="12"/>
  <c r="C42" i="12" s="1"/>
  <c r="D18" i="12"/>
  <c r="E18" i="12"/>
  <c r="C43" i="12" s="1"/>
  <c r="D27" i="12"/>
  <c r="E27" i="12"/>
  <c r="E32" i="12" s="1"/>
  <c r="D40" i="12" s="1"/>
  <c r="D28" i="12"/>
  <c r="D33" i="12" s="1"/>
  <c r="E28" i="12"/>
  <c r="D29" i="12"/>
  <c r="D35" i="12" s="1"/>
  <c r="E29" i="12"/>
  <c r="E35" i="12" s="1"/>
  <c r="D43" i="12" s="1"/>
  <c r="D32" i="12"/>
  <c r="E33" i="12"/>
  <c r="D41" i="12" s="1"/>
  <c r="D34" i="12"/>
  <c r="E34" i="12"/>
  <c r="D42" i="12" s="1"/>
  <c r="D69" i="9"/>
  <c r="C69" i="9"/>
  <c r="D68" i="9"/>
  <c r="C68" i="9"/>
  <c r="D67" i="9"/>
  <c r="C67" i="9"/>
  <c r="D66" i="9"/>
  <c r="C66" i="9"/>
  <c r="D65" i="9"/>
  <c r="C65" i="9"/>
  <c r="D60" i="9"/>
  <c r="D59" i="9"/>
  <c r="D58" i="9"/>
  <c r="H57" i="9"/>
  <c r="D57" i="9"/>
  <c r="H56" i="9"/>
  <c r="D56" i="9"/>
  <c r="H55" i="9"/>
  <c r="D55" i="9"/>
  <c r="H54" i="9"/>
  <c r="D54" i="9"/>
  <c r="H53" i="9"/>
  <c r="D53" i="9"/>
  <c r="H52" i="9"/>
  <c r="D52" i="9"/>
  <c r="H51" i="9"/>
  <c r="D51" i="9"/>
  <c r="H50" i="9"/>
  <c r="D50" i="9"/>
  <c r="H49" i="9"/>
  <c r="D49" i="9"/>
  <c r="H48" i="9"/>
  <c r="D48" i="9"/>
  <c r="H47" i="9"/>
  <c r="D47" i="9"/>
  <c r="H46" i="9"/>
  <c r="D46" i="9"/>
  <c r="H45" i="9"/>
  <c r="D45" i="9"/>
  <c r="H44" i="9"/>
  <c r="D44" i="9"/>
  <c r="H43" i="9"/>
  <c r="D43" i="9"/>
  <c r="H42" i="9"/>
  <c r="D42" i="9"/>
  <c r="H41" i="9"/>
  <c r="D41" i="9"/>
  <c r="H40" i="9"/>
  <c r="D40" i="9"/>
  <c r="H39" i="9"/>
  <c r="D39" i="9"/>
  <c r="H38" i="9"/>
  <c r="D38" i="9"/>
  <c r="H37" i="9"/>
  <c r="D37" i="9"/>
  <c r="H36" i="9"/>
  <c r="D36" i="9"/>
  <c r="H35" i="9"/>
  <c r="D35" i="9"/>
  <c r="H34" i="9"/>
  <c r="D34" i="9"/>
  <c r="H33" i="9"/>
  <c r="D33" i="9"/>
  <c r="H32" i="9"/>
  <c r="D32" i="9"/>
  <c r="H31" i="9"/>
  <c r="D31" i="9"/>
  <c r="H30" i="9"/>
  <c r="D30" i="9"/>
  <c r="H29" i="9"/>
  <c r="D29" i="9"/>
  <c r="H28" i="9"/>
  <c r="D28" i="9"/>
  <c r="H27" i="9"/>
  <c r="D27" i="9"/>
  <c r="H26" i="9"/>
  <c r="D26" i="9"/>
  <c r="H25" i="9"/>
  <c r="D25" i="9"/>
  <c r="H24" i="9"/>
  <c r="D24" i="9"/>
  <c r="H23" i="9"/>
  <c r="D23" i="9"/>
  <c r="H22" i="9"/>
  <c r="D22" i="9"/>
  <c r="H21" i="9"/>
  <c r="D21" i="9"/>
  <c r="H20" i="9"/>
  <c r="D20" i="9"/>
  <c r="H19" i="9"/>
  <c r="D19" i="9"/>
  <c r="H18" i="9"/>
  <c r="D18" i="9"/>
  <c r="H17" i="9"/>
  <c r="D17" i="9"/>
  <c r="H16" i="9"/>
  <c r="D16" i="9"/>
  <c r="H15" i="9"/>
  <c r="D15" i="9"/>
  <c r="H14" i="9"/>
  <c r="D14" i="9"/>
  <c r="H13" i="9"/>
  <c r="D13" i="9"/>
  <c r="H12" i="9"/>
  <c r="D12" i="9"/>
  <c r="H11" i="9"/>
  <c r="D11" i="9"/>
  <c r="H10" i="9"/>
  <c r="D10" i="9"/>
  <c r="H9" i="9"/>
  <c r="D9" i="9"/>
  <c r="H8" i="9"/>
  <c r="D8" i="9"/>
  <c r="H7" i="9"/>
  <c r="D73" i="9" s="1"/>
  <c r="D7" i="9"/>
  <c r="C73" i="9" s="1"/>
  <c r="C25" i="8"/>
  <c r="F19" i="6"/>
  <c r="D19" i="6"/>
  <c r="C19" i="6"/>
  <c r="E18" i="6"/>
  <c r="E17" i="6"/>
  <c r="E16" i="6"/>
  <c r="E15" i="6"/>
  <c r="G10" i="6"/>
  <c r="F10" i="6"/>
  <c r="D10" i="6"/>
  <c r="C10" i="6"/>
  <c r="E9" i="6"/>
  <c r="E8" i="6"/>
  <c r="E7" i="6"/>
  <c r="E6" i="6"/>
  <c r="G17" i="5"/>
  <c r="G18" i="5" s="1"/>
  <c r="F17" i="5"/>
  <c r="F18" i="5" s="1"/>
  <c r="E17" i="5"/>
  <c r="E18" i="5" s="1"/>
  <c r="D17" i="5"/>
  <c r="C17" i="5"/>
  <c r="G15" i="5"/>
  <c r="F15" i="5"/>
  <c r="E15" i="5"/>
  <c r="D15" i="5"/>
  <c r="D16" i="5" s="1"/>
  <c r="C15" i="5"/>
  <c r="G8" i="5"/>
  <c r="G9" i="5" s="1"/>
  <c r="F8" i="5"/>
  <c r="E8" i="5"/>
  <c r="D8" i="5"/>
  <c r="C8" i="5"/>
  <c r="G6" i="5"/>
  <c r="F6" i="5"/>
  <c r="F7" i="5" s="1"/>
  <c r="E6" i="5"/>
  <c r="D6" i="5"/>
  <c r="C6" i="5"/>
  <c r="G20" i="4"/>
  <c r="F20" i="4"/>
  <c r="E20" i="4"/>
  <c r="D20" i="4"/>
  <c r="C20" i="4"/>
  <c r="G8" i="4"/>
  <c r="F8" i="4"/>
  <c r="E8" i="4"/>
  <c r="D8" i="4"/>
  <c r="C8" i="4"/>
  <c r="E16" i="5" l="1"/>
  <c r="F9" i="5"/>
  <c r="F16" i="5"/>
  <c r="G16" i="5"/>
  <c r="D7" i="5"/>
  <c r="E7" i="5"/>
  <c r="G7" i="5"/>
  <c r="E9" i="5"/>
  <c r="D18" i="5"/>
  <c r="G10" i="5"/>
  <c r="G19" i="5"/>
  <c r="D9" i="5"/>
  <c r="C72" i="9"/>
  <c r="D71" i="9"/>
  <c r="E19" i="6"/>
  <c r="E10" i="6"/>
  <c r="E42" i="12"/>
  <c r="E41" i="12"/>
  <c r="E43" i="12"/>
  <c r="E40" i="12"/>
  <c r="C74" i="9"/>
  <c r="D72" i="9"/>
  <c r="D74" i="9"/>
  <c r="C70" i="9"/>
  <c r="D70" i="9"/>
  <c r="C71" i="9"/>
</calcChain>
</file>

<file path=xl/sharedStrings.xml><?xml version="1.0" encoding="utf-8"?>
<sst xmlns="http://schemas.openxmlformats.org/spreadsheetml/2006/main" count="1223" uniqueCount="784">
  <si>
    <t>FINANCIAL ANALYSIS</t>
  </si>
  <si>
    <t>Singapore Airlines  vs.  Cathay Pacific</t>
  </si>
  <si>
    <t>Executive Excel Workbook — FADM Group Project (Part I)</t>
  </si>
  <si>
    <t>Prepared by — Group 1, Section 2</t>
  </si>
  <si>
    <t>•</t>
  </si>
  <si>
    <t>Aakash Kallepalli (FT272045)</t>
  </si>
  <si>
    <t>Naman (FT272022)</t>
  </si>
  <si>
    <t>Nikhil Aggarwal (FT272013)</t>
  </si>
  <si>
    <t>Suhaila Abdulkareem (FT272014)</t>
  </si>
  <si>
    <t>Sreshta (FT272009)</t>
  </si>
  <si>
    <t>Scale, Currency &amp; Reporting Disclaimers</t>
  </si>
  <si>
    <t>—</t>
  </si>
  <si>
    <t>Tab 4 (Financial Statements) &amp; Tab 5 (Efficiency) are in INR millions for cross-airline comparability — converted at 1 SGD = 74.45 INR and 1 HKD = 12.12 INR.</t>
  </si>
  <si>
    <t>Tab 6 (Segments) &amp; Tab 9 (Stock) retain native currencies: SIA in SGD, Cathay in HKD. Currencies are never mixed within a single calculation.</t>
  </si>
  <si>
    <t>Reporting periods differ: SIA = 31 March year-end (FY2024/25); Cathay = 31 December year-end (FY2025) — an offset of ~9 months.</t>
  </si>
  <si>
    <t>Cross-airline US$ figures (where shown) use indicative rates S$1 ≈ US$0.75 and HK$1 ≈ US$0.128 and indicate scale only.</t>
  </si>
  <si>
    <t>All figures are as stated in the source document; some source tables disclose only 2 years of segment data and a few minor internal inconsistencies are flagged in Tab 11.</t>
  </si>
  <si>
    <t>Contents</t>
  </si>
  <si>
    <t>1</t>
  </si>
  <si>
    <t>Cover</t>
  </si>
  <si>
    <t>2</t>
  </si>
  <si>
    <t>Executive Summary</t>
  </si>
  <si>
    <t>3</t>
  </si>
  <si>
    <t>Company Overview</t>
  </si>
  <si>
    <t>4</t>
  </si>
  <si>
    <t>Financial Statements (INR mn)</t>
  </si>
  <si>
    <t>5</t>
  </si>
  <si>
    <t>Efficiency Metrics</t>
  </si>
  <si>
    <t>6</t>
  </si>
  <si>
    <t>Segment Analysis</t>
  </si>
  <si>
    <t>7</t>
  </si>
  <si>
    <t>Acquisitions &amp; Strategy</t>
  </si>
  <si>
    <t>8</t>
  </si>
  <si>
    <t>Shareholding &amp; Governance</t>
  </si>
  <si>
    <t>9</t>
  </si>
  <si>
    <t>Stock Market Analysis</t>
  </si>
  <si>
    <t>10</t>
  </si>
  <si>
    <t>Charts Data</t>
  </si>
  <si>
    <t>11</t>
  </si>
  <si>
    <t>Assumptions &amp; Notes</t>
  </si>
  <si>
    <t>Latest reported full year · group level · native currencies as labelled</t>
  </si>
  <si>
    <t>Headline Group Comparison (latest FY)</t>
  </si>
  <si>
    <t>Metric (latest FY)</t>
  </si>
  <si>
    <t>Singapore Airlines</t>
  </si>
  <si>
    <t>Cathay Group</t>
  </si>
  <si>
    <t>Comment</t>
  </si>
  <si>
    <t>Revenue</t>
  </si>
  <si>
    <t>S$19,539.8m  (+2.8%)</t>
  </si>
  <si>
    <t>HK$116,766m  (+11.9%)</t>
  </si>
  <si>
    <t>Cathay growing faster off a lower base</t>
  </si>
  <si>
    <t>Operating profit</t>
  </si>
  <si>
    <t>S$1,709.1m  (-37.3%)</t>
  </si>
  <si>
    <t>HK$14,458m  (+3.8%)</t>
  </si>
  <si>
    <t>SIA margin squeezed by cost inflation</t>
  </si>
  <si>
    <t>Operating margin</t>
  </si>
  <si>
    <t>8.7%</t>
  </si>
  <si>
    <t>12.4%</t>
  </si>
  <si>
    <t>Cathay more profitable operationally</t>
  </si>
  <si>
    <t>Net profit (attrib.)</t>
  </si>
  <si>
    <t>S$2,778.0m</t>
  </si>
  <si>
    <t>HK$10,828m</t>
  </si>
  <si>
    <t>SIA flattered by S$1,097.9m one-off gain</t>
  </si>
  <si>
    <t>Total assets</t>
  </si>
  <si>
    <t>S$43,086.8m</t>
  </si>
  <si>
    <t>HK$177,051m</t>
  </si>
  <si>
    <t>Total equity</t>
  </si>
  <si>
    <t>S$16,070.0m</t>
  </si>
  <si>
    <t>HK$60,117m</t>
  </si>
  <si>
    <t>SIA more strongly capitalised</t>
  </si>
  <si>
    <t>Key Takeaways</t>
  </si>
  <si>
    <t>▸</t>
  </si>
  <si>
    <t>Near-identical portfolio model (premium flag carrier + low-cost arm + cargo + engineering/support); Cathay even more revenue-concentrated in its flag carrier (90.5%) than SIA (85.3%).</t>
  </si>
  <si>
    <t>Flag-carrier segment dominates revenue, assets and profit for both; everything else is comparatively marginal.</t>
  </si>
  <si>
    <t>Cathay had stronger operating momentum (rev +11.9%, op. margin 12.4%) on continued capacity recovery; SIA, already largely recovered, grew at industry pace and saw operating profit fall on cost inflation.</t>
  </si>
  <si>
    <t>Low-cost units are the weak spot for both: Scoot revenue contracted (-4.4%) and HK Express losses widened to HK$996m.</t>
  </si>
  <si>
    <t>Strategic associates define each regional bet: SIA's 25.1% of Air India (post-Vistara merger) vs Cathay's 15.09% of Air China.</t>
  </si>
  <si>
    <t>SIA holds the stronger balance sheet and capital base; Cathay shows the stronger underlying operating recovery.</t>
  </si>
  <si>
    <t>Investment Verdict</t>
  </si>
  <si>
    <t>Stability play. Blue-chip, Temasek-backed, low beta (~0.50), annualised volatility 17.86%. But delivered a NEGATIVE total stock return (-1.74%) over the year on Air India loss drag — low volatility did not protect against a fundamental earnings headwind.</t>
  </si>
  <si>
    <t>Cathay Pacific</t>
  </si>
  <si>
    <t>Higher-risk / higher-reward. Annualised volatility 29.27%, beta ~0.70. Delivered +27.64% total return, outperforming the HSI by ~13pp on cargo strength, capacity recovery and a buyback. Better suited to active risk-tolerant investors.</t>
  </si>
  <si>
    <t>Side-by-side strategic profile</t>
  </si>
  <si>
    <t>Singapore Airlines (SIA)</t>
  </si>
  <si>
    <t>Cathay Pacific (Cathay Group)</t>
  </si>
  <si>
    <t>Headquarters</t>
  </si>
  <si>
    <t>Singapore</t>
  </si>
  <si>
    <t>Hong Kong</t>
  </si>
  <si>
    <t>Year-end</t>
  </si>
  <si>
    <t>31 March (FY2024/25)</t>
  </si>
  <si>
    <t>31 December (FY2025)</t>
  </si>
  <si>
    <t>Positioning</t>
  </si>
  <si>
    <t>World-leading premium full-service group; presence in low-cost via Scoot</t>
  </si>
  <si>
    <t>Premium international carrier with a strong cargo franchise</t>
  </si>
  <si>
    <t>Core brands</t>
  </si>
  <si>
    <t>Singapore Airlines, Scoot</t>
  </si>
  <si>
    <t>Cathay Pacific, Cathay Cargo, HK Express</t>
  </si>
  <si>
    <t>Principal subsidiaries</t>
  </si>
  <si>
    <t>Full-Service Carrier (SIA + SIA Cargo), Scoot (Budget Aviation Holdings), SIA Engineering (77.8%); KrisShop, Kris+, Tradewinds</t>
  </si>
  <si>
    <t>Cathay Pacific (passenger + Cathay Cargo), HK Express (LCC, 100%), AHK Air Hong Kong (cargo, 100%); catering, ground, Asia Miles</t>
  </si>
  <si>
    <t>Key associates / JVs</t>
  </si>
  <si>
    <t>Air India 25.1% (post-Vistara merger); SAESL 38.9%; Eagle Services Asia ~31–38%; CAE Flight Training 50%</t>
  </si>
  <si>
    <t>Air China 15.09%; Air China Cargo 21.01%</t>
  </si>
  <si>
    <t>Key markets</t>
  </si>
  <si>
    <t>Asia-Pacific, Europe, North America, Middle East, Africa; premium intl. travellers</t>
  </si>
  <si>
    <t>Hong Kong, Mainland China, Southeast Asia, major intl. destinations</t>
  </si>
  <si>
    <t>Strategic focus</t>
  </si>
  <si>
    <t>Expansion into India + digital ecosystem &amp; sustainability (SAF)</t>
  </si>
  <si>
    <t>Mainland China connectivity + cargo; low-cost expansion via HK Express</t>
  </si>
  <si>
    <t>Reportable segments</t>
  </si>
  <si>
    <t>FSC · LCC (Scoot) · Engineering (SIAEC) · Others</t>
  </si>
  <si>
    <t>The Company (CX + cargo) · HK Express · Air Hong Kong · Airline services</t>
  </si>
  <si>
    <t>Financial Statements — 5-Year P&amp;L</t>
  </si>
  <si>
    <t>All figures in INR millions (SIA @1 SGD=74.45 · Cathay @1 HKD=12.12). Years ascending; FY per each company's year-end.</t>
  </si>
  <si>
    <t>SINGAPORE AIRLINES  (INR millions)</t>
  </si>
  <si>
    <t>Metric</t>
  </si>
  <si>
    <t>FY2021</t>
  </si>
  <si>
    <t>FY2022</t>
  </si>
  <si>
    <t>FY2023</t>
  </si>
  <si>
    <t>FY2024</t>
  </si>
  <si>
    <t>FY2025</t>
  </si>
  <si>
    <t>Total Revenue</t>
  </si>
  <si>
    <t>Total Expenses</t>
  </si>
  <si>
    <t>Operating Profit/(Loss)</t>
  </si>
  <si>
    <t>Profit/(Loss) Before Tax</t>
  </si>
  <si>
    <t>Profit/(Loss) for the Year</t>
  </si>
  <si>
    <t>Earnings Per Share (INR)</t>
  </si>
  <si>
    <t>Total Assets</t>
  </si>
  <si>
    <t>Employee Count</t>
  </si>
  <si>
    <t>CATHAY PACIFIC  (INR millions)</t>
  </si>
  <si>
    <t>Asset &amp; labour productivity · computed live from Tab 4 (INR millions). Sales/Asset = Revenue ÷ Total Assets; Sales/Employee = Revenue ÷ Headcount.</t>
  </si>
  <si>
    <t>SINGAPORE AIRLINES</t>
  </si>
  <si>
    <t>Sales / Assets (x)</t>
  </si>
  <si>
    <t xml:space="preserve">  YoY % change</t>
  </si>
  <si>
    <t>Sales / Employee (INR mn)</t>
  </si>
  <si>
    <t>5-yr total % change (Sales/Assets)</t>
  </si>
  <si>
    <t>CATHAY PACIFIC</t>
  </si>
  <si>
    <t>Native currencies — SIA in S$ million (FY2024/25 vs FY2023/24); Cathay in HK$ million (FY2025 vs FY2024). Currencies not mixed.</t>
  </si>
  <si>
    <t>SINGAPORE AIRLINES  (S$ million)</t>
  </si>
  <si>
    <t>Segment</t>
  </si>
  <si>
    <t>Ext. revenue
FY24/25</t>
  </si>
  <si>
    <t>Ext. revenue
FY23/24</t>
  </si>
  <si>
    <t>Revenue
growth</t>
  </si>
  <si>
    <t>Segment result
FY24/25</t>
  </si>
  <si>
    <t>Seg. assets
31-Mar-25</t>
  </si>
  <si>
    <t>Full-Service Carrier</t>
  </si>
  <si>
    <t>Low-Cost Carrier (Scoot)</t>
  </si>
  <si>
    <t>Engineering (SIAEC)</t>
  </si>
  <si>
    <t>Others</t>
  </si>
  <si>
    <t>Total of segments</t>
  </si>
  <si>
    <t>CATHAY GROUP  (HK$ million)</t>
  </si>
  <si>
    <t>Ext. revenue
2025</t>
  </si>
  <si>
    <t>Ext. revenue
2024</t>
  </si>
  <si>
    <t>Segment
profit/(loss) 2025</t>
  </si>
  <si>
    <t>The Company (CX + Cargo)</t>
  </si>
  <si>
    <t>HK Express (LCC)</t>
  </si>
  <si>
    <t>Air Hong Kong (cargo)</t>
  </si>
  <si>
    <t>Airline services</t>
  </si>
  <si>
    <t>Total</t>
  </si>
  <si>
    <t>Segment Revenue Growth vs IATA 2025 Benchmarks</t>
  </si>
  <si>
    <t>Group</t>
  </si>
  <si>
    <t>Revenue growth</t>
  </si>
  <si>
    <t>IATA benchmark</t>
  </si>
  <si>
    <t>Read</t>
  </si>
  <si>
    <t>FSC (pax+cargo)</t>
  </si>
  <si>
    <t>SIA</t>
  </si>
  <si>
    <t>Pax +5.3%</t>
  </si>
  <si>
    <t>Below industry — near full recovery</t>
  </si>
  <si>
    <t>Scoot (LCC)</t>
  </si>
  <si>
    <t>Underperformed; revenue fell</t>
  </si>
  <si>
    <t>SIAEC (engineering)</t>
  </si>
  <si>
    <t>(MRO upcycle)</t>
  </si>
  <si>
    <t>Strongest segment of either group</t>
  </si>
  <si>
    <t>The Company (flag+cargo)</t>
  </si>
  <si>
    <t>Cathay</t>
  </si>
  <si>
    <t>Far outpaced industry off lower base</t>
  </si>
  <si>
    <t>Grew but deeply loss-making</t>
  </si>
  <si>
    <t>Cargo +3.4%</t>
  </si>
  <si>
    <t>Lagged; trade-lane shifts</t>
  </si>
  <si>
    <t>Acquisitions, Investments &amp; Financing</t>
  </si>
  <si>
    <t>Strategic transactions over the last five years, with impact on Sales / Profit / Cash Flow</t>
  </si>
  <si>
    <t>SINGAPORE AIRLINES — Business Acquisitions</t>
  </si>
  <si>
    <t>Transaction</t>
  </si>
  <si>
    <t>Period</t>
  </si>
  <si>
    <t>Value</t>
  </si>
  <si>
    <t>Strategic objective</t>
  </si>
  <si>
    <t>Impact (Sales / Profit / Cash Flow)</t>
  </si>
  <si>
    <t>Air India–Vistara Merger</t>
  </si>
  <si>
    <t>2022–2024</t>
  </si>
  <si>
    <t>S$360m</t>
  </si>
  <si>
    <t>Acquire 25.1% stake in enlarged Air India; strengthen India presence</t>
  </si>
  <si>
    <t>Sales: no direct lift (equity-accounted). Profit: one-off ~S$1.1bn revaluation gain. Cash flow: no op. impact; S$360m investing, funded internally.</t>
  </si>
  <si>
    <t>Tiger Airways Privatisation &amp; Scoot Integration</t>
  </si>
  <si>
    <t>Earlier (benefits continued)</t>
  </si>
  <si>
    <t>S$497.3m</t>
  </si>
  <si>
    <t>Consolidate low-cost operations under Scoot</t>
  </si>
  <si>
    <t>Improved fleet utilisation &amp; cost synergies; reduced overlapping admin/regulatory cost; supported operating cash flow.</t>
  </si>
  <si>
    <t>SIA — Investments &amp; Financing (summary)</t>
  </si>
  <si>
    <t>Investments: short-term deposits/MM instruments (liquidity); Pelago (travel experiences); Kris+ (digital &amp; loyalty); SAF commitments (ESG &amp; fuel security).</t>
  </si>
  <si>
    <t>Financing: COVID rights issue + Mandatory Convertible Bonds (Temasek-backed) raised liquidity &amp; equity; pandemic borrowing funded operations; MCB redemption FY23–25 reduced dilution &amp; leverage. Preserved investment-grade credit.</t>
  </si>
  <si>
    <t>CATHAY PACIFIC — Business Acquisitions</t>
  </si>
  <si>
    <t>HK Express Acquisition</t>
  </si>
  <si>
    <t>2019 (benefits in period)</t>
  </si>
  <si>
    <t>HK$4.93bn</t>
  </si>
  <si>
    <t>Entry into low-cost carrier segment</t>
  </si>
  <si>
    <t>Sales: expanded LCC presence, higher pax volumes post-reopening. Profit: raised fixed cost early, later aided return to profit. Cash flow: initial outflow/leverage, then synergies.</t>
  </si>
  <si>
    <t>Cathay Dragon Integration</t>
  </si>
  <si>
    <t>2020</t>
  </si>
  <si>
    <t>Internal restructuring</t>
  </si>
  <si>
    <t>Eliminate duplicate operations</t>
  </si>
  <si>
    <t>Reduced duplication &amp; admin cost; improved route efficiency; one-off restructuring charge but long-term savings.</t>
  </si>
  <si>
    <t>Cathay — Investments &amp; Financing (summary)</t>
  </si>
  <si>
    <t>Investments: Air China 15.09% (Mainland market access); Air China Cargo 21.01% (cargo connectivity); digital cargo &amp; logistics ventures.</t>
  </si>
  <si>
    <t>Financing: HK$39bn government-backed recapitalisation stabilised liquidity; preference shares eased financing pressure; full redemption of government investment (2024) restored independence; debt reduced to a 5-year low.</t>
  </si>
  <si>
    <t>Ownership structure, free float, board composition and governance scorecard</t>
  </si>
  <si>
    <t>Singapore Airlines — Major Shareholders (29 May 2025)</t>
  </si>
  <si>
    <t>Shareholder</t>
  </si>
  <si>
    <t>Shares</t>
  </si>
  <si>
    <t>% of Total</t>
  </si>
  <si>
    <t>Type</t>
  </si>
  <si>
    <t>Napier Investments Pte. Ltd. (Temasek sub.)</t>
  </si>
  <si>
    <t>Direct</t>
  </si>
  <si>
    <t>Temasek Holdings (Private) Limited</t>
  </si>
  <si>
    <t>Citibank Nominees Singapore</t>
  </si>
  <si>
    <t>Nominee / Inst.</t>
  </si>
  <si>
    <t>DBS Nominees (Private) Limited</t>
  </si>
  <si>
    <t>Raffles Nominees (Pte.) Limited</t>
  </si>
  <si>
    <t>Nominee / CDP</t>
  </si>
  <si>
    <t>DBSN Services Pte. Ltd.</t>
  </si>
  <si>
    <t>Nominee</t>
  </si>
  <si>
    <t>HSBC (Singapore) Nominees</t>
  </si>
  <si>
    <t>UOB Nominees (Private) Limited</t>
  </si>
  <si>
    <t>Other nominees &amp; brokers (9–20)</t>
  </si>
  <si>
    <t>Various</t>
  </si>
  <si>
    <t>Temasek Group total (direct + deemed)</t>
  </si>
  <si>
    <t>Controlling shareholder</t>
  </si>
  <si>
    <t>Public float</t>
  </si>
  <si>
    <t>Cathay Pacific — Major Shareholders (31 Dec 2025)</t>
  </si>
  <si>
    <t>Shares held</t>
  </si>
  <si>
    <t>% of Votes</t>
  </si>
  <si>
    <t>Basis</t>
  </si>
  <si>
    <t>Swire Pacific Limited</t>
  </si>
  <si>
    <t>Direct / Shareholders' Agreement</t>
  </si>
  <si>
    <t>Air China Limited</t>
  </si>
  <si>
    <t>Attributable / Shareholders' Agr.</t>
  </si>
  <si>
    <t>Qatar Airways Group</t>
  </si>
  <si>
    <t>Beneficial (bought back Feb 2026)</t>
  </si>
  <si>
    <t>Public Shareholders</t>
  </si>
  <si>
    <t>Free float (Dec 2025)</t>
  </si>
  <si>
    <t>Total issued</t>
  </si>
  <si>
    <t>Governance Scorecard</t>
  </si>
  <si>
    <t>Dimension</t>
  </si>
  <si>
    <t>Controlling structure</t>
  </si>
  <si>
    <t>Temasek 53.52% (single group)</t>
  </si>
  <si>
    <t>Swire 43.09% + Air China 28.72% = 71.80%</t>
  </si>
  <si>
    <t>Free float</t>
  </si>
  <si>
    <t>46.29% (May 2025)</t>
  </si>
  <si>
    <t>18.63% (Dec 2025); ~22.4% post-buyback</t>
  </si>
  <si>
    <t>Board size</t>
  </si>
  <si>
    <t>10 directors</t>
  </si>
  <si>
    <t>17 directors</t>
  </si>
  <si>
    <t>Independent directors</t>
  </si>
  <si>
    <t>8 of 10 (80%)</t>
  </si>
  <si>
    <t>4 of 17 (23.5%) — HKEx waiver</t>
  </si>
  <si>
    <t>Chair / CEO separation</t>
  </si>
  <si>
    <t>Yes (Seah / Goh)</t>
  </si>
  <si>
    <t>Yes (Healy / Lam)</t>
  </si>
  <si>
    <t>Board committees</t>
  </si>
  <si>
    <t>Govt. involvement</t>
  </si>
  <si>
    <t>Direct via Temasek + special share</t>
  </si>
  <si>
    <t>Indirect via Air China (SOE)</t>
  </si>
  <si>
    <t>Disclosure regime</t>
  </si>
  <si>
    <t>SGX-ST — 5% + mandatory Top-20 list</t>
  </si>
  <si>
    <t>HKEx/SFO — 5% threshold; no Top-20</t>
  </si>
  <si>
    <t>Dividend (latest FY)</t>
  </si>
  <si>
    <t>S$0.58 / share</t>
  </si>
  <si>
    <t>HK$0.84 / share</t>
  </si>
  <si>
    <t>Governance code</t>
  </si>
  <si>
    <t>SG Code of CG 2018 — full</t>
  </si>
  <si>
    <t>HK CG Code — full</t>
  </si>
  <si>
    <t>Auditor</t>
  </si>
  <si>
    <t>KPMG LLP</t>
  </si>
  <si>
    <t>KPMG</t>
  </si>
  <si>
    <t>Weekly closing prices &amp; returns, May 2025 – May 2026.  SIA (SGX: C6L) in SGD · Cathay (HKG: 0293) in HKD.  Returns computed from price column.</t>
  </si>
  <si>
    <t>Weekly Price &amp; Return Series</t>
  </si>
  <si>
    <t>SIA — Week ending</t>
  </si>
  <si>
    <t>Close (SGD)</t>
  </si>
  <si>
    <t>Weekly return</t>
  </si>
  <si>
    <t>Cathay — Week ending</t>
  </si>
  <si>
    <t>Close (HKD)</t>
  </si>
  <si>
    <t>11 May 2025</t>
  </si>
  <si>
    <t>01 Jun 2025</t>
  </si>
  <si>
    <t>18 May 2025</t>
  </si>
  <si>
    <t>08 Jun 2025</t>
  </si>
  <si>
    <t>25 May 2025</t>
  </si>
  <si>
    <t>15 Jun 2025</t>
  </si>
  <si>
    <t>22 Jun 2025</t>
  </si>
  <si>
    <t>29 Jun 2025</t>
  </si>
  <si>
    <t>06 Jul 2025</t>
  </si>
  <si>
    <t>13 Jul 2025</t>
  </si>
  <si>
    <t>20 Jul 2025</t>
  </si>
  <si>
    <t>27 Jul 2025</t>
  </si>
  <si>
    <t>03 Aug 2025</t>
  </si>
  <si>
    <t>10 Aug 2025</t>
  </si>
  <si>
    <t>17 Aug 2025</t>
  </si>
  <si>
    <t>24 Aug 2025</t>
  </si>
  <si>
    <t>31 Aug 2025</t>
  </si>
  <si>
    <t>07 Sep 2025</t>
  </si>
  <si>
    <t>14 Sep 2025</t>
  </si>
  <si>
    <t>21 Sep 2025</t>
  </si>
  <si>
    <t>28 Sep 2025</t>
  </si>
  <si>
    <t>05 Oct 2025</t>
  </si>
  <si>
    <t>12 Oct 2025</t>
  </si>
  <si>
    <t>19 Oct 2025</t>
  </si>
  <si>
    <t>26 Oct 2025</t>
  </si>
  <si>
    <t>02 Nov 2025</t>
  </si>
  <si>
    <t>09 Nov 2025</t>
  </si>
  <si>
    <t>16 Nov 2025</t>
  </si>
  <si>
    <t>23 Nov 2025</t>
  </si>
  <si>
    <t>30 Nov 2025</t>
  </si>
  <si>
    <t>07 Dec 2025</t>
  </si>
  <si>
    <t>14 Dec 2025</t>
  </si>
  <si>
    <t>21 Dec 2025</t>
  </si>
  <si>
    <t>28 Dec 2025</t>
  </si>
  <si>
    <t>04 Jan 2026</t>
  </si>
  <si>
    <t>11 Jan 2026</t>
  </si>
  <si>
    <t>18 Jan 2026</t>
  </si>
  <si>
    <t>25 Jan 2026</t>
  </si>
  <si>
    <t>01 Feb 2026</t>
  </si>
  <si>
    <t>08 Feb 2026</t>
  </si>
  <si>
    <t>15 Feb 2026</t>
  </si>
  <si>
    <t>22 Feb 2026</t>
  </si>
  <si>
    <t>01 Mar 2026</t>
  </si>
  <si>
    <t>08 Mar 2026</t>
  </si>
  <si>
    <t>15 Mar 2026</t>
  </si>
  <si>
    <t>22 Mar 2026</t>
  </si>
  <si>
    <t>29 Mar 2026</t>
  </si>
  <si>
    <t>05 Apr 2026</t>
  </si>
  <si>
    <t>12 Apr 2026</t>
  </si>
  <si>
    <t>19 Apr 2026</t>
  </si>
  <si>
    <t>26 Apr 2026</t>
  </si>
  <si>
    <t>03 May 2026</t>
  </si>
  <si>
    <t>10 May 2026</t>
  </si>
  <si>
    <t>17 May 2026</t>
  </si>
  <si>
    <t>24 May 2026</t>
  </si>
  <si>
    <t>Price &amp; Volatility Metrics  (computed)</t>
  </si>
  <si>
    <t>Singapore Airlines (SGD)</t>
  </si>
  <si>
    <t>Cathay Pacific (HKD)</t>
  </si>
  <si>
    <t>Starting price</t>
  </si>
  <si>
    <t>Ending price</t>
  </si>
  <si>
    <t>Total return</t>
  </si>
  <si>
    <t>52-week high</t>
  </si>
  <si>
    <t>52-week low</t>
  </si>
  <si>
    <t>Avg weekly return</t>
  </si>
  <si>
    <t>Best single week</t>
  </si>
  <si>
    <t>Worst single week</t>
  </si>
  <si>
    <t>Weekly std dev</t>
  </si>
  <si>
    <t>Annualised volatility (×√52)</t>
  </si>
  <si>
    <t>Beta (5Y monthly)</t>
  </si>
  <si>
    <t>0.50 (confirmed)</t>
  </si>
  <si>
    <t>~0.70 (estimated)</t>
  </si>
  <si>
    <t>Market index benchmark</t>
  </si>
  <si>
    <t>STI (~+5%)</t>
  </si>
  <si>
    <t>HSI (~+15%)</t>
  </si>
  <si>
    <t>vs. market index</t>
  </si>
  <si>
    <t>Underperformed (~-6.74pp)</t>
  </si>
  <si>
    <t>Outperformed (~+12.64pp)</t>
  </si>
  <si>
    <t>Major Corporate Announcements (May 2025 – May 2026)</t>
  </si>
  <si>
    <t>Airline</t>
  </si>
  <si>
    <t>Date</t>
  </si>
  <si>
    <t>Announcement</t>
  </si>
  <si>
    <t>Impact</t>
  </si>
  <si>
    <t>Jul 2025</t>
  </si>
  <si>
    <t>52-week high SGD 7.57 on strong summer travel demand</t>
  </si>
  <si>
    <t>Positive</t>
  </si>
  <si>
    <t>Nov 2025</t>
  </si>
  <si>
    <t>H1 FY2026: net profit -67.8% to SGD 239M; record revenue SGD 9.675B; Air India drag</t>
  </si>
  <si>
    <t>Negative</t>
  </si>
  <si>
    <t>Dec 2025</t>
  </si>
  <si>
    <t>Dividend cut 20% to SGD 0.08; 3-yr special dividend SGD 0.10 announced</t>
  </si>
  <si>
    <t>Mildly negative</t>
  </si>
  <si>
    <t>CX</t>
  </si>
  <si>
    <t>Feb 2026</t>
  </si>
  <si>
    <t>52-week high HKD 14.06 on strong cargo revenue &amp; route-expansion momentum</t>
  </si>
  <si>
    <t>Highly positive</t>
  </si>
  <si>
    <t>Mar 2026</t>
  </si>
  <si>
    <t>2025 results: 36M+ pax (+27%); cargo HKD 24.3B; 2nd interim dividend</t>
  </si>
  <si>
    <t>Both</t>
  </si>
  <si>
    <t>Iran/Middle-East tensions trigger sector selloff (CX→11.41; SIA 52-wk low)</t>
  </si>
  <si>
    <t>May 2026</t>
  </si>
  <si>
    <t>FY2026: net profit SGD 1.2B (-57.4%); record revenue SGD 20.5B; Scoot A320neo expansion</t>
  </si>
  <si>
    <t>Mildly positive</t>
  </si>
  <si>
    <t>AGM: new Chairman Guy Bradley; 10% buyback + capital reduction approved</t>
  </si>
  <si>
    <t>1 · Segment Revenue Mix  →  Doughnut / Pie (one per airline)</t>
  </si>
  <si>
    <t>Segment (SIA)</t>
  </si>
  <si>
    <t>% of revenue</t>
  </si>
  <si>
    <t>Segment (Cathay)</t>
  </si>
  <si>
    <t>HK Express</t>
  </si>
  <si>
    <t>Air Hong Kong</t>
  </si>
  <si>
    <t>2 · Segment Growth vs IATA  →  Clustered Column + 2 reference lines</t>
  </si>
  <si>
    <t>IATA pax +5.3%</t>
  </si>
  <si>
    <t>IATA cargo +3.4%</t>
  </si>
  <si>
    <t>SIA: FSC</t>
  </si>
  <si>
    <t>SIA: Scoot</t>
  </si>
  <si>
    <t>SIA: SIAEC</t>
  </si>
  <si>
    <t>CX: The Company</t>
  </si>
  <si>
    <t>CX: HK Express</t>
  </si>
  <si>
    <t>CX: Air Hong Kong</t>
  </si>
  <si>
    <t>3 · Group Scale (US$ bn, indicative)  →  Clustered Column</t>
  </si>
  <si>
    <t>Metric (US$ bn)</t>
  </si>
  <si>
    <t>4 · Profitability Margins  →  Clustered Column</t>
  </si>
  <si>
    <t>Margin</t>
  </si>
  <si>
    <t>Net margin*</t>
  </si>
  <si>
    <t>FX rates, methodology, and data caveats</t>
  </si>
  <si>
    <t>FX Rates Used (source-stated)</t>
  </si>
  <si>
    <t>Item</t>
  </si>
  <si>
    <t>Value / Note</t>
  </si>
  <si>
    <t>SGD → INR</t>
  </si>
  <si>
    <t>1 SGD = 74.45 INR (Tabs 4–5)</t>
  </si>
  <si>
    <t>HKD → INR</t>
  </si>
  <si>
    <t>1 HKD = 12.12 INR (Tabs 4–5)</t>
  </si>
  <si>
    <t>SGD → USD</t>
  </si>
  <si>
    <t>S$1 ≈ US$0.75 (Tab 10 scale chart, indicative)</t>
  </si>
  <si>
    <t>HKD → USD</t>
  </si>
  <si>
    <t>HK$1 ≈ US$0.128 (Tab 10 scale chart, indicative)</t>
  </si>
  <si>
    <t>Methodology &amp; Caveats</t>
  </si>
  <si>
    <t>Year-end mismatch: SIA reports to 31 March (FY2024/25); Cathay to 31 December (FY2025) — a ~9-month offset. Cross-airline comparisons rely mainly on currency-neutral measures (growth, margins, mix).</t>
  </si>
  <si>
    <t>Segment data: both companies disclose only TWO years of segment revenue/result/assets, so a full 5-year segment trend cannot be reconstructed without estimation; segment growth shown is the latest year-on-year movement.</t>
  </si>
  <si>
    <t>Operating profit on Tab 4 is computed (Revenue − Expenses) and ties to the source within rounding.</t>
  </si>
  <si>
    <t>SIA 'Profit for the Year' is not disclosed for FY2021 and FY2022 in the source; those cells are intentionally blank.</t>
  </si>
  <si>
    <t>Stock 52-week low discrepancy: the SIA event commentary cites SGD 5.90 (Mar 2026) but the supplied weekly table bottoms at SGD 6.29 (26 Apr 2026). Computed metrics use the table; treat 5.90 as an unreconciled source note.</t>
  </si>
  <si>
    <t>Weekly returns are recomputed from the price column; the first week of each series uses the as-reported figure because the prior price predates the window.</t>
  </si>
  <si>
    <t>Colour convention: BLUE text = source input value; BLACK text = formula/calculation; GREEN cross-sheet links where used. Gridlines are switched off on every tab by design.</t>
  </si>
  <si>
    <t>All monetary scales are labelled in headers (INR mn / S$ m / HK$ m / SGD / HKD / US$ bn). Currencies are never mixed inside a single calculation.</t>
  </si>
  <si>
    <t>Volatility uses the population standard deviation (STDEVP) of computed weekly returns × √52, consistent with the source headline figures (SIA 2.48% / 17.86%; Cathay 4.06% / 29.27%); using sample STDEV instead would raise these by ~0.2pp.</t>
  </si>
  <si>
    <t>Source: SIA &amp; Cathay Pacific annual reports and weekly stock data, May 2025 – May 2026, as supplied in the project document (FADM Group 1, Section 2, Part I).</t>
  </si>
  <si>
    <t>Cathay (lower cost ratio)</t>
  </si>
  <si>
    <t>Total Expense Ratio</t>
  </si>
  <si>
    <t>Return on Assets</t>
  </si>
  <si>
    <t>Net Profit Margin</t>
  </si>
  <si>
    <t>Operating Profit Margin</t>
  </si>
  <si>
    <t>Better</t>
  </si>
  <si>
    <t>Ratio</t>
  </si>
  <si>
    <t>Head-to-Head — Latest Year (FY2025)</t>
  </si>
  <si>
    <t>Total Expense Ratio (Exp/Rev)</t>
  </si>
  <si>
    <t>Return on Assets (net)</t>
  </si>
  <si>
    <t>PBT Margin</t>
  </si>
  <si>
    <t>EBITDA Margin</t>
  </si>
  <si>
    <t>EBIT Margin</t>
  </si>
  <si>
    <t>ROCE (Return on Capital Employed)</t>
  </si>
  <si>
    <t>ROE (Return on Equity)</t>
  </si>
  <si>
    <t>EBITDA Margin = (Op. Profit + D&amp;A) / Revenue</t>
  </si>
  <si>
    <t>EBIT Margin (= Operating Profit Margin)</t>
  </si>
  <si>
    <t>ROCE = Operating Profit / Capital Employed</t>
  </si>
  <si>
    <t>ROE = Net Profit / Total Equity</t>
  </si>
  <si>
    <t>Ratios (computed)</t>
  </si>
  <si>
    <t>D&amp;A (INR mn)</t>
  </si>
  <si>
    <t>Capital Employed (INR mn)</t>
  </si>
  <si>
    <t>Total Equity (INR mn)</t>
  </si>
  <si>
    <t>FX rate used (1 HKD = INR)</t>
  </si>
  <si>
    <t>Depreciation &amp; Amortisation (HK$ mn)</t>
  </si>
  <si>
    <t>Capital Employed = TA - Curr. Liab. (HK$ mn)</t>
  </si>
  <si>
    <t>Total Equity (HK$ mn)</t>
  </si>
  <si>
    <t>FX rate used (1 SGD = INR)</t>
  </si>
  <si>
    <t>Depreciation &amp; Amortisation (S$ mn)</t>
  </si>
  <si>
    <t>Capital Employed = TA - Curr. Liab. (S$ mn)</t>
  </si>
  <si>
    <t>Total Equity (S$ mn)</t>
  </si>
  <si>
    <t>Extended Profitability Ratios — ROE, ROCE, EBIT &amp; EBITDA Margins</t>
  </si>
  <si>
    <t>Operating Profit/(Loss) = Total Revenue − Total Expenses</t>
  </si>
  <si>
    <t xml:space="preserve">Operating Profit/(Loss) = Total Revenue − Total Expenses </t>
  </si>
  <si>
    <t xml:space="preserve">  YoY change (pp)</t>
  </si>
  <si>
    <t>Operating Margin (= 1 − ratio)</t>
  </si>
  <si>
    <t>What the expense ratio tells us</t>
  </si>
  <si>
    <t>Recovery phase (FY2021→FY2023): both airlines' expense ratios collapsed as revenue rebounded faster than costs — SIA from ~166% to ~85%, Cathay from ~101% to ~86% — turning deep operating losses into healthy profits. This is the single biggest driver of the profitability swing.</t>
  </si>
  <si>
    <t>Compression phase (FY2024→FY2025): SIA's expense ratio crept back up (≈85.7% → 91.3%), cutting operating margin from ~14.3% to ~8.7%. Per the Part-1 commentary this reflects higher staff and fuel costs and softer passenger yields — i.e. costs rising faster than revenue near full recovery.</t>
  </si>
  <si>
    <t>Cathay held a lower expense ratio in FY2025 (≈87.9% vs SIA's 91.3%), so it converted revenue to operating profit more efficiently in the latest year despite a smaller absolute revenue base.</t>
  </si>
  <si>
    <t>Bottom line: the change in profitability for both carriers is overwhelmingly a cost-ratio story — margin moves track the expense ratio almost one-for-one (Operating Margin = 1 − Expense Ratio).</t>
  </si>
  <si>
    <t>Total Expense Ratio = Total Expenses ÷ Revenue. A falling ratio lifts margins; a rising ratio compresses them.</t>
  </si>
  <si>
    <t>Expense Analysis — Explaining the Change in Profitability</t>
  </si>
  <si>
    <t>Source: SIA &amp; Cathay Pacific annual reports as supplied in the Part-1 project document (FADM Group 1, Section 2).</t>
  </si>
  <si>
    <t>Colour key: yellow = input cell to fill; blue text = source input; black = formula. Gridlines off on every tab by design.</t>
  </si>
  <si>
    <t>Latest-year operating margins computed here (SIA ~8.7%, Cathay ~12.1%) use the INR-converted statutory P&amp;L; Part-1's group-summary page quoted Cathay ~12.4% on a slightly different basis — a minor, expected difference.</t>
  </si>
  <si>
    <t>Profit growth across the FY2021–22 loss years is marked 'n.m.' because percentage growth from a negative base is misleading; the absolute profit trajectory is the reliable read.</t>
  </si>
  <si>
    <t>Expense analysis is at the total-cost-ratio level only — the source gives aggregate Total Expenses, not a fuel/staff/maintenance/depreciation breakdown. A line-item decomposition needs each airline's detailed P&amp;L notes.</t>
  </si>
  <si>
    <t>SIA net profit is not disclosed for FY2021–FY2022 in the source, so net margin / ROA / net-profit growth are blank or 'n.m.' for those years.</t>
  </si>
  <si>
    <t>Operating Profit = Revenue − Expenses (computed); ties to the Part-1 figures within rounding.</t>
  </si>
  <si>
    <t>Year-end mismatch: SIA reports to 31 March; Cathay to 31 December — a ~9-month offset. Cross-airline comparisons rely on ratios and growth, which are basis-robust.</t>
  </si>
  <si>
    <t>Period: 'last five years ending 31.03.2023 or latest available'. This file uses the latest available five years per company (FY2021–FY2025).</t>
  </si>
  <si>
    <t>SCOPE: the brief requires the company + two competitors (three entities). Only two airlines (SIA, Cathay) have data in the supplied material. No third airline's figures were invented; use the 'Competitor 3 (Template)' tab to add one.</t>
  </si>
  <si>
    <t>Methodology, scope &amp; limitations</t>
  </si>
  <si>
    <t>YoY %, Index (FY21=100) and CAGR → currency-neutral</t>
  </si>
  <si>
    <t>Growth</t>
  </si>
  <si>
    <t>Margins/ROA are unit-free → currency-neutral</t>
  </si>
  <si>
    <t>Ratios</t>
  </si>
  <si>
    <t>1 HKD = 12.12 INR</t>
  </si>
  <si>
    <t>1 SGD = 74.45 INR</t>
  </si>
  <si>
    <t>Value / note</t>
  </si>
  <si>
    <t>FX rates used (source-stated)</t>
  </si>
  <si>
    <t>FX, methodology, scope and data limitations</t>
  </si>
  <si>
    <t>Notes &amp; Assumptions</t>
  </si>
  <si>
    <t>Assets: SIA's asset base shrank modestly (≈ −3% CAGR) as pandemic-era liquidity unwound, while Cathay's was broadly flat (≈ −2% CAGR) — neither airline is asset-expanding, so revenue growth is being driven by better utilisation rather than a bigger balance sheet.</t>
  </si>
  <si>
    <t>Profit: both swung from heavy losses (FY2021–22) to solid profits (FY2023 onward); growth rates across the sign change are not meaningful, so the absolute trajectory is the honest read.</t>
  </si>
  <si>
    <t>Sales: both recovered strongly off COVID lows. SIA revenue grew at a ~50% CAGR FY2021→FY2025 (a low base distorts this) but has now plateaued (+2.8% in the latest year). Cathay's revenue CAGR (~27%) is lower because it started from a higher base, yet it grew +11.9% in the latest year — still in catch-up mode.</t>
  </si>
  <si>
    <t>Reading the trends</t>
  </si>
  <si>
    <t xml:space="preserve">  Index (FY21=100)</t>
  </si>
  <si>
    <t xml:space="preserve">  YoY growth</t>
  </si>
  <si>
    <t>TOTAL ASSETS (INR mn)</t>
  </si>
  <si>
    <t>n.m.</t>
  </si>
  <si>
    <t>NET PROFIT (INR mn)</t>
  </si>
  <si>
    <t>OPERATING PROFIT (INR mn)</t>
  </si>
  <si>
    <t>REVENUE (INR mn)</t>
  </si>
  <si>
    <t>5-yr CAGR</t>
  </si>
  <si>
    <t>Measure</t>
  </si>
  <si>
    <t>INR millions. YoY %, Index (FY2021 = 100) and 5-yr CAGR. Profit growth is 'n.m.' across the loss-to-profit transition.</t>
  </si>
  <si>
    <t>Growth Trends — Sales, Profit &amp; Assets (5 Years)</t>
  </si>
  <si>
    <t>Growth Trends</t>
  </si>
  <si>
    <t>Expense Analysis</t>
  </si>
  <si>
    <t>Extended Ratios (ROE, ROCE, EBIT &amp; EBITDA Margins)</t>
  </si>
  <si>
    <t>Profit Ratios</t>
  </si>
  <si>
    <t>Profit ratios and margins are unit-free, so they are currency-neutral regardless of the conversion. Growth is shown as YoY %, index (FY2021 = 100) and CAGR — all currency-neutral.</t>
  </si>
  <si>
    <t>All absolute figures are in INR millions, converted in Part-1 (1 SGD = 74.45 INR; 1 HKD = 12.12 INR) for cross-airline comparability.</t>
  </si>
  <si>
    <t>Currency &amp; scale</t>
  </si>
  <si>
    <t>3 · Trend in sales, profit and asset growth over five years, compared across companies.</t>
  </si>
  <si>
    <t>2 · Expense analysis explaining the change in profitability (total-cost ratio and its link to margins).</t>
  </si>
  <si>
    <t>1 · Profit ratios over the last five years (to latest available, FY2025) for the company and competitor(s).</t>
  </si>
  <si>
    <t>What this file delivers (per the Part-2 brief)</t>
  </si>
  <si>
    <t>FADM Group Project — Group 1, Section 2 · Part-2</t>
  </si>
  <si>
    <t>PART 2 — PROFITABILITY, EXPENSE &amp; GROWTH ANALYSIS</t>
  </si>
  <si>
    <t>Notes and Assumptions Part 2</t>
  </si>
  <si>
    <t>Cash Flow Statement Analysis — Singapore Airlines vs. Cathay Pacific</t>
  </si>
  <si>
    <t>FADM Group Project · Part III · FY2023 – FY2025</t>
  </si>
  <si>
    <t xml:space="preserve">  Scale &amp; Currency:  SIA in SGD millions (native) · Cathay in HKD millions (native)</t>
  </si>
  <si>
    <t xml:space="preserve">  INR conversion:  SIA @ 1 SGD = ₹74.45 · Cathay @ 1 HKD = ₹12.12</t>
  </si>
  <si>
    <t xml:space="preserve">  Reporting period:  SIA: FY ending 31 March · Cathay: FY ending 31 December</t>
  </si>
  <si>
    <t xml:space="preserve">  SIA FY2023 data:  FY2023/24 and FY2024/25 sourced from SIA Audited FS FY24/25; FY2022/23 from prior year disclosures</t>
  </si>
  <si>
    <t xml:space="preserve">  Cathay FY2023 data:  FY2024 and FY2025 sourced from Cathay 2025 Annual Report; FY2023 from prior disclosures</t>
  </si>
  <si>
    <t xml:space="preserve">  CFS methodology:  Indirect method for CFO; matching E1 reference format from CFS Case Set 1 2025</t>
  </si>
  <si>
    <t>Source: SIA Annual Reports FY2022-23, FY2023-24, FY2024-25 | Amounts in SGD millions</t>
  </si>
  <si>
    <t>CLOSING CASH &amp; EQUIVALENTS</t>
  </si>
  <si>
    <t>FX effect on cash</t>
  </si>
  <si>
    <t>Opening Cash &amp; Equivalents</t>
  </si>
  <si>
    <t>NET CHANGE IN CASH (A+B+C)</t>
  </si>
  <si>
    <t>Net Cash from Financing (C)</t>
  </si>
  <si>
    <t>Net Cash from Investing (B)</t>
  </si>
  <si>
    <t>Net Cash from Operations (A)</t>
  </si>
  <si>
    <t>SUMMARY</t>
  </si>
  <si>
    <t>NET CASH USED IN FINANCING ACTIVITIES (C)</t>
  </si>
  <si>
    <t xml:space="preserve">  Other financing items (net)</t>
  </si>
  <si>
    <t xml:space="preserve">  Redemption/Proceeds of MCBs &amp; Bonds (net)</t>
  </si>
  <si>
    <t xml:space="preserve">  Repayment of lease liabilities</t>
  </si>
  <si>
    <t xml:space="preserve">  Repayment of borrowings</t>
  </si>
  <si>
    <t xml:space="preserve">  Proceeds from borrowings</t>
  </si>
  <si>
    <t xml:space="preserve">  Interest paid</t>
  </si>
  <si>
    <t xml:space="preserve">  Dividends paid to non-controlling interests</t>
  </si>
  <si>
    <t xml:space="preserve">  Dividends paid (shareholders)</t>
  </si>
  <si>
    <t>C.  CASH FLOW FROM FINANCING ACTIVITIES</t>
  </si>
  <si>
    <t>NET CASH USED IN INVESTING ACTIVITIES (B)</t>
  </si>
  <si>
    <t xml:space="preserve">  Other investing cash flows (net)</t>
  </si>
  <si>
    <t xml:space="preserve">  Dividends received</t>
  </si>
  <si>
    <t xml:space="preserve">  Net purchase/disposal of short-term investments</t>
  </si>
  <si>
    <t xml:space="preserve">  Interest received from investments &amp; deposits</t>
  </si>
  <si>
    <t xml:space="preserve">  Net placement of fixed deposits (&gt;12 months)</t>
  </si>
  <si>
    <t xml:space="preserve">  Investments in associated companies</t>
  </si>
  <si>
    <t xml:space="preserve">  Proceeds from disposal of aircraft/PPE</t>
  </si>
  <si>
    <t xml:space="preserve">  Purchase of intangible assets</t>
  </si>
  <si>
    <t xml:space="preserve">  Capital expenditure (PPE purchases)</t>
  </si>
  <si>
    <t>B.  CASH FLOW FROM INVESTING ACTIVITIES</t>
  </si>
  <si>
    <t>NET CASH FROM OPERATING ACTIVITIES (A)</t>
  </si>
  <si>
    <t xml:space="preserve">  Less: Competition-related settlements paid</t>
  </si>
  <si>
    <t xml:space="preserve">  Less: Income taxes paid</t>
  </si>
  <si>
    <t>Cash generated from operations</t>
  </si>
  <si>
    <t xml:space="preserve">  (Increase)/Decrease in other working capital items (net)</t>
  </si>
  <si>
    <t xml:space="preserve">  (Increase)/Decrease in trade debtors</t>
  </si>
  <si>
    <t xml:space="preserve">  Increase/(Decrease) in deferred revenue</t>
  </si>
  <si>
    <t xml:space="preserve">  Increase/(Decrease) in sales in advance of carriage</t>
  </si>
  <si>
    <t xml:space="preserve">  Increase/(Decrease) in trade and other creditors</t>
  </si>
  <si>
    <t>Changes in working capital:</t>
  </si>
  <si>
    <t>Operating cash flow before working capital changes</t>
  </si>
  <si>
    <t xml:space="preserve">  Add/(Less): Other non-cash adjustments (net)</t>
  </si>
  <si>
    <t xml:space="preserve">  Less: Interest income</t>
  </si>
  <si>
    <t xml:space="preserve">  Add: Finance charges</t>
  </si>
  <si>
    <t xml:space="preserve">  Add: Amortisation of intangible assets</t>
  </si>
  <si>
    <t xml:space="preserve">  Add: Depreciation</t>
  </si>
  <si>
    <t>Adjustments for non-cash items:</t>
  </si>
  <si>
    <t>Profit before taxation</t>
  </si>
  <si>
    <t>A.  CASH FLOW FROM OPERATING ACTIVITIES</t>
  </si>
  <si>
    <t>FY2024-25</t>
  </si>
  <si>
    <t>FY2023-24</t>
  </si>
  <si>
    <t>FY2022-23</t>
  </si>
  <si>
    <t>Particulars</t>
  </si>
  <si>
    <t>All figures in SGD millions (native currency) · Source: SIA Annual Reports</t>
  </si>
  <si>
    <t>Singapore Airlines Group — Consolidated Statement of Cash Flows</t>
  </si>
  <si>
    <t>Source: Cathay Pacific Annual Reports FY2023, FY2024, FY2025 | Amounts in HKD millions</t>
  </si>
  <si>
    <t xml:space="preserve">  Other (initial lease benefit etc.)</t>
  </si>
  <si>
    <t xml:space="preserve">  Dividends paid — preference shares</t>
  </si>
  <si>
    <t xml:space="preserve">  Dividends paid — ordinary shares</t>
  </si>
  <si>
    <t xml:space="preserve">  Preference shares redemption</t>
  </si>
  <si>
    <t xml:space="preserve">  Convertible bonds &amp; warrants repurchase</t>
  </si>
  <si>
    <t xml:space="preserve">  Loan repayments &amp; lease payments (principal)</t>
  </si>
  <si>
    <t xml:space="preserve">  New financing raised</t>
  </si>
  <si>
    <t xml:space="preserve">  Repayment from/(Loan to) associates</t>
  </si>
  <si>
    <t xml:space="preserve">  Dividends received from associates</t>
  </si>
  <si>
    <t xml:space="preserve">  Net decrease/(increase) in other LT receivables</t>
  </si>
  <si>
    <t xml:space="preserve">  Net decrease/(increase) in liquid funds</t>
  </si>
  <si>
    <t xml:space="preserve">  Proceeds from sale of PPE</t>
  </si>
  <si>
    <t xml:space="preserve">  Payments for PPE and intangible assets (Capex)</t>
  </si>
  <si>
    <t xml:space="preserve">  Less: Tax paid</t>
  </si>
  <si>
    <t xml:space="preserve">  Less: Interest paid</t>
  </si>
  <si>
    <t xml:space="preserve">  Add: Interest received</t>
  </si>
  <si>
    <t xml:space="preserve">  Other working capital changes (net)</t>
  </si>
  <si>
    <t xml:space="preserve">  Increase in contract liabilities</t>
  </si>
  <si>
    <t xml:space="preserve">  Increase in trade creditors, other payables</t>
  </si>
  <si>
    <t xml:space="preserve">  (Increase) in trade debtors &amp; other receivables</t>
  </si>
  <si>
    <t xml:space="preserve">  (Increase)/Decrease in stock (inventories)</t>
  </si>
  <si>
    <t xml:space="preserve">  Add: Depreciation of right-of-use assets</t>
  </si>
  <si>
    <t xml:space="preserve">  Add: Depreciation of PPE (owned)</t>
  </si>
  <si>
    <t>All figures in HKD millions (native currency) · Source: Cathay Pacific Annual Reports</t>
  </si>
  <si>
    <t>Cathay Pacific Group — Consolidated Statement of Cash Flows</t>
  </si>
  <si>
    <t>Note: FY2023 Cathay data estimated from prior year disclosures. SIA FY2023 uses prior year annual report data.</t>
  </si>
  <si>
    <t>Cathay CFO / Capex</t>
  </si>
  <si>
    <t>SIA CFO / Capex</t>
  </si>
  <si>
    <t>CFO to Capex Ratio (CFO / |Capex|)</t>
  </si>
  <si>
    <t>Dividends Paid</t>
  </si>
  <si>
    <t>Capital Expenditure</t>
  </si>
  <si>
    <t>Closing Cash</t>
  </si>
  <si>
    <t>Net Change in Cash</t>
  </si>
  <si>
    <t>Net CFF</t>
  </si>
  <si>
    <t>Net CFI</t>
  </si>
  <si>
    <t>Net CFO</t>
  </si>
  <si>
    <t>Cathay Pacific (INR mn)</t>
  </si>
  <si>
    <t>Singapore Airlines (INR mn)</t>
  </si>
  <si>
    <t>Conversion: SIA @ 1 SGD = ₹74.45 · Cathay @ 1 HKD = ₹12.12</t>
  </si>
  <si>
    <t>Side-by-Side Cash Flow Comparison — SIA vs. Cathay Pacific (INR millions for comparability)</t>
  </si>
  <si>
    <t>Cathay shows stronger cash generation momentum (CFO growing faster, capex coverage stable). SIA shows financial discipline (balance sheet repair complete, rising dividends, strategic investment in Air India as a long-term growth bet). For an investor, Cathay is the higher cash-growth story; SIA is the capital-return + balance-sheet-quality story.</t>
  </si>
  <si>
    <t>Overall verdict</t>
  </si>
  <si>
    <t>SIA's closing cash fell sharply — SGD 5,703mn → SGD 11,256mn → SGD 8,257mn — the FY24 peak followed by drawdown for Air India investment and MCB redemptions. Cathay's closing cash dipped in FY24 (HKD 5,444mn) after the bailout repayments, then recovered to HKD 7,990mn in FY25. Both companies maintain adequate liquidity buffers relative to their annual operating needs.</t>
  </si>
  <si>
    <t>Cash Balance</t>
  </si>
  <si>
    <t>SIA: 2.8x (FY23), 4.1x (FY24), 2.7x (FY25) — strong coverage with FY24 elevated by high CFO. Cathay: 2.0x (FY23), 2.6x (FY24), 2.6x (FY25) — improving and stable. Both companies generate sufficient operating cash to fully fund capital expenditure internally, with surplus to service debt and pay dividends.</t>
  </si>
  <si>
    <t>CFO/Capex</t>
  </si>
  <si>
    <t>4. KEY RATIOS &amp; OBSERVATIONS</t>
  </si>
  <si>
    <t>Both airlines have exited their pandemic financing structures through heavy FY23-FY25 repayments. Cathay's restructuring was more acute (government equity injection vs SIA's MCBs). Going forward, both should see moderating CFF outflows with cleaner balance sheets, though Cathay's ongoing heavy capex pipeline will require sustained refinancing.</t>
  </si>
  <si>
    <t>Comparison</t>
  </si>
  <si>
    <t>Cathay's FY23 CFF was an unusual positive (+HKD 461mn) reflecting fresh debt drawdowns before the COVID recap unwind. FY24 saw a massive CFF outflow (HKD 19,834mn) driven by repayment of the HKD 9,750mn government preference shares (the 2020 bailout) and HKD 7,029mn convertible bond repurchase — effectively a financial clean-up year. FY25 outflow (HKD 15,452mn) is dominated by loan repayments and rising ordinary dividends (HKD 4,491mn), reflecting restored earnings confidence.</t>
  </si>
  <si>
    <t>Cathay — Trend</t>
  </si>
  <si>
    <t>SIA's CFF has been consistently negative across the 3 years, reflecting the unwinding of its COVID-era capital structure: massive MCB (Mandatory Convertible Bond) redemptions — SGD 3,180mn (FY23), SGD 5,064mn (FY24), SGD 1,745mn (FY25). These were Temasek-backed instruments raised during COVID. Additionally, rising dividends (SGD 596mn → SGD 1,130mn → SGD 1,429mn) reflect profit recovery and shareholder return. By FY25 the MCB overhang is largely cleared, making FY26 financing flows likely lighter.</t>
  </si>
  <si>
    <t>SIA — Trend</t>
  </si>
  <si>
    <t>3. FINANCING CASH FLOW (CFF)</t>
  </si>
  <si>
    <t>Both airlines are net investing cash outflow businesses (as expected for capital-intensive aviation). SIA's FY25 outflow (INR ~245,742mn) spikes due to the Air India investment. Cathay's outflow (INR ~90,217mn) is lower on the INR scale but represents a consistently heavy investment rate as a proportion of its revenue. CFO-to-Capex ratios remain comfortable for both: SIA ~2.7x, Cathay ~2.6x in FY25 — both companies are self-funding their capex from operations.</t>
  </si>
  <si>
    <t>Cathay is in a sustained heavy-investment cycle: HKD 8,900mn (FY23) → HKD 9,207mn (FY24) → HKD 9,830mn (FY25). This reflects a committed fleet renewal program with 127,700mn HKD in authorised-and-contracted capex commitments outstanding at end FY25. The scale of Cathay's capital commitment significantly exceeds SIA's in both absolute and relative terms — a forward bet on capacity expansion particularly into mainland China and cargo.</t>
  </si>
  <si>
    <t>SIA's capex was SGD 1,512mn (FY23) → SGD 1,231mn (FY24) → SGD 1,768mn (FY25). The FY25 jump reflects fresh aircraft orders and continued fleet renewal. A notable outlier in FY25 was SGD 1,006.8mn invested in Air India (Air India–Vistara stake), plus SGD 1,739mn in fixed deposits with maturities over 12 months — inflating total CFI outflow to SGD 3,302mn. Excluding treasury placements and the Air India stake, core capex is more consistent. This is a one-off strategic bet on India's aviation growth.</t>
  </si>
  <si>
    <t>2. INVESTING CASH FLOW (CFI)</t>
  </si>
  <si>
    <t>In INR terms, Cathay's CFO (INR ~307,600mn in FY25) is significantly larger than SIA's (INR ~350,389mn in FY25 at 74.45 conversion). Both companies generate healthy operating cash flows well in excess of their annual capex, indicating sound business fundamentals. However, Cathay's sharper upward trajectory signals stronger near-term operating momentum.</t>
  </si>
  <si>
    <t>Cathay's CFO recovered strongly from a suppressed FY23 base (HKD ~17,800mn) to HKD 23,541mn in FY24 and HKD 25,381mn in FY25 — a 43% cumulative improvement. The acceleration reflects Hong Kong's later-than-SIA capacity recovery post-COVID, surging passenger demand, strong cargo performance, and growing contract liabilities (unearned revenue). Cathay's CFO now comfortably exceeds SIA's on a like-for-like conversion basis.</t>
  </si>
  <si>
    <t>SIA's CFO remained strong across all three years: SGD ~4,234mn (FY23) → SGD 5,042mn (FY24) → SGD 4,708mn (FY25). The spike in FY24 was driven by a large increase in advance ticket sales and deferred revenue as post-COVID capacity expansion filled forward bookings. FY25 shows a modest ~7% decline from FY24 peak, partly from a SGD 180mn reversal in sales-in-advance as forward booking normalised and a dip in operating profit margins from rising costs.</t>
  </si>
  <si>
    <t>1. OPERATING CASH FLOW (CFO)</t>
  </si>
  <si>
    <t>Cash Flow Analysis — Managerial Commentary</t>
  </si>
  <si>
    <t>CASH FLOW RATIOS — SINGAPORE AIRLINES (SGD mn)</t>
  </si>
  <si>
    <t>1.  Cash Realisation Ratio  =  CFO / EBIT</t>
  </si>
  <si>
    <t>CFO (HKD mn)</t>
  </si>
  <si>
    <t>EBIT (HKD mn)</t>
  </si>
  <si>
    <t>Ratio (×)</t>
  </si>
  <si>
    <t>↳  Shows how much of accounting profit is actually realised as cash. &gt;1× means CFO exceeds EBIT — strong earnings quality. Values consistently above 1× confirm both airlines' profits are well-backed by cash.</t>
  </si>
  <si>
    <t>2.  Debt Service Coverage Ratio  =  CFO / (Interest Paid + Loan Repayments + Lease Repayments)</t>
  </si>
  <si>
    <t xml:space="preserve">  Interest Paid (HKD mn)</t>
  </si>
  <si>
    <t xml:space="preserve">  Loan Repayments (HKD mn)</t>
  </si>
  <si>
    <t xml:space="preserve">  Lease Repayments (HKD mn)</t>
  </si>
  <si>
    <t xml:space="preserve">  Total Debt Service (HKD mn)</t>
  </si>
  <si>
    <t>↳  Measures ability to meet all debt obligations from operating cash. &gt;1× = debt is serviceable; &gt;1.5× = comfortable; &gt;2× = strong. A rising trend signals improving debt-repayment capacity.</t>
  </si>
  <si>
    <t>3.  Creditworthiness Ratio  =  (CFO + Interest Paid) / Interest Paid  [Cash-Based Interest Coverage]</t>
  </si>
  <si>
    <t>CFO + Interest Paid (HKD mn)</t>
  </si>
  <si>
    <t>Interest Paid (HKD mn)</t>
  </si>
  <si>
    <t>↳  A cash-based version of interest coverage used by lenders and credit rating agencies. &gt;5× = strong creditworthiness; higher ratio = lower default risk in lenders' eyes.</t>
  </si>
  <si>
    <t>4.  Cash Generation Ratio  =  CFO / EBITDA  [EBITDA = EBIT + Depreciation &amp; Amortisation]</t>
  </si>
  <si>
    <t>Depreciation &amp; Amortisation (HKD mn)</t>
  </si>
  <si>
    <t>EBITDA (EBIT + D&amp;A) (HKD mn)</t>
  </si>
  <si>
    <t>↳  Measures what fraction of potential cash (EBITDA) is actually converted to CFO after working capital and tax. Closer to 1× = efficient cash conversion. Rising trend signals improving working capital management.</t>
  </si>
  <si>
    <t>5.  Reinvestment Ratio  =  Capex / CFO  [Proportion of operating cash reinvested in assets]</t>
  </si>
  <si>
    <t>Capital Expenditure (HKD mn)</t>
  </si>
  <si>
    <t>↳  &lt;1× = company funds capex entirely from operations (self-sufficient). &gt;1× = capex exceeds CFO, requiring external funding. Declining ratio signals growing financial self-sufficiency.</t>
  </si>
  <si>
    <t>CASH FLOW RATIOS — CATHAY PACIFIC (HKD mn)</t>
  </si>
  <si>
    <t>CASH FLOW RATIO COMPARISON  —  SIA vs. CATHAY PACIFIC</t>
  </si>
  <si>
    <t>SIA FY23</t>
  </si>
  <si>
    <t>SIA FY24</t>
  </si>
  <si>
    <t>SIA FY25</t>
  </si>
  <si>
    <t>CX FY23</t>
  </si>
  <si>
    <t>CX FY24</t>
  </si>
  <si>
    <t>CX FY25</t>
  </si>
  <si>
    <t>Cash Realisation Ratio (×)
= CFO / EBIT
[&gt;1× desirable; ↑ = better earnings quality]</t>
  </si>
  <si>
    <t>Debt Service Coverage Ratio (×)
= CFO / (Interest + Loans + Leases)
[&gt;1.5× comfortable; &gt;2× strong]</t>
  </si>
  <si>
    <t>Creditworthiness Ratio (×)
= (CFO + Interest) / Interest
[Higher = stronger credit quality]</t>
  </si>
  <si>
    <t>Cash Generation Ratio (×)
= CFO / EBITDA
[Closer to 1× = better cash conversion]</t>
  </si>
  <si>
    <t>Reinvestment Ratio (×)
= Capex / CFO
[&lt;1× self-funded; lower = more efficient]</t>
  </si>
  <si>
    <t>Teal cell = better performer in that year  |  Ratios are dimensionless — directly comparable across currencies  |  SIA native SGD; Cathay native HKD</t>
  </si>
  <si>
    <t>KEY FINDINGS FROM RATIO COMPARISON</t>
  </si>
  <si>
    <t>Cash Realisation Ratio</t>
  </si>
  <si>
    <t>SIA leads consistently (1.63→1.40×) vs Cathay (1.07→1.48×). Both &gt;1× confirms accounting profits are backed by real cash. Cathay's steeper rising trend signals improving earnings quality as operations normalised post-COVID.</t>
  </si>
  <si>
    <t>Debt Service Coverage Ratio</t>
  </si>
  <si>
    <t>SIA is significantly stronger (1.67→2.77×) vs Cathay (0.97→1.56×). SIA's DSCR of 2.77× in FY25 is exceptional — debt burden substantially reduced after MCB redemptions. Cathay's sub-1× in FY23 reflected the COVID restructuring year; FY24-25 recovery is encouraging.</t>
  </si>
  <si>
    <t>Creditworthiness Ratio</t>
  </si>
  <si>
    <t>SIA dominates (11.8→18.8×) vs Cathay (5.9→10.5×). Both show steep improvement as CFO surged and interest costs fell. SIA's ratio is nearly double Cathay's — reflecting its near-complete debt cleanup by FY25. Both are investment-grade quality.</t>
  </si>
  <si>
    <t>Cash Generation Ratio</t>
  </si>
  <si>
    <t>SIA (0.82–0.92×) consistently outperforms Cathay (0.60–0.89×), though the gap is narrowing rapidly. Cathay's large D&amp;A base from its massive fleet (owned + ROU) and higher interest/tax outflows suppress its CGR vs EBITDA. Normal for capital-intensive airlines.</t>
  </si>
  <si>
    <t>Reinvestment Ratio</t>
  </si>
  <si>
    <t>Cathay (0.39–0.50×) reinvests a consistently higher proportion of CFO into capex — reflecting its more aggressive fleet expansion. SIA's FY25 spike to 0.38× includes the ₹1,007mn Air India stake; core capex ratio is closer to 0.26×, confirming greater operating cash surplus.</t>
  </si>
  <si>
    <t>6.  Cash Generation Ratio  =  CFO / Revenue</t>
  </si>
  <si>
    <t>CFO (SGD mn)</t>
  </si>
  <si>
    <t>Revenue (SGD mn)</t>
  </si>
  <si>
    <t>Cash Generation Ratio (×)</t>
  </si>
  <si>
    <t>↳  Measures how many rupees/dollars of cash are generated per unit of revenue. Higher is better — shows operational cash efficiency net of all costs. Also known as Cash Profit Margin from a cash flow perspective.</t>
  </si>
  <si>
    <t>7.  Asset Efficiency Ratio  =  CFO / Total Assets</t>
  </si>
  <si>
    <t>Total Assets (SGD mn)  [from Annual Reports]</t>
  </si>
  <si>
    <t>Asset Efficiency Ratio (×)</t>
  </si>
  <si>
    <t>↳  Shows how much operating cash flow is generated per unit of total assets deployed. A cash-based equivalent of Return on Assets — higher ratio signals better asset utilisation. Rising trend indicates improving asset productivity.</t>
  </si>
  <si>
    <t>8.  Capital Asset Ratio  =  CFO / Capital Expenditure</t>
  </si>
  <si>
    <t>Capital Expenditure (SGD mn)</t>
  </si>
  <si>
    <t>Capital Asset Ratio (×)</t>
  </si>
  <si>
    <t>↳  Measures how many times CFO covers capital expenditure — the inverse of the Reinvestment Ratio. &gt;1× = CFO exceeds capex (self-funding). Higher values signal stronger internal funding capability. Useful for lenders assessing whether capex relies on debt or is organically funded.</t>
  </si>
  <si>
    <t>9.  Cash Flow Adequacy Ratio  =  CFO / (Capex + Debt Repayments + Dividends Paid)</t>
  </si>
  <si>
    <t xml:space="preserve">  Capital Expenditure (SGD mn)</t>
  </si>
  <si>
    <t xml:space="preserve">  Debt Repayments (Loans + Leases) (SGD mn)</t>
  </si>
  <si>
    <t xml:space="preserve">  Dividends Paid (All) (SGD mn)</t>
  </si>
  <si>
    <t>Total Cash Demands (SGD mn)</t>
  </si>
  <si>
    <t>Cash Flow Adequacy Ratio (×)</t>
  </si>
  <si>
    <t>↳  &gt;1× means CFO is sufficient to cover all major cash demands (capex + debt service + dividends) without needing external financing. The gold standard of financial self-sufficiency. &lt;1× indicates a funding gap that must be bridged externally.</t>
  </si>
  <si>
    <t>10.  External Financing Ratio  =  New External Financing / CFO</t>
  </si>
  <si>
    <t>New Borrowings / Financing Raised (SGD mn)</t>
  </si>
  <si>
    <t>External Financing Ratio (×)</t>
  </si>
  <si>
    <t>↳  Shows dependence on external financing relative to internal cash generation. Lower is better — a declining ratio signals growing financial self-sufficiency. &gt;1× means external financing exceeds operating cash (high external dependency); &lt;0.25× = minimal dependence on external funds.</t>
  </si>
  <si>
    <t>Revenue (HKD mn)</t>
  </si>
  <si>
    <t>Total Assets (HKD mn)  [from Annual Reports]</t>
  </si>
  <si>
    <t xml:space="preserve">  Capital Expenditure (HKD mn)</t>
  </si>
  <si>
    <t xml:space="preserve">  Debt Repayments (Loans + Leases) (HKD mn)</t>
  </si>
  <si>
    <t xml:space="preserve">  Dividends Paid (All) (HKD mn)</t>
  </si>
  <si>
    <t>Total Cash Demands (HKD mn)</t>
  </si>
  <si>
    <t>New Borrowings / Financing Raised (HKD mn)</t>
  </si>
  <si>
    <t>ADDITIONAL CASH FLOW RATIOS — COMPARISON  (Set 2)  SIA vs. Cathay Pacific</t>
  </si>
  <si>
    <t>Cash Generation Ratio (×)
= CFO / Revenue
[Higher = more cash per ₹ of revenue]</t>
  </si>
  <si>
    <t>Asset Efficiency Ratio (×)
= CFO / Total Assets
[Higher = better asset utilisation]</t>
  </si>
  <si>
    <t>Capital Asset Ratio (×)
= CFO / Capex
[Higher = better internal funding of capex]</t>
  </si>
  <si>
    <t>Cash Flow Adequacy Ratio (×)
= CFO / (Capex + Debt Repayments + Dividends)
[&gt;1× = fully self-sufficient; &lt;1× = funding gap]</t>
  </si>
  <si>
    <t>External Financing Ratio (×)
= New Borrowings / CFO
[Lower = less reliance on external debt]</t>
  </si>
  <si>
    <t>Teal = better performer in that year  |  Ratios dimensionless — comparable across currencies  |  SIA native SGD; Cathay native HKD</t>
  </si>
  <si>
    <t>KEY FINDINGS — SET 2 RATIOS</t>
  </si>
  <si>
    <t>Cash Generation Ratio
(CFO / Revenue)</t>
  </si>
  <si>
    <t>SIA (23.8–26.5%) generates significantly more cash per dollar of revenue than Cathay (16.6–19.8%). Both show steady improvement but SIA's leaner cost base converts revenue to cash more efficiently. Gap narrowing as Cathay's CFO grows faster than revenue.</t>
  </si>
  <si>
    <t>Asset Efficiency Ratio
(CFO / Total Assets)</t>
  </si>
  <si>
    <t>SIA (11.6–13.1%) modestly outperforms Cathay (9.3–11.9%) in cash generation per unit of assets. Cathay's large fleet asset base (owned + ROU) suppresses its ratio. Both show FY25 improvement, confirming better asset utilisation as capacity fills.</t>
  </si>
  <si>
    <t>Capital Asset Ratio
(CFO / Capex)</t>
  </si>
  <si>
    <t>SIA leads strongly (2.66–4.10×) vs Cathay (2.00–2.58×), confirming SIA generates far more CFO relative to its capex commitments. SIA's FY24 peak (4.09×) reflects high CFO combined with temporarily lower capex. Cathay's heavy fleet investment cycle keeps its ratio structurally lower.</t>
  </si>
  <si>
    <t>Cash Flow Adequacy Ratio
(CFO / Capex + Debt + Dividends)</t>
  </si>
  <si>
    <t>Critical metric: SIA comfortably above 1× (0.99→1.15→1.01×) — broadly self-sufficient across all 3 years. Cathay falls short (0.66→0.92→0.75×) — its cash flow does NOT fully cover all demands, requiring external funding. SIA's structural advantage reflects lower debt burden after MCB cleanup.</t>
  </si>
  <si>
    <t>External Financing Ratio
(New Borrowings / CFO)</t>
  </si>
  <si>
    <t>SIA's ratio is low and declining (0.19→0.08→0.19×) — minimal external borrowing relative to CFO. Cathay's ratio was very high in FY23 (1.04×) due to COVID-era restructuring refinancing, but dropped sharply to 0.34× by FY25, confirming rapid progress toward financial self-sufficiency.</t>
  </si>
  <si>
    <t>CONSOLIDATED RATIO SUMMARY — ALL 10 RATIOS  (Latest Year: SIA FY2024-25 vs CX FY2025)</t>
  </si>
  <si>
    <t>Formula</t>
  </si>
  <si>
    <t>Benchmark</t>
  </si>
  <si>
    <t>1. Cash Realisation Ratio</t>
  </si>
  <si>
    <t>CFO / EBIT</t>
  </si>
  <si>
    <t>&gt;1×</t>
  </si>
  <si>
    <t>2. Debt Service Coverage</t>
  </si>
  <si>
    <t>CFO / Total Debt Service</t>
  </si>
  <si>
    <t>&gt;1.5×</t>
  </si>
  <si>
    <t>3. Creditworthiness Ratio</t>
  </si>
  <si>
    <t>(CFO+Interest) / Interest</t>
  </si>
  <si>
    <t>&gt;5×</t>
  </si>
  <si>
    <t>4. Cash Generation (EBITDA)</t>
  </si>
  <si>
    <t>CFO / EBITDA</t>
  </si>
  <si>
    <t>Close to 1×</t>
  </si>
  <si>
    <t>5. Reinvestment Ratio</t>
  </si>
  <si>
    <t>Capex / CFO</t>
  </si>
  <si>
    <t>&lt;0.5×</t>
  </si>
  <si>
    <t>6. Cash Generation (Revenue)</t>
  </si>
  <si>
    <t>CFO / Revenue</t>
  </si>
  <si>
    <t>&gt;0.15×</t>
  </si>
  <si>
    <t>7. Asset Efficiency Ratio</t>
  </si>
  <si>
    <t>CFO / Total Assets</t>
  </si>
  <si>
    <t>&gt;0.10×</t>
  </si>
  <si>
    <t>8. Capital Asset Ratio</t>
  </si>
  <si>
    <t>CFO / Capex</t>
  </si>
  <si>
    <t>&gt;2×</t>
  </si>
  <si>
    <t>9. Cash Flow Adequacy Ratio</t>
  </si>
  <si>
    <t>CFO / (Capex+Debt+Div)</t>
  </si>
  <si>
    <t>10. External Financing Ratio</t>
  </si>
  <si>
    <t>New Borrowings / CFO</t>
  </si>
  <si>
    <t>&lt;0.3×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</si>
</sst>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0\);\-"/>
    <numFmt numFmtId="166" formatCode="0.000"/>
    <numFmt numFmtId="167" formatCode="0.0%;\(0.0%\);\-"/>
    <numFmt numFmtId="168" formatCode="#,##0.0;\(#,##0.0\)"/>
    <numFmt numFmtId="169" formatCode="0.00%;\(0.00%\);\-"/>
    <numFmt numFmtId="170" formatCode="#,##0.0;\(#,##0.0\);\-"/>
    <numFmt numFmtId="171" formatCode="0.0&quot; pp&quot;;\(0.0&quot;) pp&quot;;\-"/>
    <numFmt numFmtId="172" formatCode="#,##0.0"/>
    <numFmt numFmtId="173" formatCode="0.00\x"/>
    <numFmt numFmtId="174" formatCode="0.00\×;\(0.00&quot;×)&quot;;\-"/>
  </numFmts>
  <fonts count="90" x14ac:knownFonts="1">
    <font>
      <sz val="11"/>
      <color theme="1"/>
      <name val="Calibri"/>
      <family val="2"/>
      <charset val="1"/>
    </font>
    <font>
      <b/>
      <sz val="28"/>
      <color rgb="FF1F3864"/>
      <name val="Calibri"/>
      <family val="2"/>
    </font>
    <font>
      <b/>
      <sz val="18"/>
      <color rgb="FF2F5496"/>
      <name val="Calibri"/>
      <family val="2"/>
    </font>
    <font>
      <i/>
      <sz val="11"/>
      <color rgb="FF7F7F7F"/>
      <name val="Calibri"/>
      <family val="2"/>
    </font>
    <font>
      <b/>
      <sz val="11"/>
      <color rgb="FF2F5496"/>
      <name val="Calibri"/>
      <family val="2"/>
    </font>
    <font>
      <b/>
      <sz val="11"/>
      <color rgb="FF1F7A6D"/>
      <name val="Calibri"/>
      <family val="2"/>
    </font>
    <font>
      <b/>
      <sz val="12"/>
      <color rgb="FFFFFFFF"/>
      <name val="Calibri"/>
      <family val="2"/>
    </font>
    <font>
      <b/>
      <sz val="11"/>
      <color rgb="FF1F3864"/>
      <name val="Calibri"/>
      <family val="2"/>
    </font>
    <font>
      <sz val="11"/>
      <color rgb="FF000000"/>
      <name val="Calibri"/>
      <family val="2"/>
    </font>
    <font>
      <b/>
      <sz val="10"/>
      <color rgb="FFC55A11"/>
      <name val="Calibri"/>
      <family val="2"/>
    </font>
    <font>
      <sz val="10"/>
      <color rgb="FF000000"/>
      <name val="Calibri"/>
      <family val="2"/>
    </font>
    <font>
      <i/>
      <sz val="9"/>
      <color rgb="FF7F7F7F"/>
      <name val="Calibri"/>
      <family val="2"/>
    </font>
    <font>
      <b/>
      <sz val="10"/>
      <color rgb="FF2F5496"/>
      <name val="Calibri"/>
      <family val="2"/>
    </font>
    <font>
      <b/>
      <sz val="18"/>
      <color rgb="FF1F3864"/>
      <name val="Calibri"/>
      <family val="2"/>
    </font>
    <font>
      <i/>
      <sz val="10.5"/>
      <color rgb="FF7F7F7F"/>
      <name val="Calibri"/>
      <family val="2"/>
    </font>
    <font>
      <b/>
      <sz val="10.5"/>
      <color rgb="FFFFFFFF"/>
      <name val="Calibri"/>
      <family val="2"/>
    </font>
    <font>
      <b/>
      <sz val="10.5"/>
      <color rgb="FF000000"/>
      <name val="Calibri"/>
      <family val="2"/>
    </font>
    <font>
      <sz val="10.5"/>
      <color rgb="FF2F5496"/>
      <name val="Calibri"/>
      <family val="2"/>
    </font>
    <font>
      <sz val="10.5"/>
      <color rgb="FF1F7A6D"/>
      <name val="Calibri"/>
      <family val="2"/>
    </font>
    <font>
      <sz val="9.5"/>
      <color rgb="FF7F7F7F"/>
      <name val="Calibri"/>
      <family val="2"/>
    </font>
    <font>
      <b/>
      <sz val="10.5"/>
      <color rgb="FF1F3864"/>
      <name val="Calibri"/>
      <family val="2"/>
    </font>
    <font>
      <sz val="10.5"/>
      <color rgb="FF000000"/>
      <name val="Calibri"/>
      <family val="2"/>
    </font>
    <font>
      <sz val="10.5"/>
      <color rgb="FF7F7F7F"/>
      <name val="Calibri"/>
      <family val="2"/>
    </font>
    <font>
      <b/>
      <sz val="10"/>
      <color rgb="FF1F7A6D"/>
      <name val="Calibri"/>
      <family val="2"/>
    </font>
    <font>
      <sz val="10"/>
      <color rgb="FF2F5496"/>
      <name val="Calibri"/>
      <family val="2"/>
    </font>
    <font>
      <sz val="10"/>
      <color rgb="FF7F7F7F"/>
      <name val="Calibri"/>
      <family val="2"/>
    </font>
    <font>
      <sz val="10"/>
      <color rgb="FF1F7A6D"/>
      <name val="Calibri"/>
      <family val="2"/>
    </font>
    <font>
      <sz val="9.5"/>
      <color rgb="FF000000"/>
      <name val="Calibri"/>
      <family val="2"/>
    </font>
    <font>
      <b/>
      <sz val="10"/>
      <color rgb="FF000000"/>
      <name val="Calibri"/>
      <family val="2"/>
    </font>
    <font>
      <b/>
      <sz val="10"/>
      <color rgb="FF1F3864"/>
      <name val="Calibri"/>
      <family val="2"/>
    </font>
    <font>
      <sz val="9.5"/>
      <color rgb="FF2F5496"/>
      <name val="Calibri"/>
      <family val="2"/>
    </font>
    <font>
      <sz val="9.5"/>
      <color rgb="FF1F7A6D"/>
      <name val="Calibri"/>
      <family val="2"/>
    </font>
    <font>
      <b/>
      <sz val="9.5"/>
      <color rgb="FF2E7D32"/>
      <name val="Calibri"/>
      <family val="2"/>
    </font>
    <font>
      <b/>
      <sz val="9.5"/>
      <color rgb="FFC00000"/>
      <name val="Calibri"/>
      <family val="2"/>
    </font>
    <font>
      <b/>
      <sz val="9.5"/>
      <color rgb="FFC55A11"/>
      <name val="Calibri"/>
      <family val="2"/>
    </font>
    <font>
      <b/>
      <sz val="9.5"/>
      <color rgb="FFFFFFFF"/>
      <name val="Calibri"/>
      <family val="2"/>
    </font>
    <font>
      <b/>
      <sz val="10"/>
      <color rgb="FF2E7D32"/>
      <name val="Calibri"/>
      <family val="2"/>
    </font>
    <font>
      <sz val="10.5"/>
      <color rgb="FFC00000"/>
      <name val="Calibri"/>
      <family val="2"/>
    </font>
    <font>
      <b/>
      <sz val="10.5"/>
      <color rgb="FFC00000"/>
      <name val="Calibri"/>
      <family val="2"/>
    </font>
    <font>
      <i/>
      <sz val="9"/>
      <color rgb="FF595959"/>
      <name val="Calibri"/>
      <family val="2"/>
    </font>
    <font>
      <b/>
      <sz val="11"/>
      <color rgb="FF000000"/>
      <name val="Calibri"/>
      <family val="2"/>
    </font>
    <font>
      <b/>
      <sz val="11"/>
      <color rgb="FFFFFFFF"/>
      <name val="Calibri"/>
      <family val="2"/>
    </font>
    <font>
      <b/>
      <sz val="11"/>
      <name val="Calibri"/>
      <family val="2"/>
    </font>
    <font>
      <i/>
      <sz val="11"/>
      <color rgb="FF808080"/>
      <name val="Calibri"/>
      <family val="2"/>
    </font>
    <font>
      <b/>
      <sz val="12"/>
      <name val="Calibri"/>
      <family val="2"/>
    </font>
    <font>
      <i/>
      <sz val="9"/>
      <color rgb="FF595959"/>
      <name val="Calibri"/>
      <family val="2"/>
    </font>
    <font>
      <i/>
      <sz val="9"/>
      <color rgb="FF7F7F7F"/>
      <name val="Calibri"/>
      <family val="2"/>
    </font>
    <font>
      <b/>
      <sz val="18"/>
      <color rgb="FF1F3864"/>
      <name val="Calibri"/>
      <family val="2"/>
    </font>
    <font>
      <b/>
      <sz val="12"/>
      <color rgb="FFFFFFFF"/>
      <name val="Calibri"/>
      <family val="2"/>
    </font>
    <font>
      <b/>
      <sz val="10.5"/>
      <color rgb="FFFFFFFF"/>
      <name val="Calibri"/>
      <family val="2"/>
    </font>
    <font>
      <b/>
      <sz val="10.5"/>
      <color rgb="FF1F3864"/>
      <name val="Calibri"/>
      <family val="2"/>
    </font>
    <font>
      <sz val="10.5"/>
      <color rgb="FF000000"/>
      <name val="Calibri"/>
      <family val="2"/>
    </font>
    <font>
      <sz val="10.5"/>
      <color rgb="FF7F7F7F"/>
      <name val="Calibri"/>
      <family val="2"/>
    </font>
    <font>
      <sz val="10.5"/>
      <color rgb="FFC00000"/>
      <name val="Calibri"/>
      <family val="2"/>
    </font>
    <font>
      <b/>
      <sz val="11"/>
      <color rgb="FF2F5496"/>
      <name val="Calibri"/>
      <family val="2"/>
    </font>
    <font>
      <sz val="10"/>
      <color rgb="FF000000"/>
      <name val="Calibri"/>
      <family val="2"/>
    </font>
    <font>
      <i/>
      <sz val="10.5"/>
      <color rgb="FF7F7F7F"/>
      <name val="Calibri"/>
      <family val="2"/>
    </font>
    <font>
      <b/>
      <sz val="11"/>
      <color rgb="FF1F7A6D"/>
      <name val="Calibri"/>
      <family val="2"/>
    </font>
    <font>
      <b/>
      <sz val="14"/>
      <color rgb="FF2F5496"/>
      <name val="Calibri"/>
      <family val="2"/>
    </font>
    <font>
      <b/>
      <sz val="36"/>
      <color rgb="FF2F5496"/>
      <name val="Calibri"/>
      <family val="2"/>
    </font>
    <font>
      <b/>
      <sz val="36"/>
      <color rgb="FF1F7A6D"/>
      <name val="Calibri"/>
      <family val="2"/>
    </font>
    <font>
      <b/>
      <sz val="10"/>
      <color rgb="FF2F5496"/>
      <name val="Calibri"/>
      <family val="2"/>
    </font>
    <font>
      <b/>
      <sz val="10"/>
      <color rgb="FF1F3864"/>
      <name val="Calibri"/>
      <family val="2"/>
    </font>
    <font>
      <b/>
      <sz val="10.5"/>
      <color rgb="FF1F7A6D"/>
      <name val="Calibri"/>
      <family val="2"/>
    </font>
    <font>
      <b/>
      <sz val="10.5"/>
      <color rgb="FF2F5496"/>
      <name val="Calibri"/>
      <family val="2"/>
    </font>
    <font>
      <sz val="10"/>
      <color rgb="FF7F7F7F"/>
      <name val="Calibri"/>
      <family val="2"/>
    </font>
    <font>
      <b/>
      <sz val="11"/>
      <color rgb="FF2E7D32"/>
      <name val="Calibri"/>
      <family val="2"/>
    </font>
    <font>
      <b/>
      <sz val="20"/>
      <color rgb="FF1F3864"/>
      <name val="Calibri"/>
      <family val="2"/>
    </font>
    <font>
      <sz val="11"/>
      <color rgb="FF000000"/>
      <name val="Calibri"/>
      <family val="2"/>
    </font>
    <font>
      <sz val="11"/>
      <color theme="1"/>
      <name val="Calibri"/>
      <family val="2"/>
    </font>
    <font>
      <sz val="11"/>
      <color rgb="FF0000FF"/>
      <name val="Calibri"/>
      <family val="2"/>
    </font>
    <font>
      <b/>
      <sz val="11"/>
      <color rgb="FF000000"/>
      <name val="Calibri"/>
      <family val="2"/>
    </font>
    <font>
      <b/>
      <sz val="11"/>
      <color theme="1"/>
      <name val="Calibri"/>
      <family val="2"/>
    </font>
    <font>
      <b/>
      <i/>
      <sz val="11"/>
      <color rgb="FF1F3864"/>
      <name val="Calibri"/>
      <family val="2"/>
    </font>
    <font>
      <b/>
      <sz val="14"/>
      <color rgb="FF000000"/>
      <name val="Arial"/>
      <family val="2"/>
    </font>
    <font>
      <i/>
      <sz val="11"/>
      <color rgb="FF000000"/>
      <name val="Arial"/>
      <family val="2"/>
    </font>
    <font>
      <sz val="10"/>
      <color rgb="FF000000"/>
      <name val="Arial"/>
      <family val="2"/>
    </font>
    <font>
      <i/>
      <sz val="10"/>
      <color rgb="FF000000"/>
      <name val="Arial"/>
      <family val="2"/>
    </font>
    <font>
      <b/>
      <sz val="12"/>
      <color rgb="FF000000"/>
      <name val="Arial"/>
      <family val="2"/>
    </font>
    <font>
      <i/>
      <sz val="9"/>
      <color rgb="FF444444"/>
      <name val="Arial"/>
      <family val="2"/>
    </font>
    <font>
      <b/>
      <sz val="10"/>
      <color rgb="FF000000"/>
      <name val="Arial"/>
      <family val="2"/>
    </font>
    <font>
      <i/>
      <sz val="9"/>
      <color rgb="FF555555"/>
      <name val="Arial"/>
      <family val="2"/>
    </font>
    <font>
      <b/>
      <sz val="9"/>
      <name val="Arial"/>
      <family val="2"/>
    </font>
    <font>
      <sz val="9"/>
      <name val="Arial"/>
      <family val="2"/>
    </font>
    <font>
      <b/>
      <sz val="10"/>
      <color rgb="FFFFFFFF"/>
      <name val="Arial"/>
      <family val="2"/>
    </font>
    <font>
      <i/>
      <sz val="9"/>
      <color rgb="FF333333"/>
      <name val="Arial"/>
      <family val="2"/>
    </font>
    <font>
      <b/>
      <sz val="10"/>
      <color theme="1"/>
      <name val="Arial"/>
      <family val="2"/>
    </font>
    <font>
      <i/>
      <sz val="8"/>
      <color rgb="FF555555"/>
      <name val="Arial"/>
      <family val="2"/>
    </font>
    <font>
      <sz val="9"/>
      <color rgb="FF000000"/>
      <name val="Arial"/>
      <family val="2"/>
    </font>
    <font>
      <b/>
      <sz val="9"/>
      <color rgb="FF000000"/>
      <name val="Arial"/>
      <family val="2"/>
    </font>
  </fonts>
  <fills count="21">
    <fill>
      <patternFill patternType="none"/>
    </fill>
    <fill>
      <patternFill patternType="gray125"/>
    </fill>
    <fill>
      <patternFill patternType="solid">
        <fgColor rgb="FFD9E1F2"/>
        <bgColor rgb="FFD6ECE8"/>
      </patternFill>
    </fill>
    <fill>
      <patternFill patternType="solid">
        <fgColor rgb="FFD6ECE8"/>
        <bgColor rgb="FFD9E1F2"/>
      </patternFill>
    </fill>
    <fill>
      <patternFill patternType="solid">
        <fgColor rgb="FF1F3864"/>
        <bgColor rgb="FF333333"/>
      </patternFill>
    </fill>
    <fill>
      <patternFill patternType="solid">
        <fgColor rgb="FFC55A11"/>
        <bgColor rgb="FF993300"/>
      </patternFill>
    </fill>
    <fill>
      <patternFill patternType="solid">
        <fgColor rgb="FFF4F7FB"/>
        <bgColor rgb="FFFFFFFF"/>
      </patternFill>
    </fill>
    <fill>
      <patternFill patternType="solid">
        <fgColor rgb="FF2F5496"/>
        <bgColor rgb="FF1F3864"/>
      </patternFill>
    </fill>
    <fill>
      <patternFill patternType="solid">
        <fgColor rgb="FF1F7A6D"/>
        <bgColor rgb="FF008080"/>
      </patternFill>
    </fill>
    <fill>
      <patternFill patternType="solid">
        <fgColor rgb="FFE3F2FD"/>
        <bgColor rgb="FFE8F5E9"/>
      </patternFill>
    </fill>
    <fill>
      <patternFill patternType="solid">
        <fgColor rgb="FFEEEEEE"/>
        <bgColor rgb="FFE8F5E9"/>
      </patternFill>
    </fill>
    <fill>
      <patternFill patternType="solid">
        <fgColor rgb="FFFFFDE7"/>
        <bgColor rgb="FFFFF3E0"/>
      </patternFill>
    </fill>
    <fill>
      <patternFill patternType="solid">
        <fgColor rgb="FFD0D0D0"/>
        <bgColor rgb="FFBBBBBB"/>
      </patternFill>
    </fill>
    <fill>
      <patternFill patternType="solid">
        <fgColor rgb="FFFFF3E0"/>
        <bgColor rgb="FFFFFDE7"/>
      </patternFill>
    </fill>
    <fill>
      <patternFill patternType="solid">
        <fgColor rgb="FFE8F5E9"/>
        <bgColor rgb="FFEEEEEE"/>
      </patternFill>
    </fill>
    <fill>
      <patternFill patternType="solid">
        <fgColor rgb="FFD9D9D9"/>
        <bgColor rgb="FFD0D0D0"/>
      </patternFill>
    </fill>
    <fill>
      <patternFill patternType="solid">
        <fgColor rgb="FFD6E4F0"/>
        <bgColor rgb="FFD0ECE7"/>
      </patternFill>
    </fill>
    <fill>
      <patternFill patternType="solid">
        <fgColor rgb="FFFFFFFF"/>
        <bgColor rgb="FFFFFDE7"/>
      </patternFill>
    </fill>
    <fill>
      <patternFill patternType="solid">
        <fgColor rgb="FFFFF9C4"/>
        <bgColor rgb="FFFFF3E0"/>
      </patternFill>
    </fill>
    <fill>
      <patternFill patternType="solid">
        <fgColor rgb="FFE2EFDA"/>
        <bgColor rgb="FFE8F5E9"/>
      </patternFill>
    </fill>
    <fill>
      <patternFill patternType="solid">
        <fgColor rgb="FFD0ECE7"/>
        <bgColor rgb="FFD6E4F0"/>
      </patternFill>
    </fill>
  </fills>
  <borders count="4">
    <border>
      <left/>
      <right/>
      <top/>
      <bottom/>
      <diagonal/>
    </border>
    <border>
      <left style="thin">
        <color rgb="FFBFBFBF"/>
      </left>
      <right style="thin">
        <color rgb="FFBFBFBF"/>
      </right>
      <top style="thin">
        <color rgb="FFBFBFBF"/>
      </top>
      <bottom style="thin">
        <color rgb="FFBFBFBF"/>
      </bottom>
      <diagonal/>
    </border>
    <border>
      <left style="thin">
        <color rgb="FFBBBBBB"/>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s>
  <cellStyleXfs count="1">
    <xf numFmtId="0" fontId="0" fillId="0" borderId="0"/>
  </cellStyleXfs>
  <cellXfs count="317">
    <xf numFmtId="0" fontId="0" fillId="0" borderId="0" xfId="0"/>
    <xf numFmtId="0" fontId="19" fillId="0" borderId="1" xfId="0" applyFont="1" applyBorder="1" applyAlignment="1">
      <alignment horizontal="left" vertical="center" wrapText="1"/>
    </xf>
    <xf numFmtId="0" fontId="15" fillId="4" borderId="1" xfId="0" applyFont="1" applyFill="1" applyBorder="1" applyAlignment="1">
      <alignment horizontal="center" vertical="center" wrapText="1"/>
    </xf>
    <xf numFmtId="0" fontId="10" fillId="0" borderId="0" xfId="0" applyFont="1" applyAlignment="1">
      <alignment horizontal="left" vertical="top" wrapText="1"/>
    </xf>
    <xf numFmtId="0" fontId="7" fillId="0" borderId="0" xfId="0" applyFont="1"/>
    <xf numFmtId="0" fontId="9" fillId="0" borderId="0" xfId="0" applyFont="1"/>
    <xf numFmtId="0" fontId="12" fillId="0" borderId="0" xfId="0" applyFont="1" applyAlignment="1">
      <alignment horizontal="center" vertical="center" wrapText="1"/>
    </xf>
    <xf numFmtId="0" fontId="16" fillId="0" borderId="1" xfId="0" applyFont="1" applyBorder="1" applyAlignment="1">
      <alignment horizontal="left" vertical="center" wrapText="1"/>
    </xf>
    <xf numFmtId="0" fontId="17" fillId="0" borderId="1" xfId="0" applyFont="1" applyBorder="1" applyAlignment="1">
      <alignment horizontal="center" vertical="center" wrapText="1"/>
    </xf>
    <xf numFmtId="0" fontId="18" fillId="0" borderId="1" xfId="0" applyFont="1" applyBorder="1" applyAlignment="1">
      <alignment horizontal="center" vertical="center" wrapText="1"/>
    </xf>
    <xf numFmtId="0" fontId="16" fillId="6" borderId="1" xfId="0" applyFont="1" applyFill="1" applyBorder="1" applyAlignment="1">
      <alignment horizontal="left" vertical="center" wrapText="1"/>
    </xf>
    <xf numFmtId="0" fontId="17" fillId="6" borderId="1" xfId="0" applyFont="1" applyFill="1" applyBorder="1" applyAlignment="1">
      <alignment horizontal="center" vertical="center" wrapText="1"/>
    </xf>
    <xf numFmtId="0" fontId="18" fillId="6" borderId="1" xfId="0" applyFont="1" applyFill="1" applyBorder="1" applyAlignment="1">
      <alignment horizontal="center" vertical="center" wrapText="1"/>
    </xf>
    <xf numFmtId="0" fontId="19" fillId="6" borderId="1" xfId="0" applyFont="1" applyFill="1" applyBorder="1" applyAlignment="1">
      <alignment horizontal="left" vertical="center" wrapText="1"/>
    </xf>
    <xf numFmtId="0" fontId="4" fillId="0" borderId="0" xfId="0" applyFont="1"/>
    <xf numFmtId="0" fontId="4" fillId="0" borderId="1" xfId="0" applyFont="1" applyBorder="1" applyAlignment="1">
      <alignment horizontal="left" vertical="top" wrapText="1"/>
    </xf>
    <xf numFmtId="0" fontId="10" fillId="0" borderId="1" xfId="0" applyFont="1" applyBorder="1" applyAlignment="1">
      <alignment horizontal="left" vertical="top" wrapText="1"/>
    </xf>
    <xf numFmtId="0" fontId="5" fillId="0" borderId="1" xfId="0" applyFont="1" applyBorder="1" applyAlignment="1">
      <alignment horizontal="left" vertical="top" wrapText="1"/>
    </xf>
    <xf numFmtId="0" fontId="15" fillId="7" borderId="1"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20" fillId="0" borderId="1" xfId="0" applyFont="1" applyBorder="1" applyAlignment="1">
      <alignment horizontal="left" vertical="top" wrapText="1"/>
    </xf>
    <xf numFmtId="0" fontId="20" fillId="6" borderId="1" xfId="0" applyFont="1" applyFill="1" applyBorder="1" applyAlignment="1">
      <alignment horizontal="left" vertical="top" wrapText="1"/>
    </xf>
    <xf numFmtId="0" fontId="10" fillId="6" borderId="1" xfId="0" applyFont="1" applyFill="1" applyBorder="1" applyAlignment="1">
      <alignment horizontal="left" vertical="top" wrapText="1"/>
    </xf>
    <xf numFmtId="0" fontId="21" fillId="0" borderId="1" xfId="0" applyFont="1" applyBorder="1" applyAlignment="1">
      <alignment horizontal="left" vertical="center" wrapText="1"/>
    </xf>
    <xf numFmtId="164" fontId="17" fillId="0" borderId="1" xfId="0" applyNumberFormat="1" applyFont="1" applyBorder="1" applyAlignment="1">
      <alignment horizontal="right" vertical="center"/>
    </xf>
    <xf numFmtId="0" fontId="21" fillId="6" borderId="1" xfId="0" applyFont="1" applyFill="1" applyBorder="1" applyAlignment="1">
      <alignment horizontal="left" vertical="center" wrapText="1"/>
    </xf>
    <xf numFmtId="164" fontId="17" fillId="6" borderId="1" xfId="0" applyNumberFormat="1" applyFont="1" applyFill="1" applyBorder="1" applyAlignment="1">
      <alignment horizontal="right" vertical="center"/>
    </xf>
    <xf numFmtId="164" fontId="16" fillId="0" borderId="1" xfId="0" applyNumberFormat="1" applyFont="1" applyBorder="1" applyAlignment="1">
      <alignment horizontal="right" vertical="center"/>
    </xf>
    <xf numFmtId="165" fontId="17" fillId="6" borderId="1" xfId="0" applyNumberFormat="1" applyFont="1" applyFill="1" applyBorder="1" applyAlignment="1">
      <alignment horizontal="right" vertical="center"/>
    </xf>
    <xf numFmtId="3" fontId="17" fillId="6" borderId="1" xfId="0" applyNumberFormat="1" applyFont="1" applyFill="1" applyBorder="1" applyAlignment="1">
      <alignment horizontal="right" vertical="center"/>
    </xf>
    <xf numFmtId="0" fontId="20" fillId="0" borderId="1" xfId="0" applyFont="1" applyBorder="1" applyAlignment="1">
      <alignment horizontal="left" vertical="center" wrapText="1"/>
    </xf>
    <xf numFmtId="166" fontId="16" fillId="0" borderId="1" xfId="0" applyNumberFormat="1" applyFont="1" applyBorder="1" applyAlignment="1">
      <alignment horizontal="right" vertical="center"/>
    </xf>
    <xf numFmtId="0" fontId="22" fillId="6" borderId="1" xfId="0" applyFont="1" applyFill="1" applyBorder="1" applyAlignment="1">
      <alignment horizontal="left" vertical="center" wrapText="1"/>
    </xf>
    <xf numFmtId="167" fontId="10" fillId="6" borderId="1" xfId="0" applyNumberFormat="1" applyFont="1" applyFill="1" applyBorder="1" applyAlignment="1">
      <alignment horizontal="right" vertical="center"/>
    </xf>
    <xf numFmtId="168" fontId="16" fillId="0" borderId="1" xfId="0" applyNumberFormat="1" applyFont="1" applyBorder="1" applyAlignment="1">
      <alignment horizontal="right" vertical="center"/>
    </xf>
    <xf numFmtId="0" fontId="12" fillId="0" borderId="1" xfId="0" applyFont="1" applyBorder="1" applyAlignment="1">
      <alignment horizontal="left" vertical="center" wrapText="1"/>
    </xf>
    <xf numFmtId="167" fontId="16" fillId="0" borderId="1" xfId="0" applyNumberFormat="1" applyFont="1" applyBorder="1" applyAlignment="1">
      <alignment horizontal="right" vertical="center"/>
    </xf>
    <xf numFmtId="0" fontId="23" fillId="0" borderId="1" xfId="0" applyFont="1" applyBorder="1" applyAlignment="1">
      <alignment horizontal="left" vertical="center" wrapText="1"/>
    </xf>
    <xf numFmtId="165" fontId="17" fillId="0" borderId="1" xfId="0" applyNumberFormat="1" applyFont="1" applyBorder="1" applyAlignment="1">
      <alignment horizontal="right" vertical="center"/>
    </xf>
    <xf numFmtId="167" fontId="21" fillId="0" borderId="1" xfId="0" applyNumberFormat="1" applyFont="1" applyBorder="1" applyAlignment="1">
      <alignment horizontal="right" vertical="center"/>
    </xf>
    <xf numFmtId="167" fontId="21" fillId="6" borderId="1" xfId="0" applyNumberFormat="1" applyFont="1" applyFill="1" applyBorder="1" applyAlignment="1">
      <alignment horizontal="right" vertical="center"/>
    </xf>
    <xf numFmtId="165" fontId="20" fillId="0" borderId="1" xfId="0" applyNumberFormat="1" applyFont="1" applyBorder="1" applyAlignment="1">
      <alignment horizontal="right" vertical="center"/>
    </xf>
    <xf numFmtId="167" fontId="20" fillId="0" borderId="1" xfId="0" applyNumberFormat="1" applyFont="1" applyBorder="1" applyAlignment="1">
      <alignment horizontal="right" vertical="center"/>
    </xf>
    <xf numFmtId="164" fontId="18" fillId="0" borderId="1" xfId="0" applyNumberFormat="1" applyFont="1" applyBorder="1" applyAlignment="1">
      <alignment horizontal="right" vertical="center"/>
    </xf>
    <xf numFmtId="164" fontId="18" fillId="6" borderId="1" xfId="0" applyNumberFormat="1" applyFont="1" applyFill="1" applyBorder="1" applyAlignment="1">
      <alignment horizontal="right" vertical="center"/>
    </xf>
    <xf numFmtId="164" fontId="20" fillId="0" borderId="1" xfId="0" applyNumberFormat="1" applyFont="1" applyBorder="1" applyAlignment="1">
      <alignment horizontal="right" vertical="center"/>
    </xf>
    <xf numFmtId="0" fontId="10" fillId="0" borderId="1" xfId="0" applyFont="1" applyBorder="1" applyAlignment="1">
      <alignment horizontal="left" vertical="center" wrapText="1"/>
    </xf>
    <xf numFmtId="0" fontId="24" fillId="0" borderId="1" xfId="0" applyFont="1" applyBorder="1" applyAlignment="1">
      <alignment horizontal="center" vertical="center" wrapText="1"/>
    </xf>
    <xf numFmtId="167" fontId="10" fillId="0" borderId="1" xfId="0" applyNumberFormat="1" applyFont="1" applyBorder="1" applyAlignment="1">
      <alignment horizontal="right" vertical="center"/>
    </xf>
    <xf numFmtId="0" fontId="25" fillId="0" borderId="1" xfId="0" applyFont="1" applyBorder="1" applyAlignment="1">
      <alignment horizontal="center" vertical="center" wrapText="1"/>
    </xf>
    <xf numFmtId="0" fontId="10" fillId="6" borderId="1" xfId="0" applyFont="1" applyFill="1" applyBorder="1" applyAlignment="1">
      <alignment horizontal="left" vertical="center" wrapText="1"/>
    </xf>
    <xf numFmtId="0" fontId="24" fillId="6" borderId="1" xfId="0" applyFont="1" applyFill="1" applyBorder="1" applyAlignment="1">
      <alignment horizontal="center" vertical="center" wrapText="1"/>
    </xf>
    <xf numFmtId="0" fontId="25" fillId="6" borderId="1" xfId="0" applyFont="1" applyFill="1" applyBorder="1" applyAlignment="1">
      <alignment horizontal="center" vertical="center" wrapText="1"/>
    </xf>
    <xf numFmtId="0" fontId="26" fillId="6" borderId="1" xfId="0" applyFont="1" applyFill="1" applyBorder="1" applyAlignment="1">
      <alignment horizontal="center" vertical="center" wrapText="1"/>
    </xf>
    <xf numFmtId="0" fontId="26"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27" fillId="0" borderId="1" xfId="0" applyFont="1" applyBorder="1" applyAlignment="1">
      <alignment horizontal="left" vertical="top" wrapText="1"/>
    </xf>
    <xf numFmtId="0" fontId="10" fillId="6" borderId="1" xfId="0" applyFont="1" applyFill="1" applyBorder="1" applyAlignment="1">
      <alignment horizontal="center" vertical="center" wrapText="1"/>
    </xf>
    <xf numFmtId="0" fontId="27" fillId="6" borderId="1" xfId="0" applyFont="1" applyFill="1" applyBorder="1" applyAlignment="1">
      <alignment horizontal="left" vertical="top" wrapText="1"/>
    </xf>
    <xf numFmtId="0" fontId="12" fillId="0" borderId="0" xfId="0" applyFont="1"/>
    <xf numFmtId="0" fontId="23" fillId="0" borderId="0" xfId="0" applyFont="1"/>
    <xf numFmtId="3" fontId="10" fillId="0" borderId="1" xfId="0" applyNumberFormat="1" applyFont="1" applyBorder="1" applyAlignment="1">
      <alignment horizontal="right" vertical="center"/>
    </xf>
    <xf numFmtId="169" fontId="10" fillId="0" borderId="1" xfId="0" applyNumberFormat="1" applyFont="1" applyBorder="1" applyAlignment="1">
      <alignment horizontal="right" vertical="center"/>
    </xf>
    <xf numFmtId="0" fontId="25" fillId="0" borderId="1" xfId="0" applyFont="1" applyBorder="1" applyAlignment="1">
      <alignment horizontal="left" vertical="center" wrapText="1"/>
    </xf>
    <xf numFmtId="3" fontId="10" fillId="6" borderId="1" xfId="0" applyNumberFormat="1" applyFont="1" applyFill="1" applyBorder="1" applyAlignment="1">
      <alignment horizontal="right" vertical="center"/>
    </xf>
    <xf numFmtId="169" fontId="10" fillId="6" borderId="1" xfId="0" applyNumberFormat="1" applyFont="1" applyFill="1" applyBorder="1" applyAlignment="1">
      <alignment horizontal="right" vertical="center"/>
    </xf>
    <xf numFmtId="0" fontId="25" fillId="6" borderId="1" xfId="0" applyFont="1" applyFill="1" applyBorder="1" applyAlignment="1">
      <alignment horizontal="left" vertical="center" wrapText="1"/>
    </xf>
    <xf numFmtId="3" fontId="28" fillId="0" borderId="1" xfId="0" applyNumberFormat="1" applyFont="1" applyBorder="1" applyAlignment="1">
      <alignment horizontal="right" vertical="center"/>
    </xf>
    <xf numFmtId="169" fontId="28" fillId="0" borderId="1" xfId="0" applyNumberFormat="1" applyFont="1" applyBorder="1" applyAlignment="1">
      <alignment horizontal="right" vertical="center"/>
    </xf>
    <xf numFmtId="0" fontId="29" fillId="0" borderId="1" xfId="0" applyFont="1" applyBorder="1" applyAlignment="1">
      <alignment horizontal="left" vertical="center" wrapText="1"/>
    </xf>
    <xf numFmtId="0" fontId="28" fillId="0" borderId="1" xfId="0" applyFont="1" applyBorder="1"/>
    <xf numFmtId="0" fontId="24" fillId="0" borderId="1" xfId="0" applyFont="1" applyBorder="1" applyAlignment="1">
      <alignment horizontal="left" vertical="center" wrapText="1"/>
    </xf>
    <xf numFmtId="0" fontId="29" fillId="6" borderId="1" xfId="0" applyFont="1" applyFill="1" applyBorder="1" applyAlignment="1">
      <alignment horizontal="left" vertical="center" wrapText="1"/>
    </xf>
    <xf numFmtId="0" fontId="24" fillId="6" borderId="1" xfId="0" applyFont="1" applyFill="1" applyBorder="1" applyAlignment="1">
      <alignment horizontal="left" vertical="center" wrapText="1"/>
    </xf>
    <xf numFmtId="0" fontId="27" fillId="0" borderId="1" xfId="0" applyFont="1" applyBorder="1" applyAlignment="1">
      <alignment horizontal="center" vertical="center" wrapText="1"/>
    </xf>
    <xf numFmtId="4" fontId="30" fillId="0" borderId="1" xfId="0" applyNumberFormat="1" applyFont="1" applyBorder="1" applyAlignment="1">
      <alignment horizontal="right" vertical="center"/>
    </xf>
    <xf numFmtId="169" fontId="27" fillId="0" borderId="1" xfId="0" applyNumberFormat="1" applyFont="1" applyBorder="1" applyAlignment="1">
      <alignment horizontal="right" vertical="center"/>
    </xf>
    <xf numFmtId="4" fontId="31" fillId="0" borderId="1" xfId="0" applyNumberFormat="1" applyFont="1" applyBorder="1" applyAlignment="1">
      <alignment horizontal="right" vertical="center"/>
    </xf>
    <xf numFmtId="0" fontId="27" fillId="6" borderId="1" xfId="0" applyFont="1" applyFill="1" applyBorder="1" applyAlignment="1">
      <alignment horizontal="center" vertical="center" wrapText="1"/>
    </xf>
    <xf numFmtId="4" fontId="30" fillId="6" borderId="1" xfId="0" applyNumberFormat="1" applyFont="1" applyFill="1" applyBorder="1" applyAlignment="1">
      <alignment horizontal="right" vertical="center"/>
    </xf>
    <xf numFmtId="169" fontId="27" fillId="6" borderId="1" xfId="0" applyNumberFormat="1" applyFont="1" applyFill="1" applyBorder="1" applyAlignment="1">
      <alignment horizontal="right" vertical="center"/>
    </xf>
    <xf numFmtId="4" fontId="31" fillId="6" borderId="1" xfId="0" applyNumberFormat="1" applyFont="1" applyFill="1" applyBorder="1" applyAlignment="1">
      <alignment horizontal="right" vertical="center"/>
    </xf>
    <xf numFmtId="4" fontId="24" fillId="0" borderId="1" xfId="0" applyNumberFormat="1" applyFont="1" applyBorder="1" applyAlignment="1">
      <alignment horizontal="right" vertical="center"/>
    </xf>
    <xf numFmtId="4" fontId="24" fillId="6" borderId="1" xfId="0" applyNumberFormat="1" applyFont="1" applyFill="1" applyBorder="1" applyAlignment="1">
      <alignment horizontal="right" vertical="center"/>
    </xf>
    <xf numFmtId="0" fontId="28" fillId="0" borderId="1" xfId="0" applyFont="1" applyBorder="1" applyAlignment="1">
      <alignment horizontal="left" vertical="center" wrapText="1"/>
    </xf>
    <xf numFmtId="169" fontId="24" fillId="0" borderId="1" xfId="0" applyNumberFormat="1" applyFont="1" applyBorder="1" applyAlignment="1">
      <alignment horizontal="right" vertical="center"/>
    </xf>
    <xf numFmtId="169" fontId="24" fillId="6" borderId="1" xfId="0" applyNumberFormat="1" applyFont="1" applyFill="1" applyBorder="1" applyAlignment="1">
      <alignment horizontal="right" vertical="center"/>
    </xf>
    <xf numFmtId="0" fontId="28" fillId="6" borderId="1" xfId="0" applyFont="1" applyFill="1" applyBorder="1" applyAlignment="1">
      <alignment horizontal="left" vertical="center" wrapText="1"/>
    </xf>
    <xf numFmtId="0" fontId="24" fillId="0" borderId="1" xfId="0" applyFont="1" applyBorder="1" applyAlignment="1">
      <alignment horizontal="right" vertical="center"/>
    </xf>
    <xf numFmtId="0" fontId="24" fillId="6" borderId="1" xfId="0" applyFont="1" applyFill="1" applyBorder="1" applyAlignment="1">
      <alignment horizontal="right" vertical="center"/>
    </xf>
    <xf numFmtId="0" fontId="12"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12" fillId="6" borderId="1" xfId="0" applyFont="1" applyFill="1" applyBorder="1" applyAlignment="1">
      <alignment horizontal="center" vertical="center" wrapText="1"/>
    </xf>
    <xf numFmtId="0" fontId="33" fillId="6" borderId="1" xfId="0" applyFont="1" applyFill="1" applyBorder="1" applyAlignment="1">
      <alignment horizontal="center" vertical="center" wrapText="1"/>
    </xf>
    <xf numFmtId="0" fontId="34" fillId="0" borderId="1" xfId="0" applyFont="1" applyBorder="1" applyAlignment="1">
      <alignment horizontal="center" vertical="center" wrapText="1"/>
    </xf>
    <xf numFmtId="0" fontId="23" fillId="6" borderId="1" xfId="0" applyFont="1" applyFill="1" applyBorder="1" applyAlignment="1">
      <alignment horizontal="center" vertical="center" wrapText="1"/>
    </xf>
    <xf numFmtId="0" fontId="32" fillId="6" borderId="1" xfId="0" applyFont="1" applyFill="1" applyBorder="1" applyAlignment="1">
      <alignment horizontal="center" vertical="center" wrapText="1"/>
    </xf>
    <xf numFmtId="0" fontId="23" fillId="0" borderId="1" xfId="0" applyFont="1" applyBorder="1" applyAlignment="1">
      <alignment horizontal="center" vertical="center" wrapText="1"/>
    </xf>
    <xf numFmtId="0" fontId="29" fillId="6" borderId="1" xfId="0" applyFont="1" applyFill="1" applyBorder="1" applyAlignment="1">
      <alignment horizontal="center" vertical="center" wrapText="1"/>
    </xf>
    <xf numFmtId="167" fontId="24" fillId="0" borderId="1" xfId="0" applyNumberFormat="1" applyFont="1" applyBorder="1" applyAlignment="1">
      <alignment horizontal="right" vertical="center"/>
    </xf>
    <xf numFmtId="167" fontId="26" fillId="0" borderId="1" xfId="0" applyNumberFormat="1" applyFont="1" applyBorder="1" applyAlignment="1">
      <alignment horizontal="right" vertical="center"/>
    </xf>
    <xf numFmtId="167" fontId="24" fillId="6" borderId="1" xfId="0" applyNumberFormat="1" applyFont="1" applyFill="1" applyBorder="1" applyAlignment="1">
      <alignment horizontal="right" vertical="center"/>
    </xf>
    <xf numFmtId="0" fontId="0" fillId="6" borderId="0" xfId="0" applyFill="1"/>
    <xf numFmtId="167" fontId="26" fillId="6" borderId="1" xfId="0" applyNumberFormat="1" applyFont="1" applyFill="1" applyBorder="1" applyAlignment="1">
      <alignment horizontal="right" vertical="center"/>
    </xf>
    <xf numFmtId="0" fontId="35" fillId="4" borderId="1" xfId="0" applyFont="1" applyFill="1" applyBorder="1" applyAlignment="1">
      <alignment horizontal="center" vertical="center" wrapText="1"/>
    </xf>
    <xf numFmtId="167" fontId="19" fillId="0" borderId="1" xfId="0" applyNumberFormat="1" applyFont="1" applyBorder="1" applyAlignment="1">
      <alignment horizontal="right" vertical="center"/>
    </xf>
    <xf numFmtId="167" fontId="19" fillId="6" borderId="1" xfId="0" applyNumberFormat="1" applyFont="1" applyFill="1" applyBorder="1" applyAlignment="1">
      <alignment horizontal="right" vertical="center"/>
    </xf>
    <xf numFmtId="168" fontId="24" fillId="0" borderId="1" xfId="0" applyNumberFormat="1" applyFont="1" applyBorder="1" applyAlignment="1">
      <alignment horizontal="right" vertical="center"/>
    </xf>
    <xf numFmtId="168" fontId="26" fillId="0" borderId="1" xfId="0" applyNumberFormat="1" applyFont="1" applyBorder="1" applyAlignment="1">
      <alignment horizontal="right" vertical="center"/>
    </xf>
    <xf numFmtId="168" fontId="24" fillId="6" borderId="1" xfId="0" applyNumberFormat="1" applyFont="1" applyFill="1" applyBorder="1" applyAlignment="1">
      <alignment horizontal="right" vertical="center"/>
    </xf>
    <xf numFmtId="168" fontId="26" fillId="6" borderId="1" xfId="0" applyNumberFormat="1" applyFont="1" applyFill="1" applyBorder="1" applyAlignment="1">
      <alignment horizontal="right" vertical="center"/>
    </xf>
    <xf numFmtId="0" fontId="0" fillId="0" borderId="0" xfId="0" applyAlignment="1">
      <alignment wrapText="1"/>
    </xf>
    <xf numFmtId="169" fontId="38" fillId="0" borderId="1" xfId="0" applyNumberFormat="1" applyFont="1" applyBorder="1" applyAlignment="1">
      <alignment horizontal="right" vertical="center" wrapText="1"/>
    </xf>
    <xf numFmtId="169" fontId="16" fillId="0" borderId="1" xfId="0" applyNumberFormat="1" applyFont="1" applyBorder="1" applyAlignment="1">
      <alignment horizontal="right" vertical="center" wrapText="1"/>
    </xf>
    <xf numFmtId="169" fontId="37" fillId="6" borderId="1" xfId="0" applyNumberFormat="1" applyFont="1" applyFill="1" applyBorder="1" applyAlignment="1">
      <alignment horizontal="right" vertical="center" wrapText="1"/>
    </xf>
    <xf numFmtId="169" fontId="21" fillId="6" borderId="1" xfId="0" applyNumberFormat="1" applyFont="1" applyFill="1" applyBorder="1" applyAlignment="1">
      <alignment horizontal="right" vertical="center" wrapText="1"/>
    </xf>
    <xf numFmtId="167" fontId="21" fillId="0" borderId="1" xfId="0" applyNumberFormat="1" applyFont="1" applyBorder="1" applyAlignment="1">
      <alignment horizontal="right" vertical="center" wrapText="1"/>
    </xf>
    <xf numFmtId="169" fontId="17" fillId="0" borderId="1" xfId="0" applyNumberFormat="1" applyFont="1" applyBorder="1" applyAlignment="1">
      <alignment horizontal="right" vertical="center" wrapText="1"/>
    </xf>
    <xf numFmtId="169" fontId="18" fillId="0" borderId="1" xfId="0" applyNumberFormat="1" applyFont="1" applyBorder="1" applyAlignment="1">
      <alignment horizontal="right" vertical="center" wrapText="1"/>
    </xf>
    <xf numFmtId="169" fontId="17" fillId="6" borderId="1" xfId="0" applyNumberFormat="1" applyFont="1" applyFill="1" applyBorder="1" applyAlignment="1">
      <alignment horizontal="right" vertical="center" wrapText="1"/>
    </xf>
    <xf numFmtId="169" fontId="18" fillId="6" borderId="1" xfId="0" applyNumberFormat="1" applyFont="1" applyFill="1" applyBorder="1" applyAlignment="1">
      <alignment horizontal="right" vertical="center" wrapText="1"/>
    </xf>
    <xf numFmtId="0" fontId="40" fillId="0" borderId="0" xfId="0" applyFont="1"/>
    <xf numFmtId="0" fontId="41" fillId="4" borderId="0" xfId="0" applyFont="1" applyFill="1"/>
    <xf numFmtId="0" fontId="42" fillId="0" borderId="0" xfId="0" applyFont="1"/>
    <xf numFmtId="0" fontId="43" fillId="4" borderId="0" xfId="0" applyFont="1" applyFill="1" applyAlignment="1">
      <alignment horizontal="center"/>
    </xf>
    <xf numFmtId="0" fontId="0" fillId="8" borderId="0" xfId="0" applyFill="1"/>
    <xf numFmtId="0" fontId="41" fillId="8" borderId="0" xfId="0" applyFont="1" applyFill="1"/>
    <xf numFmtId="0" fontId="0" fillId="7" borderId="0" xfId="0" applyFill="1"/>
    <xf numFmtId="0" fontId="41" fillId="7" borderId="0" xfId="0" applyFont="1" applyFill="1"/>
    <xf numFmtId="0" fontId="44" fillId="0" borderId="0" xfId="0" applyFont="1"/>
    <xf numFmtId="0" fontId="41" fillId="4" borderId="0" xfId="0" applyFont="1" applyFill="1" applyAlignment="1">
      <alignment wrapText="1"/>
    </xf>
    <xf numFmtId="0" fontId="14" fillId="0" borderId="0" xfId="0" applyFont="1" applyAlignment="1">
      <alignment wrapText="1"/>
    </xf>
    <xf numFmtId="0" fontId="13" fillId="0" borderId="0" xfId="0" applyFont="1" applyAlignment="1">
      <alignment horizontal="left" vertical="center" wrapText="1"/>
    </xf>
    <xf numFmtId="0" fontId="47" fillId="0" borderId="0" xfId="0" applyFont="1" applyAlignment="1">
      <alignment horizontal="left" vertical="center"/>
    </xf>
    <xf numFmtId="0" fontId="47" fillId="0" borderId="0" xfId="0" applyFont="1" applyAlignment="1">
      <alignment horizontal="left" vertical="center" wrapText="1"/>
    </xf>
    <xf numFmtId="0" fontId="49" fillId="4" borderId="1" xfId="0" applyFont="1" applyFill="1" applyBorder="1" applyAlignment="1">
      <alignment horizontal="center" vertical="center" wrapText="1"/>
    </xf>
    <xf numFmtId="0" fontId="50" fillId="0" borderId="1" xfId="0" applyFont="1" applyBorder="1" applyAlignment="1">
      <alignment horizontal="left" vertical="center" wrapText="1"/>
    </xf>
    <xf numFmtId="167" fontId="51" fillId="0" borderId="1" xfId="0" applyNumberFormat="1" applyFont="1" applyBorder="1" applyAlignment="1">
      <alignment horizontal="right" vertical="center"/>
    </xf>
    <xf numFmtId="0" fontId="52" fillId="6" borderId="1" xfId="0" applyFont="1" applyFill="1" applyBorder="1" applyAlignment="1">
      <alignment horizontal="left" vertical="center" wrapText="1"/>
    </xf>
    <xf numFmtId="171" fontId="51" fillId="6" borderId="1" xfId="0" applyNumberFormat="1" applyFont="1" applyFill="1" applyBorder="1" applyAlignment="1">
      <alignment horizontal="right" vertical="center"/>
    </xf>
    <xf numFmtId="171" fontId="53" fillId="6" borderId="1" xfId="0" applyNumberFormat="1" applyFont="1" applyFill="1" applyBorder="1" applyAlignment="1">
      <alignment horizontal="right" vertical="center"/>
    </xf>
    <xf numFmtId="167" fontId="53" fillId="0" borderId="1" xfId="0" applyNumberFormat="1" applyFont="1" applyBorder="1" applyAlignment="1">
      <alignment horizontal="right" vertical="center"/>
    </xf>
    <xf numFmtId="0" fontId="54" fillId="0" borderId="0" xfId="0" applyFont="1"/>
    <xf numFmtId="0" fontId="55" fillId="0" borderId="0" xfId="0" applyFont="1" applyAlignment="1">
      <alignment horizontal="left" vertical="top" wrapText="1"/>
    </xf>
    <xf numFmtId="0" fontId="56" fillId="0" borderId="0" xfId="0" applyFont="1"/>
    <xf numFmtId="0" fontId="56" fillId="0" borderId="0" xfId="0" applyFont="1" applyAlignment="1">
      <alignment wrapText="1"/>
    </xf>
    <xf numFmtId="0" fontId="61" fillId="0" borderId="0" xfId="0" applyFont="1"/>
    <xf numFmtId="0" fontId="55" fillId="6" borderId="1" xfId="0" applyFont="1" applyFill="1" applyBorder="1" applyAlignment="1">
      <alignment horizontal="left" vertical="center" wrapText="1"/>
    </xf>
    <xf numFmtId="0" fontId="62" fillId="6" borderId="1" xfId="0" applyFont="1" applyFill="1" applyBorder="1" applyAlignment="1">
      <alignment horizontal="left" vertical="center" wrapText="1"/>
    </xf>
    <xf numFmtId="0" fontId="55" fillId="0" borderId="1" xfId="0" applyFont="1" applyBorder="1" applyAlignment="1">
      <alignment horizontal="left" vertical="center" wrapText="1"/>
    </xf>
    <xf numFmtId="0" fontId="62" fillId="0" borderId="1" xfId="0" applyFont="1" applyBorder="1" applyAlignment="1">
      <alignment horizontal="left" vertical="center" wrapText="1"/>
    </xf>
    <xf numFmtId="0" fontId="57" fillId="0" borderId="0" xfId="0" applyFont="1"/>
    <xf numFmtId="0" fontId="63" fillId="0" borderId="1" xfId="0" applyFont="1" applyBorder="1" applyAlignment="1">
      <alignment horizontal="right" vertical="center"/>
    </xf>
    <xf numFmtId="172" fontId="51" fillId="0" borderId="1" xfId="0" applyNumberFormat="1" applyFont="1" applyBorder="1" applyAlignment="1">
      <alignment horizontal="right" vertical="center"/>
    </xf>
    <xf numFmtId="0" fontId="52" fillId="0" borderId="1" xfId="0" applyFont="1" applyBorder="1" applyAlignment="1">
      <alignment horizontal="left" vertical="center" wrapText="1"/>
    </xf>
    <xf numFmtId="0" fontId="63" fillId="6" borderId="1" xfId="0" applyFont="1" applyFill="1" applyBorder="1" applyAlignment="1">
      <alignment horizontal="right" vertical="center"/>
    </xf>
    <xf numFmtId="167" fontId="51" fillId="6" borderId="1" xfId="0" applyNumberFormat="1" applyFont="1" applyFill="1" applyBorder="1" applyAlignment="1">
      <alignment horizontal="right" vertical="center"/>
    </xf>
    <xf numFmtId="167" fontId="63" fillId="0" borderId="1" xfId="0" applyNumberFormat="1" applyFont="1" applyBorder="1" applyAlignment="1">
      <alignment horizontal="right" vertical="center"/>
    </xf>
    <xf numFmtId="164" fontId="51" fillId="0" borderId="1" xfId="0" applyNumberFormat="1" applyFont="1" applyBorder="1" applyAlignment="1">
      <alignment horizontal="right" vertical="center"/>
    </xf>
    <xf numFmtId="164" fontId="53" fillId="0" borderId="1" xfId="0" applyNumberFormat="1" applyFont="1" applyBorder="1" applyAlignment="1">
      <alignment horizontal="right" vertical="center"/>
    </xf>
    <xf numFmtId="172" fontId="51" fillId="6" borderId="1" xfId="0" applyNumberFormat="1" applyFont="1" applyFill="1" applyBorder="1" applyAlignment="1">
      <alignment horizontal="right" vertical="center"/>
    </xf>
    <xf numFmtId="167" fontId="63" fillId="6" borderId="1" xfId="0" applyNumberFormat="1" applyFont="1" applyFill="1" applyBorder="1" applyAlignment="1">
      <alignment horizontal="right" vertical="center"/>
    </xf>
    <xf numFmtId="164" fontId="51" fillId="6" borderId="1" xfId="0" applyNumberFormat="1" applyFont="1" applyFill="1" applyBorder="1" applyAlignment="1">
      <alignment horizontal="right" vertical="center"/>
    </xf>
    <xf numFmtId="0" fontId="50" fillId="6" borderId="1" xfId="0" applyFont="1" applyFill="1" applyBorder="1" applyAlignment="1">
      <alignment horizontal="left" vertical="center" wrapText="1"/>
    </xf>
    <xf numFmtId="0" fontId="64" fillId="0" borderId="1" xfId="0" applyFont="1" applyBorder="1" applyAlignment="1">
      <alignment horizontal="right" vertical="center"/>
    </xf>
    <xf numFmtId="0" fontId="64" fillId="6" borderId="1" xfId="0" applyFont="1" applyFill="1" applyBorder="1" applyAlignment="1">
      <alignment horizontal="right" vertical="center"/>
    </xf>
    <xf numFmtId="167" fontId="64" fillId="0" borderId="1" xfId="0" applyNumberFormat="1" applyFont="1" applyBorder="1" applyAlignment="1">
      <alignment horizontal="right" vertical="center"/>
    </xf>
    <xf numFmtId="167" fontId="64" fillId="6" borderId="1" xfId="0" applyNumberFormat="1" applyFont="1" applyFill="1" applyBorder="1" applyAlignment="1">
      <alignment horizontal="right" vertical="center"/>
    </xf>
    <xf numFmtId="0" fontId="65" fillId="0" borderId="1" xfId="0" applyFont="1" applyBorder="1" applyAlignment="1">
      <alignment horizontal="left" vertical="center" wrapText="1"/>
    </xf>
    <xf numFmtId="0" fontId="65" fillId="6" borderId="1" xfId="0" applyFont="1" applyFill="1" applyBorder="1" applyAlignment="1">
      <alignment horizontal="left" vertical="center" wrapText="1"/>
    </xf>
    <xf numFmtId="0" fontId="55" fillId="0" borderId="0" xfId="0" applyFont="1"/>
    <xf numFmtId="0" fontId="61" fillId="0" borderId="0" xfId="0" applyFont="1" applyAlignment="1">
      <alignment horizontal="center" vertical="center" wrapText="1"/>
    </xf>
    <xf numFmtId="0" fontId="62" fillId="0" borderId="0" xfId="0" applyFont="1"/>
    <xf numFmtId="0" fontId="66" fillId="0" borderId="0" xfId="0" applyFont="1"/>
    <xf numFmtId="0" fontId="61" fillId="0" borderId="0" xfId="0" applyFont="1" applyAlignment="1">
      <alignment horizontal="center"/>
    </xf>
    <xf numFmtId="0" fontId="69" fillId="0" borderId="0" xfId="0" applyFont="1"/>
    <xf numFmtId="170" fontId="70" fillId="0" borderId="0" xfId="0" applyNumberFormat="1" applyFont="1"/>
    <xf numFmtId="2" fontId="70" fillId="0" borderId="0" xfId="0" applyNumberFormat="1" applyFont="1"/>
    <xf numFmtId="170" fontId="68" fillId="0" borderId="0" xfId="0" applyNumberFormat="1" applyFont="1"/>
    <xf numFmtId="169" fontId="68" fillId="0" borderId="0" xfId="0" applyNumberFormat="1" applyFont="1"/>
    <xf numFmtId="0" fontId="71" fillId="0" borderId="0" xfId="0" applyFont="1"/>
    <xf numFmtId="0" fontId="72" fillId="0" borderId="0" xfId="0" applyFont="1"/>
    <xf numFmtId="0" fontId="73" fillId="0" borderId="0" xfId="0" applyFont="1"/>
    <xf numFmtId="0" fontId="80" fillId="10" borderId="2" xfId="0" applyFont="1" applyFill="1" applyBorder="1" applyAlignment="1">
      <alignment horizontal="left" vertical="center"/>
    </xf>
    <xf numFmtId="0" fontId="80" fillId="14" borderId="2" xfId="0" applyFont="1" applyFill="1" applyBorder="1" applyAlignment="1">
      <alignment horizontal="center" vertical="center"/>
    </xf>
    <xf numFmtId="0" fontId="80" fillId="9" borderId="2" xfId="0" applyFont="1" applyFill="1" applyBorder="1" applyAlignment="1">
      <alignment horizontal="center" vertical="center"/>
    </xf>
    <xf numFmtId="0" fontId="80" fillId="12" borderId="2" xfId="0" applyFont="1" applyFill="1" applyBorder="1" applyAlignment="1">
      <alignment horizontal="left" vertical="center"/>
    </xf>
    <xf numFmtId="0" fontId="74" fillId="0" borderId="0" xfId="0" applyFont="1" applyAlignment="1">
      <alignment horizontal="left" vertical="center"/>
    </xf>
    <xf numFmtId="0" fontId="80" fillId="10" borderId="2" xfId="0" applyFont="1" applyFill="1" applyBorder="1" applyAlignment="1">
      <alignment horizontal="center" vertical="center"/>
    </xf>
    <xf numFmtId="0" fontId="76" fillId="0" borderId="2" xfId="0" applyFont="1" applyBorder="1" applyAlignment="1">
      <alignment horizontal="left" vertical="center"/>
    </xf>
    <xf numFmtId="164" fontId="76" fillId="0" borderId="2" xfId="0" applyNumberFormat="1" applyFont="1" applyBorder="1" applyAlignment="1">
      <alignment horizontal="right" vertical="center"/>
    </xf>
    <xf numFmtId="0" fontId="77" fillId="11" borderId="2" xfId="0" applyFont="1" applyFill="1" applyBorder="1" applyAlignment="1">
      <alignment horizontal="left" vertical="center"/>
    </xf>
    <xf numFmtId="0" fontId="76" fillId="11" borderId="2" xfId="0" applyFont="1" applyFill="1" applyBorder="1" applyAlignment="1">
      <alignment horizontal="left" vertical="center"/>
    </xf>
    <xf numFmtId="0" fontId="76" fillId="0" borderId="2" xfId="0" applyFont="1" applyBorder="1" applyAlignment="1">
      <alignment horizontal="left" vertical="center" indent="1"/>
    </xf>
    <xf numFmtId="164" fontId="80" fillId="10" borderId="2" xfId="0" applyNumberFormat="1" applyFont="1" applyFill="1" applyBorder="1" applyAlignment="1">
      <alignment horizontal="right" vertical="center"/>
    </xf>
    <xf numFmtId="164" fontId="80" fillId="12" borderId="2" xfId="0" applyNumberFormat="1" applyFont="1" applyFill="1" applyBorder="1" applyAlignment="1">
      <alignment horizontal="right" vertical="center"/>
    </xf>
    <xf numFmtId="0" fontId="80" fillId="0" borderId="2" xfId="0" applyFont="1" applyBorder="1" applyAlignment="1">
      <alignment horizontal="left" vertical="center"/>
    </xf>
    <xf numFmtId="164" fontId="80" fillId="9" borderId="2" xfId="0" applyNumberFormat="1" applyFont="1" applyFill="1" applyBorder="1" applyAlignment="1">
      <alignment horizontal="right" vertical="center"/>
    </xf>
    <xf numFmtId="164" fontId="80" fillId="13" borderId="2" xfId="0" applyNumberFormat="1" applyFont="1" applyFill="1" applyBorder="1" applyAlignment="1">
      <alignment horizontal="right" vertical="center"/>
    </xf>
    <xf numFmtId="164" fontId="80" fillId="14" borderId="2" xfId="0" applyNumberFormat="1" applyFont="1" applyFill="1" applyBorder="1" applyAlignment="1">
      <alignment horizontal="right" vertical="center"/>
    </xf>
    <xf numFmtId="0" fontId="81" fillId="0" borderId="0" xfId="0" applyFont="1" applyAlignment="1">
      <alignment horizontal="left" vertical="center"/>
    </xf>
    <xf numFmtId="164" fontId="76" fillId="9" borderId="2" xfId="0" applyNumberFormat="1" applyFont="1" applyFill="1" applyBorder="1" applyAlignment="1">
      <alignment horizontal="right" vertical="center"/>
    </xf>
    <xf numFmtId="164" fontId="76" fillId="14" borderId="2" xfId="0" applyNumberFormat="1" applyFont="1" applyFill="1" applyBorder="1" applyAlignment="1">
      <alignment horizontal="right" vertical="center"/>
    </xf>
    <xf numFmtId="0" fontId="0" fillId="11" borderId="2" xfId="0" applyFill="1" applyBorder="1"/>
    <xf numFmtId="0" fontId="76" fillId="9" borderId="2" xfId="0" applyFont="1" applyFill="1" applyBorder="1" applyAlignment="1">
      <alignment horizontal="left" vertical="center"/>
    </xf>
    <xf numFmtId="173" fontId="76" fillId="9" borderId="2" xfId="0" applyNumberFormat="1" applyFont="1" applyFill="1" applyBorder="1" applyAlignment="1">
      <alignment horizontal="right" vertical="center"/>
    </xf>
    <xf numFmtId="0" fontId="0" fillId="9" borderId="2" xfId="0" applyFill="1" applyBorder="1"/>
    <xf numFmtId="0" fontId="76" fillId="14" borderId="2" xfId="0" applyFont="1" applyFill="1" applyBorder="1" applyAlignment="1">
      <alignment horizontal="left" vertical="center"/>
    </xf>
    <xf numFmtId="0" fontId="0" fillId="14" borderId="2" xfId="0" applyFill="1" applyBorder="1"/>
    <xf numFmtId="173" fontId="76" fillId="14" borderId="2" xfId="0" applyNumberFormat="1" applyFont="1" applyFill="1" applyBorder="1" applyAlignment="1">
      <alignment horizontal="right" vertical="center"/>
    </xf>
    <xf numFmtId="0" fontId="82" fillId="11" borderId="2" xfId="0" applyFont="1" applyFill="1" applyBorder="1" applyAlignment="1">
      <alignment horizontal="left" vertical="top" wrapText="1"/>
    </xf>
    <xf numFmtId="0" fontId="83" fillId="0" borderId="2" xfId="0" applyFont="1" applyBorder="1" applyAlignment="1">
      <alignment horizontal="left" vertical="top" wrapText="1"/>
    </xf>
    <xf numFmtId="0" fontId="76" fillId="0" borderId="0" xfId="0" applyFont="1" applyAlignment="1">
      <alignment vertical="center"/>
    </xf>
    <xf numFmtId="0" fontId="84" fillId="4" borderId="2" xfId="0" applyFont="1" applyFill="1" applyBorder="1" applyAlignment="1">
      <alignment horizontal="left" vertical="center"/>
    </xf>
    <xf numFmtId="0" fontId="86" fillId="19" borderId="2" xfId="0" applyFont="1" applyFill="1" applyBorder="1" applyAlignment="1">
      <alignment horizontal="left" vertical="center"/>
    </xf>
    <xf numFmtId="0" fontId="85" fillId="17" borderId="2" xfId="0" applyFont="1" applyFill="1" applyBorder="1" applyAlignment="1">
      <alignment horizontal="left" vertical="center" wrapText="1"/>
    </xf>
    <xf numFmtId="0" fontId="80" fillId="12" borderId="2" xfId="0" applyFont="1" applyFill="1" applyBorder="1" applyAlignment="1">
      <alignment horizontal="left" vertical="center"/>
    </xf>
    <xf numFmtId="0" fontId="78" fillId="14" borderId="2" xfId="0" applyFont="1" applyFill="1" applyBorder="1" applyAlignment="1">
      <alignment horizontal="center" vertical="center"/>
    </xf>
    <xf numFmtId="0" fontId="79" fillId="14" borderId="2" xfId="0" applyFont="1" applyFill="1" applyBorder="1" applyAlignment="1">
      <alignment horizontal="center" vertical="center"/>
    </xf>
    <xf numFmtId="0" fontId="80" fillId="14" borderId="2" xfId="0" applyFont="1" applyFill="1" applyBorder="1" applyAlignment="1">
      <alignment horizontal="left" vertical="center"/>
    </xf>
    <xf numFmtId="0" fontId="10" fillId="0" borderId="0" xfId="0" applyFont="1"/>
    <xf numFmtId="0" fontId="10" fillId="0" borderId="0" xfId="0" applyFont="1" applyAlignment="1">
      <alignment horizontal="left" vertical="top" wrapText="1"/>
    </xf>
    <xf numFmtId="0" fontId="11" fillId="0" borderId="0" xfId="0" applyFont="1" applyAlignment="1">
      <alignment horizontal="center" vertical="center" wrapText="1"/>
    </xf>
    <xf numFmtId="0" fontId="6" fillId="4" borderId="0" xfId="0" applyFont="1" applyFill="1" applyAlignment="1">
      <alignment horizontal="left" vertical="center" indent="1"/>
    </xf>
    <xf numFmtId="0" fontId="8" fillId="0" borderId="0" xfId="0" applyFont="1"/>
    <xf numFmtId="0" fontId="6" fillId="5" borderId="0" xfId="0" applyFont="1" applyFill="1" applyAlignment="1">
      <alignment horizontal="left" vertical="center" inden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59" fillId="2" borderId="1" xfId="0" applyFont="1" applyFill="1" applyBorder="1" applyAlignment="1">
      <alignment horizontal="center" vertical="center" wrapText="1"/>
    </xf>
    <xf numFmtId="0" fontId="60" fillId="3" borderId="1" xfId="0" applyFont="1" applyFill="1" applyBorder="1" applyAlignment="1">
      <alignment horizontal="center" vertical="center" wrapText="1"/>
    </xf>
    <xf numFmtId="0" fontId="11" fillId="0" borderId="0" xfId="0" applyFont="1" applyAlignment="1">
      <alignment horizontal="left" vertical="top" wrapText="1"/>
    </xf>
    <xf numFmtId="0" fontId="10" fillId="0" borderId="1" xfId="0" applyFont="1" applyBorder="1" applyAlignment="1">
      <alignment horizontal="left" vertical="top" wrapText="1"/>
    </xf>
    <xf numFmtId="0" fontId="19" fillId="6" borderId="1" xfId="0" applyFont="1" applyFill="1" applyBorder="1" applyAlignment="1">
      <alignment horizontal="left" vertical="center" wrapText="1"/>
    </xf>
    <xf numFmtId="0" fontId="19" fillId="0" borderId="1" xfId="0" applyFont="1" applyBorder="1" applyAlignment="1">
      <alignment horizontal="left" vertical="center" wrapText="1"/>
    </xf>
    <xf numFmtId="0" fontId="0" fillId="0" borderId="0" xfId="0"/>
    <xf numFmtId="0" fontId="15" fillId="4" borderId="1" xfId="0" applyFont="1" applyFill="1" applyBorder="1" applyAlignment="1">
      <alignment horizontal="center" vertical="center" wrapText="1"/>
    </xf>
    <xf numFmtId="0" fontId="46" fillId="0" borderId="0" xfId="0" applyFont="1" applyAlignment="1">
      <alignment horizontal="left" vertical="top" wrapText="1"/>
    </xf>
    <xf numFmtId="0" fontId="6" fillId="7" borderId="0" xfId="0" applyFont="1" applyFill="1" applyAlignment="1">
      <alignment horizontal="left" vertical="center" indent="1"/>
    </xf>
    <xf numFmtId="0" fontId="6" fillId="8" borderId="0" xfId="0" applyFont="1" applyFill="1" applyAlignment="1">
      <alignment horizontal="left" vertical="center" indent="1"/>
    </xf>
    <xf numFmtId="0" fontId="0" fillId="0" borderId="1" xfId="0" applyBorder="1"/>
    <xf numFmtId="164" fontId="20" fillId="0" borderId="1" xfId="0" applyNumberFormat="1" applyFont="1" applyBorder="1" applyAlignment="1">
      <alignment horizontal="right" vertical="center"/>
    </xf>
    <xf numFmtId="164" fontId="18" fillId="0" borderId="1" xfId="0" applyNumberFormat="1" applyFont="1" applyBorder="1" applyAlignment="1">
      <alignment horizontal="right" vertical="center"/>
    </xf>
    <xf numFmtId="164" fontId="18" fillId="6" borderId="1" xfId="0" applyNumberFormat="1" applyFont="1" applyFill="1" applyBorder="1" applyAlignment="1">
      <alignment horizontal="right" vertical="center"/>
    </xf>
    <xf numFmtId="0" fontId="26" fillId="6" borderId="1" xfId="0" applyFont="1" applyFill="1" applyBorder="1" applyAlignment="1">
      <alignment horizontal="left" vertical="center" wrapText="1"/>
    </xf>
    <xf numFmtId="0" fontId="26" fillId="0" borderId="1" xfId="0" applyFont="1" applyBorder="1" applyAlignment="1">
      <alignment horizontal="left" vertical="center" wrapText="1"/>
    </xf>
    <xf numFmtId="0" fontId="27" fillId="6" borderId="1" xfId="0" applyFont="1" applyFill="1" applyBorder="1" applyAlignment="1">
      <alignment horizontal="left" vertical="top" wrapText="1"/>
    </xf>
    <xf numFmtId="0" fontId="27" fillId="0" borderId="1" xfId="0" applyFont="1" applyBorder="1" applyAlignment="1">
      <alignment horizontal="left" vertical="top" wrapText="1"/>
    </xf>
    <xf numFmtId="169" fontId="26" fillId="6" borderId="1" xfId="0" applyNumberFormat="1" applyFont="1" applyFill="1" applyBorder="1" applyAlignment="1">
      <alignment horizontal="right" vertical="center"/>
    </xf>
    <xf numFmtId="0" fontId="26" fillId="0" borderId="1" xfId="0" applyFont="1" applyBorder="1" applyAlignment="1">
      <alignment horizontal="right" vertical="center"/>
    </xf>
    <xf numFmtId="0" fontId="26" fillId="6" borderId="1" xfId="0" applyFont="1" applyFill="1" applyBorder="1" applyAlignment="1">
      <alignment horizontal="right" vertical="center"/>
    </xf>
    <xf numFmtId="4" fontId="26" fillId="0" borderId="1" xfId="0" applyNumberFormat="1" applyFont="1" applyBorder="1" applyAlignment="1">
      <alignment horizontal="right" vertical="center"/>
    </xf>
    <xf numFmtId="169" fontId="26" fillId="0" borderId="1" xfId="0" applyNumberFormat="1" applyFont="1" applyBorder="1" applyAlignment="1">
      <alignment horizontal="right" vertical="center"/>
    </xf>
    <xf numFmtId="4" fontId="26" fillId="6" borderId="1" xfId="0" applyNumberFormat="1" applyFont="1" applyFill="1" applyBorder="1" applyAlignment="1">
      <alignment horizontal="right" vertical="center"/>
    </xf>
    <xf numFmtId="0" fontId="67" fillId="0" borderId="0" xfId="0" applyFont="1" applyAlignment="1">
      <alignment horizontal="center" vertical="center" wrapText="1"/>
    </xf>
    <xf numFmtId="0" fontId="58" fillId="0" borderId="0" xfId="0" applyFont="1" applyAlignment="1">
      <alignment horizontal="center" vertical="center" wrapText="1"/>
    </xf>
    <xf numFmtId="0" fontId="56" fillId="0" borderId="0" xfId="0" applyFont="1" applyAlignment="1">
      <alignment horizontal="center" vertical="center" wrapText="1"/>
    </xf>
    <xf numFmtId="0" fontId="48" fillId="4" borderId="0" xfId="0" applyFont="1" applyFill="1" applyAlignment="1">
      <alignment horizontal="left" vertical="center" indent="1"/>
    </xf>
    <xf numFmtId="0" fontId="51" fillId="0" borderId="0" xfId="0" applyFont="1" applyAlignment="1">
      <alignment horizontal="left" vertical="top" wrapText="1"/>
    </xf>
    <xf numFmtId="0" fontId="55" fillId="0" borderId="0" xfId="0" applyFont="1" applyAlignment="1">
      <alignment horizontal="left" vertical="top" wrapText="1"/>
    </xf>
    <xf numFmtId="0" fontId="55" fillId="0" borderId="0" xfId="0" applyFont="1"/>
    <xf numFmtId="0" fontId="6" fillId="7" borderId="0" xfId="0" applyFont="1" applyFill="1" applyAlignment="1">
      <alignment horizontal="left" vertical="center" wrapText="1"/>
    </xf>
    <xf numFmtId="0" fontId="6" fillId="8" borderId="0" xfId="0" applyFont="1" applyFill="1" applyAlignment="1">
      <alignment horizontal="left" vertical="center" wrapText="1"/>
    </xf>
    <xf numFmtId="0" fontId="36" fillId="0" borderId="1" xfId="0" applyFont="1" applyBorder="1" applyAlignment="1">
      <alignment horizontal="left" vertical="center" wrapText="1"/>
    </xf>
    <xf numFmtId="0" fontId="36" fillId="6" borderId="1" xfId="0" applyFont="1" applyFill="1" applyBorder="1" applyAlignment="1">
      <alignment horizontal="left" vertical="center" wrapText="1"/>
    </xf>
    <xf numFmtId="0" fontId="6" fillId="4" borderId="0" xfId="0" applyFont="1" applyFill="1" applyAlignment="1">
      <alignment horizontal="left" vertical="center" wrapText="1"/>
    </xf>
    <xf numFmtId="0" fontId="39" fillId="0" borderId="0" xfId="0" applyFont="1" applyAlignment="1">
      <alignment vertical="top" wrapText="1"/>
    </xf>
    <xf numFmtId="0" fontId="45" fillId="0" borderId="0" xfId="0" applyFont="1" applyAlignment="1">
      <alignment vertical="top" wrapText="1"/>
    </xf>
    <xf numFmtId="0" fontId="48" fillId="7" borderId="0" xfId="0" applyFont="1" applyFill="1" applyAlignment="1">
      <alignment horizontal="left" vertical="center" indent="1"/>
    </xf>
    <xf numFmtId="0" fontId="48" fillId="8" borderId="0" xfId="0" applyFont="1" applyFill="1" applyAlignment="1">
      <alignment horizontal="left" vertical="center" indent="1"/>
    </xf>
    <xf numFmtId="0" fontId="76" fillId="0" borderId="0" xfId="0" applyFont="1" applyAlignment="1">
      <alignment horizontal="center" vertical="center"/>
    </xf>
    <xf numFmtId="0" fontId="75" fillId="0" borderId="0" xfId="0" applyFont="1" applyAlignment="1">
      <alignment horizontal="center" vertical="center"/>
    </xf>
    <xf numFmtId="0" fontId="86" fillId="16" borderId="2" xfId="0" applyFont="1" applyFill="1" applyBorder="1" applyAlignment="1">
      <alignment horizontal="left" vertical="center"/>
    </xf>
    <xf numFmtId="0" fontId="78" fillId="9" borderId="2" xfId="0" applyFont="1" applyFill="1" applyBorder="1" applyAlignment="1">
      <alignment horizontal="center" vertical="center"/>
    </xf>
    <xf numFmtId="0" fontId="79" fillId="9" borderId="2" xfId="0" applyFont="1" applyFill="1" applyBorder="1" applyAlignment="1">
      <alignment horizontal="center" vertical="center"/>
    </xf>
    <xf numFmtId="0" fontId="80" fillId="9" borderId="2" xfId="0" applyFont="1" applyFill="1" applyBorder="1" applyAlignment="1">
      <alignment horizontal="left" vertical="center"/>
    </xf>
    <xf numFmtId="0" fontId="83" fillId="17" borderId="2" xfId="0" applyFont="1" applyFill="1" applyBorder="1" applyAlignment="1">
      <alignment horizontal="left" vertical="center" wrapText="1"/>
    </xf>
    <xf numFmtId="0" fontId="87" fillId="0" borderId="0" xfId="0" applyFont="1" applyAlignment="1">
      <alignment horizontal="left" vertical="center"/>
    </xf>
    <xf numFmtId="0" fontId="78" fillId="10" borderId="2" xfId="0" applyFont="1" applyFill="1" applyBorder="1" applyAlignment="1">
      <alignment horizontal="center" vertical="center"/>
    </xf>
    <xf numFmtId="0" fontId="79" fillId="10" borderId="2" xfId="0" applyFont="1" applyFill="1" applyBorder="1" applyAlignment="1">
      <alignment horizontal="center" vertical="center"/>
    </xf>
    <xf numFmtId="0" fontId="80" fillId="9" borderId="2" xfId="0" applyFont="1" applyFill="1" applyBorder="1" applyAlignment="1">
      <alignment horizontal="center" vertical="center"/>
    </xf>
    <xf numFmtId="0" fontId="80" fillId="14" borderId="2" xfId="0" applyFont="1" applyFill="1" applyBorder="1" applyAlignment="1">
      <alignment horizontal="center" vertical="center"/>
    </xf>
    <xf numFmtId="0" fontId="78" fillId="12" borderId="2" xfId="0" applyFont="1" applyFill="1" applyBorder="1" applyAlignment="1">
      <alignment horizontal="center" vertical="center"/>
    </xf>
    <xf numFmtId="0" fontId="80" fillId="10" borderId="2" xfId="0" applyFont="1" applyFill="1" applyBorder="1" applyAlignment="1">
      <alignment horizontal="left" vertical="center"/>
    </xf>
    <xf numFmtId="0" fontId="0" fillId="0" borderId="0" xfId="0"/>
    <xf numFmtId="0" fontId="80" fillId="15" borderId="2" xfId="0" applyFont="1" applyFill="1" applyBorder="1" applyAlignment="1">
      <alignment horizontal="center" vertical="center"/>
    </xf>
    <xf numFmtId="0" fontId="76" fillId="17" borderId="2" xfId="0" applyFont="1" applyFill="1" applyBorder="1" applyAlignment="1">
      <alignment horizontal="left" vertical="center" indent="1"/>
    </xf>
    <xf numFmtId="165" fontId="76" fillId="17" borderId="2" xfId="0" applyNumberFormat="1" applyFont="1" applyFill="1" applyBorder="1" applyAlignment="1">
      <alignment horizontal="right" vertical="center"/>
    </xf>
    <xf numFmtId="0" fontId="80" fillId="18" borderId="2" xfId="0" applyFont="1" applyFill="1" applyBorder="1" applyAlignment="1">
      <alignment horizontal="left" vertical="center"/>
    </xf>
    <xf numFmtId="174" fontId="80" fillId="18" borderId="2" xfId="0" applyNumberFormat="1" applyFont="1" applyFill="1" applyBorder="1" applyAlignment="1">
      <alignment horizontal="right" vertical="center"/>
    </xf>
    <xf numFmtId="0" fontId="76" fillId="17" borderId="2" xfId="0" applyFont="1" applyFill="1" applyBorder="1" applyAlignment="1">
      <alignment horizontal="left" vertical="center" indent="2"/>
    </xf>
    <xf numFmtId="0" fontId="80" fillId="17" borderId="2" xfId="0" applyFont="1" applyFill="1" applyBorder="1" applyAlignment="1">
      <alignment horizontal="left" vertical="center" indent="1"/>
    </xf>
    <xf numFmtId="165" fontId="80" fillId="17" borderId="2" xfId="0" applyNumberFormat="1" applyFont="1" applyFill="1" applyBorder="1" applyAlignment="1">
      <alignment horizontal="right" vertical="center"/>
    </xf>
    <xf numFmtId="0" fontId="0" fillId="0" borderId="0" xfId="0"/>
    <xf numFmtId="0" fontId="80" fillId="15" borderId="2" xfId="0" applyFont="1" applyFill="1" applyBorder="1" applyAlignment="1">
      <alignment horizontal="center" vertical="center"/>
    </xf>
    <xf numFmtId="0" fontId="76" fillId="17" borderId="2" xfId="0" applyFont="1" applyFill="1" applyBorder="1" applyAlignment="1">
      <alignment horizontal="left" vertical="center" indent="1"/>
    </xf>
    <xf numFmtId="165" fontId="76" fillId="17" borderId="2" xfId="0" applyNumberFormat="1" applyFont="1" applyFill="1" applyBorder="1" applyAlignment="1">
      <alignment horizontal="right" vertical="center"/>
    </xf>
    <xf numFmtId="0" fontId="80" fillId="18" borderId="2" xfId="0" applyFont="1" applyFill="1" applyBorder="1" applyAlignment="1">
      <alignment horizontal="left" vertical="center"/>
    </xf>
    <xf numFmtId="174" fontId="80" fillId="18" borderId="2" xfId="0" applyNumberFormat="1" applyFont="1" applyFill="1" applyBorder="1" applyAlignment="1">
      <alignment horizontal="right" vertical="center"/>
    </xf>
    <xf numFmtId="0" fontId="76" fillId="17" borderId="2" xfId="0" applyFont="1" applyFill="1" applyBorder="1" applyAlignment="1">
      <alignment horizontal="left" vertical="center" indent="2"/>
    </xf>
    <xf numFmtId="0" fontId="80" fillId="17" borderId="2" xfId="0" applyFont="1" applyFill="1" applyBorder="1" applyAlignment="1">
      <alignment horizontal="left" vertical="center" indent="1"/>
    </xf>
    <xf numFmtId="165" fontId="80" fillId="17" borderId="2" xfId="0" applyNumberFormat="1" applyFont="1" applyFill="1" applyBorder="1" applyAlignment="1">
      <alignment horizontal="right" vertical="center"/>
    </xf>
    <xf numFmtId="0" fontId="88" fillId="15" borderId="3" xfId="0" applyFont="1" applyFill="1" applyBorder="1" applyAlignment="1">
      <alignment horizontal="center" vertical="center"/>
    </xf>
    <xf numFmtId="0" fontId="80" fillId="15" borderId="2" xfId="0" applyFont="1" applyFill="1" applyBorder="1" applyAlignment="1">
      <alignment horizontal="center" vertical="center"/>
    </xf>
    <xf numFmtId="0" fontId="80" fillId="16" borderId="2" xfId="0" applyFont="1" applyFill="1" applyBorder="1" applyAlignment="1">
      <alignment horizontal="center" vertical="center"/>
    </xf>
    <xf numFmtId="0" fontId="80" fillId="19" borderId="2" xfId="0" applyFont="1" applyFill="1" applyBorder="1" applyAlignment="1">
      <alignment horizontal="center" vertical="center"/>
    </xf>
    <xf numFmtId="0" fontId="83" fillId="15" borderId="2" xfId="0" applyFont="1" applyFill="1" applyBorder="1" applyAlignment="1">
      <alignment horizontal="left" vertical="center" wrapText="1"/>
    </xf>
    <xf numFmtId="174" fontId="80" fillId="20" borderId="2" xfId="0" applyNumberFormat="1" applyFont="1" applyFill="1" applyBorder="1" applyAlignment="1">
      <alignment horizontal="right" vertical="center"/>
    </xf>
    <xf numFmtId="174" fontId="80" fillId="17" borderId="2" xfId="0" applyNumberFormat="1" applyFont="1" applyFill="1" applyBorder="1" applyAlignment="1">
      <alignment horizontal="right" vertical="center"/>
    </xf>
    <xf numFmtId="0" fontId="82" fillId="18" borderId="2" xfId="0" applyFont="1" applyFill="1" applyBorder="1" applyAlignment="1">
      <alignment horizontal="left" vertical="center"/>
    </xf>
    <xf numFmtId="0" fontId="82" fillId="18" borderId="2" xfId="0" applyFont="1" applyFill="1" applyBorder="1" applyAlignment="1">
      <alignment horizontal="left" vertical="center" wrapText="1"/>
    </xf>
    <xf numFmtId="0" fontId="88" fillId="17" borderId="2" xfId="0" applyFont="1" applyFill="1" applyBorder="1" applyAlignment="1">
      <alignment horizontal="left" vertical="center"/>
    </xf>
    <xf numFmtId="174" fontId="80" fillId="19" borderId="2" xfId="0" applyNumberFormat="1" applyFont="1" applyFill="1" applyBorder="1" applyAlignment="1">
      <alignment horizontal="right" vertical="center"/>
    </xf>
    <xf numFmtId="0" fontId="89" fillId="20" borderId="2" xfId="0" applyFont="1" applyFill="1" applyBorder="1" applyAlignment="1">
      <alignment horizontal="center" vertical="center"/>
    </xf>
    <xf numFmtId="174" fontId="80" fillId="16" borderId="2" xfId="0" applyNumberFormat="1" applyFont="1" applyFill="1" applyBorder="1" applyAlignment="1">
      <alignment horizontal="right" vertical="center"/>
    </xf>
    <xf numFmtId="0" fontId="80" fillId="15" borderId="2" xfId="0" applyFont="1" applyFill="1" applyBorder="1" applyAlignment="1">
      <alignment horizontal="center" vertical="center"/>
    </xf>
    <xf numFmtId="0" fontId="88" fillId="17"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F7A6D"/>
      <rgbColor rgb="FFBFBFBF"/>
      <rgbColor rgb="FF7F7F7F"/>
      <rgbColor rgb="FF9999FF"/>
      <rgbColor rgb="FF993366"/>
      <rgbColor rgb="FFF4F7FB"/>
      <rgbColor rgb="FFD6ECE8"/>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55A11"/>
      <rgbColor rgb="FF666699"/>
      <rgbColor rgb="FF969696"/>
      <rgbColor rgb="FF1F3864"/>
      <rgbColor rgb="FF2E7D32"/>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Operating Margin</a:t>
            </a:r>
            <a:r>
              <a:rPr lang="en-IN" baseline="0"/>
              <a:t> Trend FY2021-FY2025</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v>SIA</c:v>
          </c:tx>
          <c:spPr>
            <a:ln w="28575" cap="rnd">
              <a:solidFill>
                <a:schemeClr val="accent1"/>
              </a:solidFill>
              <a:round/>
            </a:ln>
            <a:effectLst/>
          </c:spPr>
          <c:marker>
            <c:symbol val="none"/>
          </c:marker>
          <c:val>
            <c:numRef>
              <c:f>'Profit Ratios'!$C$6:$G$6</c:f>
              <c:numCache>
                <c:formatCode>0.00%;\(0.00%\);\-</c:formatCode>
                <c:ptCount val="5"/>
                <c:pt idx="0">
                  <c:v>-0.65842917493154396</c:v>
                </c:pt>
                <c:pt idx="1">
                  <c:v>-8.0067771597306298E-2</c:v>
                </c:pt>
                <c:pt idx="2">
                  <c:v>0.15145599010063901</c:v>
                </c:pt>
                <c:pt idx="3">
                  <c:v>0.14345674509799899</c:v>
                </c:pt>
                <c:pt idx="4">
                  <c:v>8.7467626733171905E-2</c:v>
                </c:pt>
              </c:numCache>
            </c:numRef>
          </c:val>
          <c:smooth val="0"/>
          <c:extLst>
            <c:ext xmlns:c16="http://schemas.microsoft.com/office/drawing/2014/chart" uri="{C3380CC4-5D6E-409C-BE32-E72D297353CC}">
              <c16:uniqueId val="{00000000-71FF-4FD7-8C82-FDC3DF6E7472}"/>
            </c:ext>
          </c:extLst>
        </c:ser>
        <c:ser>
          <c:idx val="1"/>
          <c:order val="1"/>
          <c:tx>
            <c:v>Cathay</c:v>
          </c:tx>
          <c:spPr>
            <a:ln w="28575" cap="rnd">
              <a:solidFill>
                <a:schemeClr val="accent2"/>
              </a:solidFill>
              <a:round/>
            </a:ln>
            <a:effectLst/>
          </c:spPr>
          <c:marker>
            <c:symbol val="none"/>
          </c:marker>
          <c:val>
            <c:numRef>
              <c:f>'Profit Ratios'!$C$15:$G$15</c:f>
              <c:numCache>
                <c:formatCode>0.00%;\(0.00%\);\-</c:formatCode>
                <c:ptCount val="5"/>
                <c:pt idx="0">
                  <c:v>-9.8712352205672701E-3</c:v>
                </c:pt>
                <c:pt idx="1">
                  <c:v>6.8010815894662402E-2</c:v>
                </c:pt>
                <c:pt idx="2">
                  <c:v>0.13757739323702201</c:v>
                </c:pt>
                <c:pt idx="3">
                  <c:v>0.12625154496938801</c:v>
                </c:pt>
                <c:pt idx="4">
                  <c:v>0.120523097477005</c:v>
                </c:pt>
              </c:numCache>
            </c:numRef>
          </c:val>
          <c:smooth val="0"/>
          <c:extLst>
            <c:ext xmlns:c16="http://schemas.microsoft.com/office/drawing/2014/chart" uri="{C3380CC4-5D6E-409C-BE32-E72D297353CC}">
              <c16:uniqueId val="{00000001-71FF-4FD7-8C82-FDC3DF6E7472}"/>
            </c:ext>
          </c:extLst>
        </c:ser>
        <c:dLbls>
          <c:showLegendKey val="0"/>
          <c:showVal val="0"/>
          <c:showCatName val="0"/>
          <c:showSerName val="0"/>
          <c:showPercent val="0"/>
          <c:showBubbleSize val="0"/>
        </c:dLbls>
        <c:smooth val="0"/>
        <c:axId val="635880655"/>
        <c:axId val="635881135"/>
      </c:lineChart>
      <c:catAx>
        <c:axId val="63588065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881135"/>
        <c:crosses val="autoZero"/>
        <c:auto val="1"/>
        <c:lblAlgn val="ctr"/>
        <c:lblOffset val="100"/>
        <c:noMultiLvlLbl val="0"/>
      </c:catAx>
      <c:valAx>
        <c:axId val="635881135"/>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8806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Singapore Airlines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Total Expense Ratio</c:v>
          </c:tx>
          <c:spPr>
            <a:ln w="28575" cap="rnd">
              <a:solidFill>
                <a:schemeClr val="accent1"/>
              </a:solidFill>
              <a:round/>
            </a:ln>
            <a:effectLst/>
          </c:spPr>
          <c:marker>
            <c:symbol val="none"/>
          </c:marker>
          <c:val>
            <c:numRef>
              <c:f>'Expense Analysis'!$C$6:$G$6</c:f>
              <c:numCache>
                <c:formatCode>0.0%;\(0.0%\);\-</c:formatCode>
                <c:ptCount val="5"/>
                <c:pt idx="0">
                  <c:v>1.6584291749315401</c:v>
                </c:pt>
                <c:pt idx="1">
                  <c:v>1.0800677715973099</c:v>
                </c:pt>
                <c:pt idx="2">
                  <c:v>0.84854400989936096</c:v>
                </c:pt>
                <c:pt idx="3">
                  <c:v>0.85654325490200101</c:v>
                </c:pt>
                <c:pt idx="4">
                  <c:v>0.91253237326682801</c:v>
                </c:pt>
              </c:numCache>
            </c:numRef>
          </c:val>
          <c:smooth val="0"/>
          <c:extLst>
            <c:ext xmlns:c16="http://schemas.microsoft.com/office/drawing/2014/chart" uri="{C3380CC4-5D6E-409C-BE32-E72D297353CC}">
              <c16:uniqueId val="{00000000-93F4-47C6-90E6-EBB23138C17B}"/>
            </c:ext>
          </c:extLst>
        </c:ser>
        <c:ser>
          <c:idx val="1"/>
          <c:order val="1"/>
          <c:tx>
            <c:v>Operating Margin</c:v>
          </c:tx>
          <c:spPr>
            <a:ln w="28575" cap="rnd">
              <a:solidFill>
                <a:schemeClr val="accent2"/>
              </a:solidFill>
              <a:round/>
            </a:ln>
            <a:effectLst/>
          </c:spPr>
          <c:marker>
            <c:symbol val="none"/>
          </c:marker>
          <c:val>
            <c:numRef>
              <c:f>'Expense Analysis'!$C$8:$G$8</c:f>
              <c:numCache>
                <c:formatCode>0.0%;\(0.0%\);\-</c:formatCode>
                <c:ptCount val="5"/>
                <c:pt idx="0">
                  <c:v>-0.65842917493154396</c:v>
                </c:pt>
                <c:pt idx="1">
                  <c:v>-8.0067771597306298E-2</c:v>
                </c:pt>
                <c:pt idx="2">
                  <c:v>0.15145599010063901</c:v>
                </c:pt>
                <c:pt idx="3">
                  <c:v>0.14345674509799899</c:v>
                </c:pt>
                <c:pt idx="4">
                  <c:v>8.7467626733171905E-2</c:v>
                </c:pt>
              </c:numCache>
            </c:numRef>
          </c:val>
          <c:smooth val="0"/>
          <c:extLst>
            <c:ext xmlns:c16="http://schemas.microsoft.com/office/drawing/2014/chart" uri="{C3380CC4-5D6E-409C-BE32-E72D297353CC}">
              <c16:uniqueId val="{00000001-93F4-47C6-90E6-EBB23138C17B}"/>
            </c:ext>
          </c:extLst>
        </c:ser>
        <c:dLbls>
          <c:showLegendKey val="0"/>
          <c:showVal val="0"/>
          <c:showCatName val="0"/>
          <c:showSerName val="0"/>
          <c:showPercent val="0"/>
          <c:showBubbleSize val="0"/>
        </c:dLbls>
        <c:smooth val="0"/>
        <c:axId val="1019266911"/>
        <c:axId val="1019271711"/>
      </c:lineChart>
      <c:catAx>
        <c:axId val="101926691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71711"/>
        <c:crosses val="autoZero"/>
        <c:auto val="1"/>
        <c:lblAlgn val="ctr"/>
        <c:lblOffset val="100"/>
        <c:noMultiLvlLbl val="0"/>
      </c:catAx>
      <c:valAx>
        <c:axId val="101927171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66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Cathay Pacific</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Total Expense Ratio</c:v>
          </c:tx>
          <c:spPr>
            <a:ln w="28575" cap="rnd">
              <a:solidFill>
                <a:schemeClr val="accent1"/>
              </a:solidFill>
              <a:round/>
            </a:ln>
            <a:effectLst/>
          </c:spPr>
          <c:marker>
            <c:symbol val="none"/>
          </c:marker>
          <c:val>
            <c:numRef>
              <c:f>'Expense Analysis'!$C$12:$G$12</c:f>
              <c:numCache>
                <c:formatCode>0.0%;\(0.0%\);\-</c:formatCode>
                <c:ptCount val="5"/>
                <c:pt idx="0">
                  <c:v>1.0098712352205701</c:v>
                </c:pt>
                <c:pt idx="1">
                  <c:v>0.93198918410533804</c:v>
                </c:pt>
                <c:pt idx="2">
                  <c:v>0.86242260676297799</c:v>
                </c:pt>
                <c:pt idx="3">
                  <c:v>0.87374845503061205</c:v>
                </c:pt>
                <c:pt idx="4">
                  <c:v>0.87947690252299504</c:v>
                </c:pt>
              </c:numCache>
            </c:numRef>
          </c:val>
          <c:smooth val="0"/>
          <c:extLst>
            <c:ext xmlns:c16="http://schemas.microsoft.com/office/drawing/2014/chart" uri="{C3380CC4-5D6E-409C-BE32-E72D297353CC}">
              <c16:uniqueId val="{00000000-0ABC-456E-A248-16CE4ABBD781}"/>
            </c:ext>
          </c:extLst>
        </c:ser>
        <c:ser>
          <c:idx val="1"/>
          <c:order val="1"/>
          <c:tx>
            <c:v>Operating Margin</c:v>
          </c:tx>
          <c:spPr>
            <a:ln w="28575" cap="rnd">
              <a:solidFill>
                <a:schemeClr val="accent2"/>
              </a:solidFill>
              <a:round/>
            </a:ln>
            <a:effectLst/>
          </c:spPr>
          <c:marker>
            <c:symbol val="none"/>
          </c:marker>
          <c:val>
            <c:numRef>
              <c:f>'Expense Analysis'!$C$14:$G$14</c:f>
              <c:numCache>
                <c:formatCode>0.0%;\(0.0%\);\-</c:formatCode>
                <c:ptCount val="5"/>
                <c:pt idx="0">
                  <c:v>-9.8712352205672701E-3</c:v>
                </c:pt>
                <c:pt idx="1">
                  <c:v>6.8010815894662402E-2</c:v>
                </c:pt>
                <c:pt idx="2">
                  <c:v>0.13757739323702201</c:v>
                </c:pt>
                <c:pt idx="3">
                  <c:v>0.12625154496938801</c:v>
                </c:pt>
                <c:pt idx="4">
                  <c:v>0.120523097477005</c:v>
                </c:pt>
              </c:numCache>
            </c:numRef>
          </c:val>
          <c:smooth val="0"/>
          <c:extLst>
            <c:ext xmlns:c16="http://schemas.microsoft.com/office/drawing/2014/chart" uri="{C3380CC4-5D6E-409C-BE32-E72D297353CC}">
              <c16:uniqueId val="{00000001-0ABC-456E-A248-16CE4ABBD781}"/>
            </c:ext>
          </c:extLst>
        </c:ser>
        <c:dLbls>
          <c:showLegendKey val="0"/>
          <c:showVal val="0"/>
          <c:showCatName val="0"/>
          <c:showSerName val="0"/>
          <c:showPercent val="0"/>
          <c:showBubbleSize val="0"/>
        </c:dLbls>
        <c:smooth val="0"/>
        <c:axId val="1019275071"/>
        <c:axId val="1019274591"/>
      </c:lineChart>
      <c:catAx>
        <c:axId val="101927507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74591"/>
        <c:crosses val="autoZero"/>
        <c:auto val="1"/>
        <c:lblAlgn val="ctr"/>
        <c:lblOffset val="100"/>
        <c:noMultiLvlLbl val="0"/>
      </c:catAx>
      <c:valAx>
        <c:axId val="1019274591"/>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750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Indexed Revenue and Asset Growth (FY2021)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Singapore - Revenue Index</c:v>
          </c:tx>
          <c:spPr>
            <a:ln w="28575" cap="rnd">
              <a:solidFill>
                <a:schemeClr val="accent1"/>
              </a:solidFill>
              <a:round/>
            </a:ln>
            <a:effectLst/>
          </c:spPr>
          <c:marker>
            <c:symbol val="none"/>
          </c:marker>
          <c:val>
            <c:numRef>
              <c:f>'Growth Trends'!$C$8:$G$8</c:f>
              <c:numCache>
                <c:formatCode>#,##0.0</c:formatCode>
                <c:ptCount val="5"/>
                <c:pt idx="0">
                  <c:v>100</c:v>
                </c:pt>
                <c:pt idx="1">
                  <c:v>199.55449215076001</c:v>
                </c:pt>
                <c:pt idx="2">
                  <c:v>465.80884423508599</c:v>
                </c:pt>
                <c:pt idx="3">
                  <c:v>498.24942300739002</c:v>
                </c:pt>
                <c:pt idx="4">
                  <c:v>512.06267606863298</c:v>
                </c:pt>
              </c:numCache>
            </c:numRef>
          </c:val>
          <c:smooth val="0"/>
          <c:extLst>
            <c:ext xmlns:c16="http://schemas.microsoft.com/office/drawing/2014/chart" uri="{C3380CC4-5D6E-409C-BE32-E72D297353CC}">
              <c16:uniqueId val="{00000000-FA6E-4D68-87A4-09E349E1995E}"/>
            </c:ext>
          </c:extLst>
        </c:ser>
        <c:ser>
          <c:idx val="1"/>
          <c:order val="1"/>
          <c:tx>
            <c:v>Singapore - Assets</c:v>
          </c:tx>
          <c:spPr>
            <a:ln w="28575" cap="rnd">
              <a:solidFill>
                <a:schemeClr val="accent2"/>
              </a:solidFill>
              <a:round/>
            </a:ln>
            <a:effectLst/>
          </c:spPr>
          <c:marker>
            <c:symbol val="none"/>
          </c:marker>
          <c:val>
            <c:numRef>
              <c:f>'Growth Trends'!$C$15:$G$15</c:f>
              <c:numCache>
                <c:formatCode>#,##0.0</c:formatCode>
                <c:ptCount val="5"/>
                <c:pt idx="0">
                  <c:v>100</c:v>
                </c:pt>
                <c:pt idx="1">
                  <c:v>129.50855854646599</c:v>
                </c:pt>
                <c:pt idx="2">
                  <c:v>130.65327679525299</c:v>
                </c:pt>
                <c:pt idx="3">
                  <c:v>117.783844593073</c:v>
                </c:pt>
                <c:pt idx="4">
                  <c:v>114.649572854059</c:v>
                </c:pt>
              </c:numCache>
            </c:numRef>
          </c:val>
          <c:smooth val="0"/>
          <c:extLst>
            <c:ext xmlns:c16="http://schemas.microsoft.com/office/drawing/2014/chart" uri="{C3380CC4-5D6E-409C-BE32-E72D297353CC}">
              <c16:uniqueId val="{00000001-FA6E-4D68-87A4-09E349E1995E}"/>
            </c:ext>
          </c:extLst>
        </c:ser>
        <c:ser>
          <c:idx val="2"/>
          <c:order val="2"/>
          <c:tx>
            <c:v>Cathay - Revenue</c:v>
          </c:tx>
          <c:spPr>
            <a:ln w="28575" cap="rnd">
              <a:solidFill>
                <a:schemeClr val="accent3"/>
              </a:solidFill>
              <a:round/>
            </a:ln>
            <a:effectLst/>
          </c:spPr>
          <c:marker>
            <c:symbol val="none"/>
          </c:marker>
          <c:val>
            <c:numRef>
              <c:f>'Growth Trends'!$C$21:$G$21</c:f>
              <c:numCache>
                <c:formatCode>#,##0.0</c:formatCode>
                <c:ptCount val="5"/>
                <c:pt idx="0">
                  <c:v>100</c:v>
                </c:pt>
                <c:pt idx="1">
                  <c:v>111.95296904819401</c:v>
                </c:pt>
                <c:pt idx="2">
                  <c:v>207.26303551451099</c:v>
                </c:pt>
                <c:pt idx="3">
                  <c:v>228.94904249018401</c:v>
                </c:pt>
                <c:pt idx="4">
                  <c:v>256.13881150327899</c:v>
                </c:pt>
              </c:numCache>
            </c:numRef>
          </c:val>
          <c:smooth val="0"/>
          <c:extLst>
            <c:ext xmlns:c16="http://schemas.microsoft.com/office/drawing/2014/chart" uri="{C3380CC4-5D6E-409C-BE32-E72D297353CC}">
              <c16:uniqueId val="{00000002-FA6E-4D68-87A4-09E349E1995E}"/>
            </c:ext>
          </c:extLst>
        </c:ser>
        <c:ser>
          <c:idx val="3"/>
          <c:order val="3"/>
          <c:tx>
            <c:v>Cathay - Assets</c:v>
          </c:tx>
          <c:spPr>
            <a:ln w="28575" cap="rnd">
              <a:solidFill>
                <a:schemeClr val="accent4"/>
              </a:solidFill>
              <a:round/>
            </a:ln>
            <a:effectLst/>
          </c:spPr>
          <c:marker>
            <c:symbol val="none"/>
          </c:marker>
          <c:val>
            <c:numRef>
              <c:f>'Growth Trends'!$C$28:$G$28</c:f>
              <c:numCache>
                <c:formatCode>#,##0.0</c:formatCode>
                <c:ptCount val="5"/>
                <c:pt idx="0">
                  <c:v>100</c:v>
                </c:pt>
                <c:pt idx="1">
                  <c:v>92.158825779065893</c:v>
                </c:pt>
                <c:pt idx="2">
                  <c:v>90.243843385695897</c:v>
                </c:pt>
                <c:pt idx="3">
                  <c:v>90.620639423245606</c:v>
                </c:pt>
                <c:pt idx="4">
                  <c:v>92.124842592134996</c:v>
                </c:pt>
              </c:numCache>
            </c:numRef>
          </c:val>
          <c:smooth val="0"/>
          <c:extLst>
            <c:ext xmlns:c16="http://schemas.microsoft.com/office/drawing/2014/chart" uri="{C3380CC4-5D6E-409C-BE32-E72D297353CC}">
              <c16:uniqueId val="{00000003-FA6E-4D68-87A4-09E349E1995E}"/>
            </c:ext>
          </c:extLst>
        </c:ser>
        <c:dLbls>
          <c:showLegendKey val="0"/>
          <c:showVal val="0"/>
          <c:showCatName val="0"/>
          <c:showSerName val="0"/>
          <c:showPercent val="0"/>
          <c:showBubbleSize val="0"/>
        </c:dLbls>
        <c:smooth val="0"/>
        <c:axId val="1019273631"/>
        <c:axId val="1019257311"/>
      </c:lineChart>
      <c:catAx>
        <c:axId val="1019273631"/>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57311"/>
        <c:crosses val="autoZero"/>
        <c:auto val="1"/>
        <c:lblAlgn val="ctr"/>
        <c:lblOffset val="100"/>
        <c:noMultiLvlLbl val="0"/>
      </c:catAx>
      <c:valAx>
        <c:axId val="1019257311"/>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2736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Singapore Airlines</c:v>
          </c:tx>
          <c:spPr>
            <a:solidFill>
              <a:schemeClr val="accent1"/>
            </a:solidFill>
            <a:ln>
              <a:noFill/>
            </a:ln>
            <a:effectLst/>
          </c:spPr>
          <c:invertIfNegative val="0"/>
          <c:val>
            <c:numRef>
              <c:f>'Growth Trends'!$E$11:$G$11</c:f>
              <c:numCache>
                <c:formatCode>#,##0;\(#,##0\);\-</c:formatCode>
                <c:ptCount val="3"/>
                <c:pt idx="0">
                  <c:v>165197.10999999999</c:v>
                </c:pt>
                <c:pt idx="1">
                  <c:v>200650.2</c:v>
                </c:pt>
                <c:pt idx="2">
                  <c:v>209368.29</c:v>
                </c:pt>
              </c:numCache>
            </c:numRef>
          </c:val>
          <c:extLst>
            <c:ext xmlns:c16="http://schemas.microsoft.com/office/drawing/2014/chart" uri="{C3380CC4-5D6E-409C-BE32-E72D297353CC}">
              <c16:uniqueId val="{00000000-99E6-4D15-8AEF-BEBD915ADB5B}"/>
            </c:ext>
          </c:extLst>
        </c:ser>
        <c:ser>
          <c:idx val="1"/>
          <c:order val="1"/>
          <c:tx>
            <c:v>Cathay Pacific Airlines</c:v>
          </c:tx>
          <c:spPr>
            <a:solidFill>
              <a:schemeClr val="accent2"/>
            </a:solidFill>
            <a:ln>
              <a:noFill/>
            </a:ln>
            <a:effectLst/>
          </c:spPr>
          <c:invertIfNegative val="0"/>
          <c:val>
            <c:numRef>
              <c:f>'Growth Trends'!$C$24:$G$24</c:f>
              <c:numCache>
                <c:formatCode>#,##0;\(#,##0\);\-</c:formatCode>
                <c:ptCount val="5"/>
                <c:pt idx="0">
                  <c:v>-66975.12</c:v>
                </c:pt>
                <c:pt idx="1">
                  <c:v>-80258.64</c:v>
                </c:pt>
                <c:pt idx="2">
                  <c:v>118654.8</c:v>
                </c:pt>
                <c:pt idx="3">
                  <c:v>119842.56</c:v>
                </c:pt>
                <c:pt idx="4">
                  <c:v>131235.35999999999</c:v>
                </c:pt>
              </c:numCache>
            </c:numRef>
          </c:val>
          <c:extLst>
            <c:ext xmlns:c16="http://schemas.microsoft.com/office/drawing/2014/chart" uri="{C3380CC4-5D6E-409C-BE32-E72D297353CC}">
              <c16:uniqueId val="{00000001-99E6-4D15-8AEF-BEBD915ADB5B}"/>
            </c:ext>
          </c:extLst>
        </c:ser>
        <c:dLbls>
          <c:showLegendKey val="0"/>
          <c:showVal val="0"/>
          <c:showCatName val="0"/>
          <c:showSerName val="0"/>
          <c:showPercent val="0"/>
          <c:showBubbleSize val="0"/>
        </c:dLbls>
        <c:gapWidth val="219"/>
        <c:overlap val="-27"/>
        <c:axId val="1008380127"/>
        <c:axId val="1008390687"/>
      </c:barChart>
      <c:catAx>
        <c:axId val="1008380127"/>
        <c:scaling>
          <c:orientation val="minMax"/>
        </c:scaling>
        <c:delete val="1"/>
        <c:axPos val="b"/>
        <c:majorTickMark val="none"/>
        <c:minorTickMark val="none"/>
        <c:tickLblPos val="nextTo"/>
        <c:crossAx val="1008390687"/>
        <c:crosses val="autoZero"/>
        <c:auto val="1"/>
        <c:lblAlgn val="ctr"/>
        <c:lblOffset val="100"/>
        <c:noMultiLvlLbl val="0"/>
      </c:catAx>
      <c:valAx>
        <c:axId val="100839068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38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542924</xdr:colOff>
      <xdr:row>28</xdr:row>
      <xdr:rowOff>165273</xdr:rowOff>
    </xdr:from>
    <xdr:to>
      <xdr:col>8</xdr:col>
      <xdr:colOff>600205</xdr:colOff>
      <xdr:row>48</xdr:row>
      <xdr:rowOff>8697</xdr:rowOff>
    </xdr:to>
    <xdr:graphicFrame macro="">
      <xdr:nvGraphicFramePr>
        <xdr:cNvPr id="2" name="Chart 1">
          <a:extLst>
            <a:ext uri="{FF2B5EF4-FFF2-40B4-BE49-F238E27FC236}">
              <a16:creationId xmlns:a16="http://schemas.microsoft.com/office/drawing/2014/main" id="{19B84211-9947-C9FF-628E-68FB10388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1108075</xdr:colOff>
      <xdr:row>22</xdr:row>
      <xdr:rowOff>12700</xdr:rowOff>
    </xdr:from>
    <xdr:to>
      <xdr:col>8</xdr:col>
      <xdr:colOff>606425</xdr:colOff>
      <xdr:row>36</xdr:row>
      <xdr:rowOff>177800</xdr:rowOff>
    </xdr:to>
    <xdr:graphicFrame macro="">
      <xdr:nvGraphicFramePr>
        <xdr:cNvPr id="3" name="Chart 2">
          <a:extLst>
            <a:ext uri="{FF2B5EF4-FFF2-40B4-BE49-F238E27FC236}">
              <a16:creationId xmlns:a16="http://schemas.microsoft.com/office/drawing/2014/main" id="{08A31A5B-5DEB-8AAC-9FFE-A1ED3B5E40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22225</xdr:colOff>
      <xdr:row>22</xdr:row>
      <xdr:rowOff>0</xdr:rowOff>
    </xdr:from>
    <xdr:to>
      <xdr:col>4</xdr:col>
      <xdr:colOff>854075</xdr:colOff>
      <xdr:row>36</xdr:row>
      <xdr:rowOff>165100</xdr:rowOff>
    </xdr:to>
    <xdr:graphicFrame macro="">
      <xdr:nvGraphicFramePr>
        <xdr:cNvPr id="4" name="Chart 3">
          <a:extLst>
            <a:ext uri="{FF2B5EF4-FFF2-40B4-BE49-F238E27FC236}">
              <a16:creationId xmlns:a16="http://schemas.microsoft.com/office/drawing/2014/main" id="{9C154279-80D6-2525-E6E5-BADF47FC22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1500908</xdr:colOff>
      <xdr:row>34</xdr:row>
      <xdr:rowOff>181427</xdr:rowOff>
    </xdr:from>
    <xdr:to>
      <xdr:col>5</xdr:col>
      <xdr:colOff>775195</xdr:colOff>
      <xdr:row>54</xdr:row>
      <xdr:rowOff>173181</xdr:rowOff>
    </xdr:to>
    <xdr:graphicFrame macro="">
      <xdr:nvGraphicFramePr>
        <xdr:cNvPr id="4" name="Chart 3">
          <a:extLst>
            <a:ext uri="{FF2B5EF4-FFF2-40B4-BE49-F238E27FC236}">
              <a16:creationId xmlns:a16="http://schemas.microsoft.com/office/drawing/2014/main" id="{0CD8ACCE-28E7-4B4F-BB70-CD1AA7D96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423058</xdr:colOff>
      <xdr:row>34</xdr:row>
      <xdr:rowOff>162295</xdr:rowOff>
    </xdr:from>
    <xdr:to>
      <xdr:col>14</xdr:col>
      <xdr:colOff>354610</xdr:colOff>
      <xdr:row>54</xdr:row>
      <xdr:rowOff>173181</xdr:rowOff>
    </xdr:to>
    <xdr:graphicFrame macro="">
      <xdr:nvGraphicFramePr>
        <xdr:cNvPr id="7" name="Chart 6">
          <a:extLst>
            <a:ext uri="{FF2B5EF4-FFF2-40B4-BE49-F238E27FC236}">
              <a16:creationId xmlns:a16="http://schemas.microsoft.com/office/drawing/2014/main" id="{6C1A7741-38C0-D7F7-5335-9EB94CC0DE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38"/>
  <sheetViews>
    <sheetView showGridLines="0" topLeftCell="B18" zoomScaleNormal="100" workbookViewId="0">
      <selection activeCell="C31" sqref="C31:G31"/>
    </sheetView>
  </sheetViews>
  <sheetFormatPr defaultColWidth="8.6328125" defaultRowHeight="14.5" x14ac:dyDescent="0.35"/>
  <cols>
    <col min="1" max="1" width="2" customWidth="1"/>
    <col min="2" max="7" width="26" customWidth="1"/>
    <col min="8" max="8" width="2" customWidth="1"/>
  </cols>
  <sheetData>
    <row r="3" spans="2:7" ht="39.75" customHeight="1" x14ac:dyDescent="0.35">
      <c r="B3" s="226" t="s">
        <v>0</v>
      </c>
      <c r="C3" s="226"/>
      <c r="D3" s="226"/>
      <c r="E3" s="226"/>
      <c r="F3" s="226"/>
      <c r="G3" s="226"/>
    </row>
    <row r="4" spans="2:7" ht="27.75" customHeight="1" x14ac:dyDescent="0.35">
      <c r="B4" s="227" t="s">
        <v>1</v>
      </c>
      <c r="C4" s="227"/>
      <c r="D4" s="227"/>
      <c r="E4" s="227"/>
      <c r="F4" s="227"/>
      <c r="G4" s="227"/>
    </row>
    <row r="5" spans="2:7" ht="15" customHeight="1" x14ac:dyDescent="0.35">
      <c r="B5" s="228" t="s">
        <v>2</v>
      </c>
      <c r="C5" s="228"/>
      <c r="D5" s="228"/>
      <c r="E5" s="228"/>
      <c r="F5" s="228"/>
      <c r="G5" s="228"/>
    </row>
    <row r="7" spans="2:7" ht="15" customHeight="1" x14ac:dyDescent="0.35">
      <c r="B7" s="229" t="s">
        <v>43</v>
      </c>
      <c r="C7" s="229"/>
      <c r="D7" s="229"/>
      <c r="E7" s="230" t="s">
        <v>79</v>
      </c>
      <c r="F7" s="230"/>
      <c r="G7" s="230"/>
    </row>
    <row r="8" spans="2:7" x14ac:dyDescent="0.35">
      <c r="B8" s="229"/>
      <c r="C8" s="229"/>
      <c r="D8" s="229"/>
      <c r="E8" s="230"/>
      <c r="F8" s="230"/>
      <c r="G8" s="230"/>
    </row>
    <row r="9" spans="2:7" x14ac:dyDescent="0.35">
      <c r="B9" s="229"/>
      <c r="C9" s="229"/>
      <c r="D9" s="229"/>
      <c r="E9" s="230"/>
      <c r="F9" s="230"/>
      <c r="G9" s="230"/>
    </row>
    <row r="11" spans="2:7" ht="21.75" customHeight="1" x14ac:dyDescent="0.35">
      <c r="B11" s="223" t="s">
        <v>3</v>
      </c>
      <c r="C11" s="223"/>
      <c r="D11" s="223"/>
      <c r="E11" s="223"/>
      <c r="F11" s="223"/>
      <c r="G11" s="223"/>
    </row>
    <row r="12" spans="2:7" x14ac:dyDescent="0.35">
      <c r="B12" s="4" t="s">
        <v>4</v>
      </c>
      <c r="C12" s="224" t="s">
        <v>5</v>
      </c>
      <c r="D12" s="224"/>
      <c r="E12" s="224"/>
      <c r="F12" s="224"/>
      <c r="G12" s="224"/>
    </row>
    <row r="13" spans="2:7" x14ac:dyDescent="0.35">
      <c r="B13" s="4" t="s">
        <v>4</v>
      </c>
      <c r="C13" s="224" t="s">
        <v>6</v>
      </c>
      <c r="D13" s="224"/>
      <c r="E13" s="224"/>
      <c r="F13" s="224"/>
      <c r="G13" s="224"/>
    </row>
    <row r="14" spans="2:7" x14ac:dyDescent="0.35">
      <c r="B14" s="4" t="s">
        <v>4</v>
      </c>
      <c r="C14" s="224" t="s">
        <v>7</v>
      </c>
      <c r="D14" s="224"/>
      <c r="E14" s="224"/>
      <c r="F14" s="224"/>
      <c r="G14" s="224"/>
    </row>
    <row r="15" spans="2:7" x14ac:dyDescent="0.35">
      <c r="B15" s="4" t="s">
        <v>4</v>
      </c>
      <c r="C15" s="224" t="s">
        <v>8</v>
      </c>
      <c r="D15" s="224"/>
      <c r="E15" s="224"/>
      <c r="F15" s="224"/>
      <c r="G15" s="224"/>
    </row>
    <row r="16" spans="2:7" x14ac:dyDescent="0.35">
      <c r="B16" s="4" t="s">
        <v>4</v>
      </c>
      <c r="C16" s="224" t="s">
        <v>9</v>
      </c>
      <c r="D16" s="224"/>
      <c r="E16" s="224"/>
      <c r="F16" s="224"/>
      <c r="G16" s="224"/>
    </row>
    <row r="18" spans="2:7" ht="21.75" customHeight="1" x14ac:dyDescent="0.35">
      <c r="B18" s="225" t="s">
        <v>10</v>
      </c>
      <c r="C18" s="225"/>
      <c r="D18" s="225"/>
      <c r="E18" s="225"/>
      <c r="F18" s="225"/>
      <c r="G18" s="225"/>
    </row>
    <row r="19" spans="2:7" ht="30" customHeight="1" x14ac:dyDescent="0.35">
      <c r="B19" s="5" t="s">
        <v>11</v>
      </c>
      <c r="C19" s="221" t="s">
        <v>12</v>
      </c>
      <c r="D19" s="221"/>
      <c r="E19" s="221"/>
      <c r="F19" s="221"/>
      <c r="G19" s="221"/>
    </row>
    <row r="20" spans="2:7" ht="30" customHeight="1" x14ac:dyDescent="0.35">
      <c r="B20" s="5" t="s">
        <v>11</v>
      </c>
      <c r="C20" s="221" t="s">
        <v>13</v>
      </c>
      <c r="D20" s="221"/>
      <c r="E20" s="221"/>
      <c r="F20" s="221"/>
      <c r="G20" s="221"/>
    </row>
    <row r="21" spans="2:7" ht="30" customHeight="1" x14ac:dyDescent="0.35">
      <c r="B21" s="5" t="s">
        <v>11</v>
      </c>
      <c r="C21" s="221" t="s">
        <v>14</v>
      </c>
      <c r="D21" s="221"/>
      <c r="E21" s="221"/>
      <c r="F21" s="221"/>
      <c r="G21" s="221"/>
    </row>
    <row r="22" spans="2:7" ht="30" customHeight="1" x14ac:dyDescent="0.35">
      <c r="B22" s="5" t="s">
        <v>11</v>
      </c>
      <c r="C22" s="221" t="s">
        <v>15</v>
      </c>
      <c r="D22" s="221"/>
      <c r="E22" s="221"/>
      <c r="F22" s="221"/>
      <c r="G22" s="221"/>
    </row>
    <row r="23" spans="2:7" ht="30" customHeight="1" x14ac:dyDescent="0.35">
      <c r="B23" s="5" t="s">
        <v>11</v>
      </c>
      <c r="C23" s="221" t="s">
        <v>16</v>
      </c>
      <c r="D23" s="221"/>
      <c r="E23" s="221"/>
      <c r="F23" s="221"/>
      <c r="G23" s="221"/>
    </row>
    <row r="25" spans="2:7" ht="15" customHeight="1" x14ac:dyDescent="0.35">
      <c r="B25" s="222"/>
      <c r="C25" s="222"/>
      <c r="D25" s="222"/>
      <c r="E25" s="222"/>
      <c r="F25" s="222"/>
      <c r="G25" s="222"/>
    </row>
    <row r="27" spans="2:7" ht="21.75" customHeight="1" x14ac:dyDescent="0.35">
      <c r="B27" s="223" t="s">
        <v>17</v>
      </c>
      <c r="C27" s="223"/>
      <c r="D27" s="223"/>
      <c r="E27" s="223"/>
      <c r="F27" s="223"/>
      <c r="G27" s="223"/>
    </row>
    <row r="28" spans="2:7" x14ac:dyDescent="0.35">
      <c r="B28" s="6" t="s">
        <v>18</v>
      </c>
      <c r="C28" s="220" t="s">
        <v>19</v>
      </c>
      <c r="D28" s="220"/>
      <c r="E28" s="220"/>
      <c r="F28" s="220"/>
      <c r="G28" s="220"/>
    </row>
    <row r="29" spans="2:7" x14ac:dyDescent="0.35">
      <c r="B29" s="6" t="s">
        <v>20</v>
      </c>
      <c r="C29" s="220" t="s">
        <v>21</v>
      </c>
      <c r="D29" s="220"/>
      <c r="E29" s="220"/>
      <c r="F29" s="220"/>
      <c r="G29" s="220"/>
    </row>
    <row r="30" spans="2:7" x14ac:dyDescent="0.35">
      <c r="B30" s="6" t="s">
        <v>22</v>
      </c>
      <c r="C30" s="220" t="s">
        <v>23</v>
      </c>
      <c r="D30" s="220"/>
      <c r="E30" s="220"/>
      <c r="F30" s="220"/>
      <c r="G30" s="220"/>
    </row>
    <row r="31" spans="2:7" x14ac:dyDescent="0.35">
      <c r="B31" s="6" t="s">
        <v>24</v>
      </c>
      <c r="C31" s="220" t="s">
        <v>25</v>
      </c>
      <c r="D31" s="220"/>
      <c r="E31" s="220"/>
      <c r="F31" s="220"/>
      <c r="G31" s="220"/>
    </row>
    <row r="32" spans="2:7" x14ac:dyDescent="0.35">
      <c r="B32" s="6" t="s">
        <v>26</v>
      </c>
      <c r="C32" s="220" t="s">
        <v>27</v>
      </c>
      <c r="D32" s="220"/>
      <c r="E32" s="220"/>
      <c r="F32" s="220"/>
      <c r="G32" s="220"/>
    </row>
    <row r="33" spans="2:7" x14ac:dyDescent="0.35">
      <c r="B33" s="6" t="s">
        <v>28</v>
      </c>
      <c r="C33" s="220" t="s">
        <v>29</v>
      </c>
      <c r="D33" s="220"/>
      <c r="E33" s="220"/>
      <c r="F33" s="220"/>
      <c r="G33" s="220"/>
    </row>
    <row r="34" spans="2:7" x14ac:dyDescent="0.35">
      <c r="B34" s="6" t="s">
        <v>30</v>
      </c>
      <c r="C34" s="220" t="s">
        <v>31</v>
      </c>
      <c r="D34" s="220"/>
      <c r="E34" s="220"/>
      <c r="F34" s="220"/>
      <c r="G34" s="220"/>
    </row>
    <row r="35" spans="2:7" x14ac:dyDescent="0.35">
      <c r="B35" s="6" t="s">
        <v>32</v>
      </c>
      <c r="C35" s="220" t="s">
        <v>33</v>
      </c>
      <c r="D35" s="220"/>
      <c r="E35" s="220"/>
      <c r="F35" s="220"/>
      <c r="G35" s="220"/>
    </row>
    <row r="36" spans="2:7" x14ac:dyDescent="0.35">
      <c r="B36" s="6" t="s">
        <v>34</v>
      </c>
      <c r="C36" s="220" t="s">
        <v>35</v>
      </c>
      <c r="D36" s="220"/>
      <c r="E36" s="220"/>
      <c r="F36" s="220"/>
      <c r="G36" s="220"/>
    </row>
    <row r="37" spans="2:7" x14ac:dyDescent="0.35">
      <c r="B37" s="6" t="s">
        <v>36</v>
      </c>
      <c r="C37" s="220" t="s">
        <v>37</v>
      </c>
      <c r="D37" s="220"/>
      <c r="E37" s="220"/>
      <c r="F37" s="220"/>
      <c r="G37" s="220"/>
    </row>
    <row r="38" spans="2:7" x14ac:dyDescent="0.35">
      <c r="B38" s="6" t="s">
        <v>38</v>
      </c>
      <c r="C38" s="220" t="s">
        <v>39</v>
      </c>
      <c r="D38" s="220"/>
      <c r="E38" s="220"/>
      <c r="F38" s="220"/>
      <c r="G38" s="220"/>
    </row>
  </sheetData>
  <mergeCells count="30">
    <mergeCell ref="B3:G3"/>
    <mergeCell ref="B4:G4"/>
    <mergeCell ref="B5:G5"/>
    <mergeCell ref="B7:D9"/>
    <mergeCell ref="E7:G9"/>
    <mergeCell ref="B11:G11"/>
    <mergeCell ref="C12:G12"/>
    <mergeCell ref="C13:G13"/>
    <mergeCell ref="C14:G14"/>
    <mergeCell ref="C15:G15"/>
    <mergeCell ref="C16:G16"/>
    <mergeCell ref="B18:G18"/>
    <mergeCell ref="C19:G19"/>
    <mergeCell ref="C20:G20"/>
    <mergeCell ref="C21:G21"/>
    <mergeCell ref="C22:G22"/>
    <mergeCell ref="C23:G23"/>
    <mergeCell ref="B25:G25"/>
    <mergeCell ref="B27:G27"/>
    <mergeCell ref="C28:G28"/>
    <mergeCell ref="C29:G29"/>
    <mergeCell ref="C30:G30"/>
    <mergeCell ref="C31:G31"/>
    <mergeCell ref="C32:G32"/>
    <mergeCell ref="C33:G33"/>
    <mergeCell ref="C34:G34"/>
    <mergeCell ref="C35:G35"/>
    <mergeCell ref="C36:G36"/>
    <mergeCell ref="C37:G37"/>
    <mergeCell ref="C38:G38"/>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5"/>
  <sheetViews>
    <sheetView showGridLines="0" zoomScaleNormal="100" workbookViewId="0">
      <selection activeCell="B2" sqref="B2:F2"/>
    </sheetView>
  </sheetViews>
  <sheetFormatPr defaultColWidth="8.6328125" defaultRowHeight="14.5" x14ac:dyDescent="0.35"/>
  <cols>
    <col min="1" max="1" width="16.81640625" customWidth="1"/>
    <col min="2" max="2" width="22" customWidth="1"/>
    <col min="3" max="5" width="18" customWidth="1"/>
    <col min="6" max="6" width="34" customWidth="1"/>
  </cols>
  <sheetData>
    <row r="1" spans="1:6" ht="58" customHeight="1" x14ac:dyDescent="0.35">
      <c r="A1" s="132" t="s">
        <v>21</v>
      </c>
      <c r="B1" s="235"/>
      <c r="C1" s="235"/>
      <c r="D1" s="235"/>
      <c r="E1" s="235"/>
      <c r="F1" s="235"/>
    </row>
    <row r="2" spans="1:6" ht="64" customHeight="1" x14ac:dyDescent="0.35">
      <c r="A2" s="131" t="s">
        <v>40</v>
      </c>
      <c r="B2" s="235"/>
      <c r="C2" s="235"/>
      <c r="D2" s="235"/>
      <c r="E2" s="235"/>
      <c r="F2" s="235"/>
    </row>
    <row r="4" spans="1:6" ht="21.75" customHeight="1" x14ac:dyDescent="0.35">
      <c r="B4" s="223" t="s">
        <v>41</v>
      </c>
      <c r="C4" s="223"/>
      <c r="D4" s="223"/>
      <c r="E4" s="223"/>
      <c r="F4" s="223"/>
    </row>
    <row r="5" spans="1:6" ht="30" customHeight="1" x14ac:dyDescent="0.35">
      <c r="B5" s="2" t="s">
        <v>42</v>
      </c>
      <c r="C5" s="2" t="s">
        <v>43</v>
      </c>
      <c r="D5" s="2" t="s">
        <v>44</v>
      </c>
      <c r="E5" s="236" t="s">
        <v>45</v>
      </c>
      <c r="F5" s="236"/>
    </row>
    <row r="6" spans="1:6" ht="19.5" customHeight="1" x14ac:dyDescent="0.35">
      <c r="B6" s="7" t="s">
        <v>46</v>
      </c>
      <c r="C6" s="8" t="s">
        <v>47</v>
      </c>
      <c r="D6" s="9" t="s">
        <v>48</v>
      </c>
      <c r="E6" s="234" t="s">
        <v>49</v>
      </c>
      <c r="F6" s="234"/>
    </row>
    <row r="7" spans="1:6" ht="19.5" customHeight="1" x14ac:dyDescent="0.35">
      <c r="B7" s="10" t="s">
        <v>50</v>
      </c>
      <c r="C7" s="11" t="s">
        <v>51</v>
      </c>
      <c r="D7" s="12" t="s">
        <v>52</v>
      </c>
      <c r="E7" s="233" t="s">
        <v>53</v>
      </c>
      <c r="F7" s="233"/>
    </row>
    <row r="8" spans="1:6" ht="19.5" customHeight="1" x14ac:dyDescent="0.35">
      <c r="B8" s="7" t="s">
        <v>54</v>
      </c>
      <c r="C8" s="8" t="s">
        <v>55</v>
      </c>
      <c r="D8" s="9" t="s">
        <v>56</v>
      </c>
      <c r="E8" s="234" t="s">
        <v>57</v>
      </c>
      <c r="F8" s="234"/>
    </row>
    <row r="9" spans="1:6" ht="19.5" customHeight="1" x14ac:dyDescent="0.35">
      <c r="B9" s="10" t="s">
        <v>58</v>
      </c>
      <c r="C9" s="11" t="s">
        <v>59</v>
      </c>
      <c r="D9" s="12" t="s">
        <v>60</v>
      </c>
      <c r="E9" s="233" t="s">
        <v>61</v>
      </c>
      <c r="F9" s="233"/>
    </row>
    <row r="10" spans="1:6" ht="19.5" customHeight="1" x14ac:dyDescent="0.35">
      <c r="B10" s="7" t="s">
        <v>62</v>
      </c>
      <c r="C10" s="8" t="s">
        <v>63</v>
      </c>
      <c r="D10" s="9" t="s">
        <v>64</v>
      </c>
      <c r="E10" s="234" t="s">
        <v>11</v>
      </c>
      <c r="F10" s="234"/>
    </row>
    <row r="11" spans="1:6" ht="19.5" customHeight="1" x14ac:dyDescent="0.35">
      <c r="B11" s="10" t="s">
        <v>65</v>
      </c>
      <c r="C11" s="11" t="s">
        <v>66</v>
      </c>
      <c r="D11" s="12" t="s">
        <v>67</v>
      </c>
      <c r="E11" s="233" t="s">
        <v>68</v>
      </c>
      <c r="F11" s="233"/>
    </row>
    <row r="13" spans="1:6" ht="21.75" customHeight="1" x14ac:dyDescent="0.35">
      <c r="B13" s="223" t="s">
        <v>69</v>
      </c>
      <c r="C13" s="223"/>
      <c r="D13" s="223"/>
      <c r="E13" s="223"/>
      <c r="F13" s="223"/>
    </row>
    <row r="14" spans="1:6" ht="30" customHeight="1" x14ac:dyDescent="0.35">
      <c r="B14" s="14" t="s">
        <v>70</v>
      </c>
      <c r="C14" s="221" t="s">
        <v>71</v>
      </c>
      <c r="D14" s="221"/>
      <c r="E14" s="221"/>
      <c r="F14" s="221"/>
    </row>
    <row r="15" spans="1:6" ht="30" customHeight="1" x14ac:dyDescent="0.35">
      <c r="B15" s="14" t="s">
        <v>70</v>
      </c>
      <c r="C15" s="221" t="s">
        <v>72</v>
      </c>
      <c r="D15" s="221"/>
      <c r="E15" s="221"/>
      <c r="F15" s="221"/>
    </row>
    <row r="16" spans="1:6" ht="30" customHeight="1" x14ac:dyDescent="0.35">
      <c r="B16" s="14" t="s">
        <v>70</v>
      </c>
      <c r="C16" s="221" t="s">
        <v>73</v>
      </c>
      <c r="D16" s="221"/>
      <c r="E16" s="221"/>
      <c r="F16" s="221"/>
    </row>
    <row r="17" spans="2:6" ht="30" customHeight="1" x14ac:dyDescent="0.35">
      <c r="B17" s="14" t="s">
        <v>70</v>
      </c>
      <c r="C17" s="221" t="s">
        <v>74</v>
      </c>
      <c r="D17" s="221"/>
      <c r="E17" s="221"/>
      <c r="F17" s="221"/>
    </row>
    <row r="18" spans="2:6" ht="30" customHeight="1" x14ac:dyDescent="0.35">
      <c r="B18" s="14" t="s">
        <v>70</v>
      </c>
      <c r="C18" s="221" t="s">
        <v>75</v>
      </c>
      <c r="D18" s="221"/>
      <c r="E18" s="221"/>
      <c r="F18" s="221"/>
    </row>
    <row r="19" spans="2:6" ht="30" customHeight="1" x14ac:dyDescent="0.35">
      <c r="B19" s="14" t="s">
        <v>70</v>
      </c>
      <c r="C19" s="221" t="s">
        <v>76</v>
      </c>
      <c r="D19" s="221"/>
      <c r="E19" s="221"/>
      <c r="F19" s="221"/>
    </row>
    <row r="21" spans="2:6" ht="21.75" customHeight="1" x14ac:dyDescent="0.35">
      <c r="B21" s="225" t="s">
        <v>77</v>
      </c>
      <c r="C21" s="225"/>
      <c r="D21" s="225"/>
      <c r="E21" s="225"/>
      <c r="F21" s="225"/>
    </row>
    <row r="22" spans="2:6" ht="57.75" customHeight="1" x14ac:dyDescent="0.35">
      <c r="B22" s="15" t="s">
        <v>43</v>
      </c>
      <c r="C22" s="232" t="s">
        <v>78</v>
      </c>
      <c r="D22" s="232"/>
      <c r="E22" s="232"/>
      <c r="F22" s="232"/>
    </row>
    <row r="23" spans="2:6" ht="57.75" customHeight="1" x14ac:dyDescent="0.35">
      <c r="B23" s="17" t="s">
        <v>79</v>
      </c>
      <c r="C23" s="232" t="s">
        <v>80</v>
      </c>
      <c r="D23" s="232"/>
      <c r="E23" s="232"/>
      <c r="F23" s="232"/>
    </row>
    <row r="25" spans="2:6" ht="15" customHeight="1" x14ac:dyDescent="0.35">
      <c r="B25" s="231"/>
      <c r="C25" s="231"/>
      <c r="D25" s="231"/>
      <c r="E25" s="231"/>
      <c r="F25" s="231"/>
    </row>
  </sheetData>
  <mergeCells count="21">
    <mergeCell ref="B1:F1"/>
    <mergeCell ref="B2:F2"/>
    <mergeCell ref="B4:F4"/>
    <mergeCell ref="E5:F5"/>
    <mergeCell ref="E6:F6"/>
    <mergeCell ref="E7:F7"/>
    <mergeCell ref="E8:F8"/>
    <mergeCell ref="E9:F9"/>
    <mergeCell ref="E10:F10"/>
    <mergeCell ref="E11:F11"/>
    <mergeCell ref="B13:F13"/>
    <mergeCell ref="C14:F14"/>
    <mergeCell ref="C15:F15"/>
    <mergeCell ref="C16:F16"/>
    <mergeCell ref="C17:F17"/>
    <mergeCell ref="B25:F25"/>
    <mergeCell ref="C18:F18"/>
    <mergeCell ref="C19:F19"/>
    <mergeCell ref="B21:F21"/>
    <mergeCell ref="C22:F22"/>
    <mergeCell ref="C23:F23"/>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3"/>
  <sheetViews>
    <sheetView showGridLines="0" zoomScaleNormal="100" workbookViewId="0"/>
  </sheetViews>
  <sheetFormatPr defaultColWidth="8.6328125" defaultRowHeight="14.5" x14ac:dyDescent="0.35"/>
  <cols>
    <col min="1" max="1" width="21.54296875" customWidth="1"/>
    <col min="2" max="2" width="24" customWidth="1"/>
    <col min="3" max="4" width="40" customWidth="1"/>
    <col min="5" max="5" width="2" customWidth="1"/>
  </cols>
  <sheetData>
    <row r="1" spans="1:4" ht="46.5" customHeight="1" x14ac:dyDescent="0.35">
      <c r="A1" s="132" t="s">
        <v>23</v>
      </c>
      <c r="B1" s="235"/>
      <c r="C1" s="235"/>
      <c r="D1" s="235"/>
    </row>
    <row r="2" spans="1:4" ht="36" customHeight="1" x14ac:dyDescent="0.35">
      <c r="A2" s="131" t="s">
        <v>81</v>
      </c>
      <c r="B2" s="235"/>
      <c r="C2" s="235"/>
      <c r="D2" s="235"/>
    </row>
    <row r="4" spans="1:4" ht="30" customHeight="1" x14ac:dyDescent="0.35">
      <c r="B4" s="2"/>
      <c r="C4" s="18" t="s">
        <v>82</v>
      </c>
      <c r="D4" s="19" t="s">
        <v>83</v>
      </c>
    </row>
    <row r="5" spans="1:4" ht="45.75" customHeight="1" x14ac:dyDescent="0.35">
      <c r="B5" s="20" t="s">
        <v>84</v>
      </c>
      <c r="C5" s="16" t="s">
        <v>85</v>
      </c>
      <c r="D5" s="16" t="s">
        <v>86</v>
      </c>
    </row>
    <row r="6" spans="1:4" ht="45.75" customHeight="1" x14ac:dyDescent="0.35">
      <c r="B6" s="21" t="s">
        <v>87</v>
      </c>
      <c r="C6" s="22" t="s">
        <v>88</v>
      </c>
      <c r="D6" s="22" t="s">
        <v>89</v>
      </c>
    </row>
    <row r="7" spans="1:4" ht="45.75" customHeight="1" x14ac:dyDescent="0.35">
      <c r="B7" s="20" t="s">
        <v>90</v>
      </c>
      <c r="C7" s="16" t="s">
        <v>91</v>
      </c>
      <c r="D7" s="16" t="s">
        <v>92</v>
      </c>
    </row>
    <row r="8" spans="1:4" ht="45.75" customHeight="1" x14ac:dyDescent="0.35">
      <c r="B8" s="21" t="s">
        <v>93</v>
      </c>
      <c r="C8" s="22" t="s">
        <v>94</v>
      </c>
      <c r="D8" s="22" t="s">
        <v>95</v>
      </c>
    </row>
    <row r="9" spans="1:4" ht="45.75" customHeight="1" x14ac:dyDescent="0.35">
      <c r="B9" s="20" t="s">
        <v>96</v>
      </c>
      <c r="C9" s="16" t="s">
        <v>97</v>
      </c>
      <c r="D9" s="16" t="s">
        <v>98</v>
      </c>
    </row>
    <row r="10" spans="1:4" ht="45.75" customHeight="1" x14ac:dyDescent="0.35">
      <c r="B10" s="21" t="s">
        <v>99</v>
      </c>
      <c r="C10" s="22" t="s">
        <v>100</v>
      </c>
      <c r="D10" s="22" t="s">
        <v>101</v>
      </c>
    </row>
    <row r="11" spans="1:4" ht="45.75" customHeight="1" x14ac:dyDescent="0.35">
      <c r="B11" s="20" t="s">
        <v>102</v>
      </c>
      <c r="C11" s="16" t="s">
        <v>103</v>
      </c>
      <c r="D11" s="16" t="s">
        <v>104</v>
      </c>
    </row>
    <row r="12" spans="1:4" ht="45.75" customHeight="1" x14ac:dyDescent="0.35">
      <c r="B12" s="21" t="s">
        <v>105</v>
      </c>
      <c r="C12" s="22" t="s">
        <v>106</v>
      </c>
      <c r="D12" s="22" t="s">
        <v>107</v>
      </c>
    </row>
    <row r="13" spans="1:4" ht="45.75" customHeight="1" x14ac:dyDescent="0.35">
      <c r="B13" s="20" t="s">
        <v>108</v>
      </c>
      <c r="C13" s="16" t="s">
        <v>109</v>
      </c>
      <c r="D13" s="16" t="s">
        <v>110</v>
      </c>
    </row>
  </sheetData>
  <mergeCells count="2">
    <mergeCell ref="B1:D1"/>
    <mergeCell ref="B2:D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
  <sheetViews>
    <sheetView showGridLines="0" topLeftCell="A6" zoomScaleNormal="100" workbookViewId="0">
      <selection activeCell="A2" sqref="A2"/>
    </sheetView>
  </sheetViews>
  <sheetFormatPr defaultColWidth="8.6328125" defaultRowHeight="14.5" x14ac:dyDescent="0.35"/>
  <cols>
    <col min="1" max="1" width="22.26953125" customWidth="1"/>
    <col min="2" max="2" width="30" customWidth="1"/>
    <col min="3" max="7" width="15" customWidth="1"/>
  </cols>
  <sheetData>
    <row r="1" spans="1:7" ht="97.5" customHeight="1" x14ac:dyDescent="0.35">
      <c r="A1" s="134" t="s">
        <v>111</v>
      </c>
      <c r="B1" s="235"/>
      <c r="C1" s="235"/>
      <c r="D1" s="235"/>
      <c r="E1" s="235"/>
      <c r="F1" s="235"/>
      <c r="G1" s="235"/>
    </row>
    <row r="2" spans="1:7" ht="99.5" customHeight="1" x14ac:dyDescent="0.35">
      <c r="A2" s="131" t="s">
        <v>112</v>
      </c>
      <c r="B2" s="235"/>
      <c r="C2" s="235"/>
      <c r="D2" s="235"/>
      <c r="E2" s="235"/>
      <c r="F2" s="235"/>
      <c r="G2" s="235"/>
    </row>
    <row r="4" spans="1:7" ht="21.75" customHeight="1" x14ac:dyDescent="0.35">
      <c r="B4" s="238" t="s">
        <v>113</v>
      </c>
      <c r="C4" s="238"/>
      <c r="D4" s="238"/>
      <c r="E4" s="238"/>
      <c r="F4" s="238"/>
      <c r="G4" s="238"/>
    </row>
    <row r="5" spans="1:7" ht="30" customHeight="1" x14ac:dyDescent="0.35">
      <c r="B5" s="2" t="s">
        <v>114</v>
      </c>
      <c r="C5" s="2" t="s">
        <v>115</v>
      </c>
      <c r="D5" s="2" t="s">
        <v>116</v>
      </c>
      <c r="E5" s="2" t="s">
        <v>117</v>
      </c>
      <c r="F5" s="2" t="s">
        <v>118</v>
      </c>
      <c r="G5" s="2" t="s">
        <v>119</v>
      </c>
    </row>
    <row r="6" spans="1:7" ht="18" customHeight="1" x14ac:dyDescent="0.35">
      <c r="B6" s="23" t="s">
        <v>120</v>
      </c>
      <c r="C6" s="24">
        <v>284093.76</v>
      </c>
      <c r="D6" s="24">
        <v>566921.86</v>
      </c>
      <c r="E6" s="24">
        <v>1323333.8600000001</v>
      </c>
      <c r="F6" s="24">
        <v>1415495.52</v>
      </c>
      <c r="G6" s="24">
        <v>1454738.11</v>
      </c>
    </row>
    <row r="7" spans="1:7" ht="18" customHeight="1" x14ac:dyDescent="0.35">
      <c r="B7" s="25" t="s">
        <v>121</v>
      </c>
      <c r="C7" s="26">
        <v>471149.38</v>
      </c>
      <c r="D7" s="26">
        <v>612314.03</v>
      </c>
      <c r="E7" s="26">
        <v>1122907.02</v>
      </c>
      <c r="F7" s="26">
        <v>1212433.1399999999</v>
      </c>
      <c r="G7" s="26">
        <v>1327495.6200000001</v>
      </c>
    </row>
    <row r="8" spans="1:7" ht="18" customHeight="1" x14ac:dyDescent="0.35">
      <c r="B8" s="7" t="s">
        <v>122</v>
      </c>
      <c r="C8" s="27">
        <f>C6-C7</f>
        <v>-187055.62</v>
      </c>
      <c r="D8" s="27">
        <f>D6-D7</f>
        <v>-45392.170000000042</v>
      </c>
      <c r="E8" s="27">
        <f>E6-E7</f>
        <v>200426.84000000008</v>
      </c>
      <c r="F8" s="27">
        <f>F6-F7</f>
        <v>203062.38000000012</v>
      </c>
      <c r="G8" s="27">
        <f>G6-G7</f>
        <v>127242.48999999999</v>
      </c>
    </row>
    <row r="9" spans="1:7" ht="18" customHeight="1" x14ac:dyDescent="0.35">
      <c r="B9" s="25" t="s">
        <v>123</v>
      </c>
      <c r="C9" s="26">
        <v>-369063.54</v>
      </c>
      <c r="D9" s="26">
        <v>-81150.5</v>
      </c>
      <c r="E9" s="26">
        <v>196309.76000000001</v>
      </c>
      <c r="F9" s="26">
        <v>226112.1</v>
      </c>
      <c r="G9" s="26">
        <v>220729.36</v>
      </c>
    </row>
    <row r="10" spans="1:7" ht="18" customHeight="1" x14ac:dyDescent="0.35">
      <c r="B10" s="23" t="s">
        <v>124</v>
      </c>
      <c r="C10" s="24"/>
      <c r="D10" s="24"/>
      <c r="E10" s="24">
        <v>165197.10999999999</v>
      </c>
      <c r="F10" s="24">
        <v>200650.2</v>
      </c>
      <c r="G10" s="24">
        <v>209368.29</v>
      </c>
    </row>
    <row r="11" spans="1:7" ht="18" customHeight="1" x14ac:dyDescent="0.35">
      <c r="B11" s="25" t="s">
        <v>125</v>
      </c>
      <c r="C11" s="28">
        <v>-76.39</v>
      </c>
      <c r="D11" s="28">
        <v>-12.06</v>
      </c>
      <c r="E11" s="28">
        <v>26.5</v>
      </c>
      <c r="F11" s="28">
        <v>47.13</v>
      </c>
      <c r="G11" s="28">
        <v>66.48</v>
      </c>
    </row>
    <row r="12" spans="1:7" ht="18" customHeight="1" x14ac:dyDescent="0.35">
      <c r="B12" s="23" t="s">
        <v>126</v>
      </c>
      <c r="C12" s="24">
        <v>2797927.79</v>
      </c>
      <c r="D12" s="24">
        <v>3623555.95</v>
      </c>
      <c r="E12" s="24">
        <v>3655584.34</v>
      </c>
      <c r="F12" s="24">
        <v>3295506.92</v>
      </c>
      <c r="G12" s="24">
        <v>3207812.26</v>
      </c>
    </row>
    <row r="13" spans="1:7" ht="18" customHeight="1" x14ac:dyDescent="0.35">
      <c r="B13" s="25" t="s">
        <v>127</v>
      </c>
      <c r="C13" s="29">
        <v>25547</v>
      </c>
      <c r="D13" s="29">
        <v>22214</v>
      </c>
      <c r="E13" s="29">
        <v>22819</v>
      </c>
      <c r="F13" s="29">
        <v>25619</v>
      </c>
      <c r="G13" s="29">
        <v>27821</v>
      </c>
    </row>
    <row r="14" spans="1:7" ht="22.4" customHeight="1" x14ac:dyDescent="0.35">
      <c r="B14" s="237" t="s">
        <v>468</v>
      </c>
      <c r="C14" s="231"/>
      <c r="D14" s="231"/>
      <c r="E14" s="231"/>
      <c r="F14" s="231"/>
      <c r="G14" s="231"/>
    </row>
    <row r="16" spans="1:7" ht="21.75" customHeight="1" x14ac:dyDescent="0.35">
      <c r="B16" s="239" t="s">
        <v>128</v>
      </c>
      <c r="C16" s="239"/>
      <c r="D16" s="239"/>
      <c r="E16" s="239"/>
      <c r="F16" s="239"/>
      <c r="G16" s="239"/>
    </row>
    <row r="17" spans="2:7" ht="30" customHeight="1" x14ac:dyDescent="0.35">
      <c r="B17" s="2" t="s">
        <v>114</v>
      </c>
      <c r="C17" s="2" t="s">
        <v>115</v>
      </c>
      <c r="D17" s="2" t="s">
        <v>116</v>
      </c>
      <c r="E17" s="2" t="s">
        <v>117</v>
      </c>
      <c r="F17" s="2" t="s">
        <v>118</v>
      </c>
      <c r="G17" s="2" t="s">
        <v>119</v>
      </c>
    </row>
    <row r="18" spans="2:7" ht="18" customHeight="1" x14ac:dyDescent="0.35">
      <c r="B18" s="23" t="s">
        <v>120</v>
      </c>
      <c r="C18" s="24">
        <v>552514.43999999994</v>
      </c>
      <c r="D18" s="24">
        <v>618556.31999999995</v>
      </c>
      <c r="E18" s="24">
        <v>1145158.2</v>
      </c>
      <c r="F18" s="24">
        <v>1264976.52</v>
      </c>
      <c r="G18" s="24">
        <v>1415203.92</v>
      </c>
    </row>
    <row r="19" spans="2:7" ht="18" customHeight="1" x14ac:dyDescent="0.35">
      <c r="B19" s="25" t="s">
        <v>121</v>
      </c>
      <c r="C19" s="26">
        <v>557968.43999999994</v>
      </c>
      <c r="D19" s="26">
        <v>576487.80000000005</v>
      </c>
      <c r="E19" s="26">
        <v>987610.32</v>
      </c>
      <c r="F19" s="26">
        <v>1105271.28</v>
      </c>
      <c r="G19" s="26">
        <v>1244639.1599999999</v>
      </c>
    </row>
    <row r="20" spans="2:7" ht="18" customHeight="1" x14ac:dyDescent="0.35">
      <c r="B20" s="7" t="s">
        <v>122</v>
      </c>
      <c r="C20" s="27">
        <f>C18-C19</f>
        <v>-5454</v>
      </c>
      <c r="D20" s="27">
        <f>D18-D19</f>
        <v>42068.519999999902</v>
      </c>
      <c r="E20" s="27">
        <f>E18-E19</f>
        <v>157547.88</v>
      </c>
      <c r="F20" s="27">
        <f>F18-F19</f>
        <v>159705.24</v>
      </c>
      <c r="G20" s="27">
        <f>G18-G19</f>
        <v>170564.76</v>
      </c>
    </row>
    <row r="21" spans="2:7" ht="18" customHeight="1" x14ac:dyDescent="0.35">
      <c r="B21" s="25" t="s">
        <v>123</v>
      </c>
      <c r="C21" s="26">
        <v>-73410.84</v>
      </c>
      <c r="D21" s="26">
        <v>-74113.8</v>
      </c>
      <c r="E21" s="26">
        <v>131598.96</v>
      </c>
      <c r="F21" s="26">
        <v>135780.35999999999</v>
      </c>
      <c r="G21" s="26">
        <v>149197.20000000001</v>
      </c>
    </row>
    <row r="22" spans="2:7" ht="18" customHeight="1" x14ac:dyDescent="0.35">
      <c r="B22" s="23" t="s">
        <v>124</v>
      </c>
      <c r="C22" s="24">
        <v>-66975.12</v>
      </c>
      <c r="D22" s="24">
        <v>-80258.64</v>
      </c>
      <c r="E22" s="24">
        <v>118654.8</v>
      </c>
      <c r="F22" s="24">
        <v>119842.56</v>
      </c>
      <c r="G22" s="24">
        <v>131235.35999999999</v>
      </c>
    </row>
    <row r="23" spans="2:7" ht="18" customHeight="1" x14ac:dyDescent="0.35">
      <c r="B23" s="25" t="s">
        <v>125</v>
      </c>
      <c r="C23" s="28">
        <v>-11.53</v>
      </c>
      <c r="D23" s="28">
        <v>-13.62</v>
      </c>
      <c r="E23" s="28">
        <v>17.059999999999999</v>
      </c>
      <c r="F23" s="28">
        <v>18.079999999999998</v>
      </c>
      <c r="G23" s="28">
        <v>20.059999999999999</v>
      </c>
    </row>
    <row r="24" spans="2:7" ht="18" customHeight="1" x14ac:dyDescent="0.35">
      <c r="B24" s="23" t="s">
        <v>126</v>
      </c>
      <c r="C24" s="24">
        <v>2032887.62</v>
      </c>
      <c r="D24" s="24">
        <v>1873485.36</v>
      </c>
      <c r="E24" s="24">
        <v>1834555.92</v>
      </c>
      <c r="F24" s="24">
        <v>1842215.76</v>
      </c>
      <c r="G24" s="24">
        <v>1872794.52</v>
      </c>
    </row>
    <row r="25" spans="2:7" ht="18" customHeight="1" x14ac:dyDescent="0.35">
      <c r="B25" s="25" t="s">
        <v>127</v>
      </c>
      <c r="C25" s="29">
        <v>21600</v>
      </c>
      <c r="D25" s="29">
        <v>21200</v>
      </c>
      <c r="E25" s="29">
        <v>23800</v>
      </c>
      <c r="F25" s="29">
        <v>30100</v>
      </c>
      <c r="G25" s="29">
        <v>33000</v>
      </c>
    </row>
    <row r="26" spans="2:7" ht="15" customHeight="1" x14ac:dyDescent="0.35">
      <c r="B26" s="237" t="s">
        <v>467</v>
      </c>
      <c r="C26" s="231"/>
      <c r="D26" s="231"/>
      <c r="E26" s="231"/>
      <c r="F26" s="231"/>
      <c r="G26" s="231"/>
    </row>
  </sheetData>
  <mergeCells count="6">
    <mergeCell ref="B26:G26"/>
    <mergeCell ref="B1:G1"/>
    <mergeCell ref="B2:G2"/>
    <mergeCell ref="B4:G4"/>
    <mergeCell ref="B14:G14"/>
    <mergeCell ref="B16:G16"/>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9"/>
  <sheetViews>
    <sheetView showGridLines="0" zoomScale="86" zoomScaleNormal="100" workbookViewId="0">
      <selection activeCell="B2" sqref="B2:G2"/>
    </sheetView>
  </sheetViews>
  <sheetFormatPr defaultColWidth="8.6328125" defaultRowHeight="14.5" x14ac:dyDescent="0.35"/>
  <cols>
    <col min="1" max="1" width="25.90625" customWidth="1"/>
    <col min="2" max="2" width="30" customWidth="1"/>
    <col min="3" max="7" width="14" customWidth="1"/>
  </cols>
  <sheetData>
    <row r="1" spans="1:7" ht="45.5" customHeight="1" x14ac:dyDescent="0.35">
      <c r="A1" s="132" t="s">
        <v>27</v>
      </c>
      <c r="B1" s="235"/>
      <c r="C1" s="235"/>
      <c r="D1" s="235"/>
      <c r="E1" s="235"/>
      <c r="F1" s="235"/>
      <c r="G1" s="235"/>
    </row>
    <row r="2" spans="1:7" ht="83.5" customHeight="1" x14ac:dyDescent="0.35">
      <c r="A2" s="131" t="s">
        <v>129</v>
      </c>
      <c r="B2" s="235"/>
      <c r="C2" s="235"/>
      <c r="D2" s="235"/>
      <c r="E2" s="235"/>
      <c r="F2" s="235"/>
      <c r="G2" s="235"/>
    </row>
    <row r="4" spans="1:7" ht="21.75" customHeight="1" x14ac:dyDescent="0.35">
      <c r="B4" s="238" t="s">
        <v>130</v>
      </c>
      <c r="C4" s="238"/>
      <c r="D4" s="238"/>
      <c r="E4" s="238"/>
      <c r="F4" s="238"/>
      <c r="G4" s="238"/>
    </row>
    <row r="5" spans="1:7" ht="30" customHeight="1" x14ac:dyDescent="0.35">
      <c r="B5" s="2" t="s">
        <v>114</v>
      </c>
      <c r="C5" s="2" t="s">
        <v>115</v>
      </c>
      <c r="D5" s="2" t="s">
        <v>116</v>
      </c>
      <c r="E5" s="2" t="s">
        <v>117</v>
      </c>
      <c r="F5" s="2" t="s">
        <v>118</v>
      </c>
      <c r="G5" s="2" t="s">
        <v>119</v>
      </c>
    </row>
    <row r="6" spans="1:7" x14ac:dyDescent="0.35">
      <c r="B6" s="30" t="s">
        <v>131</v>
      </c>
      <c r="C6" s="31">
        <f>'Financial Statements'!C6/'Financial Statements'!C12</f>
        <v>0.10153720228784031</v>
      </c>
      <c r="D6" s="31">
        <f>'Financial Statements'!D6/'Financial Statements'!D12</f>
        <v>0.15645456226500379</v>
      </c>
      <c r="E6" s="31">
        <f>'Financial Statements'!E6/'Financial Statements'!E12</f>
        <v>0.36200337262633098</v>
      </c>
      <c r="F6" s="31">
        <f>'Financial Statements'!F6/'Financial Statements'!F12</f>
        <v>0.42952284864266044</v>
      </c>
      <c r="G6" s="31">
        <f>'Financial Statements'!G6/'Financial Statements'!G12</f>
        <v>0.45349851926808216</v>
      </c>
    </row>
    <row r="7" spans="1:7" x14ac:dyDescent="0.35">
      <c r="B7" s="32" t="s">
        <v>132</v>
      </c>
      <c r="C7" s="33"/>
      <c r="D7" s="33">
        <f>(D6-C6)/C6</f>
        <v>0.54085949523685228</v>
      </c>
      <c r="E7" s="33">
        <f>(E6-D6)/D6</f>
        <v>1.3137923713158792</v>
      </c>
      <c r="F7" s="33">
        <f>(F6-E6)/E6</f>
        <v>0.18651615184266465</v>
      </c>
      <c r="G7" s="33">
        <f>(G6-F6)/F6</f>
        <v>5.5819313690034143E-2</v>
      </c>
    </row>
    <row r="8" spans="1:7" x14ac:dyDescent="0.35">
      <c r="B8" s="30" t="s">
        <v>133</v>
      </c>
      <c r="C8" s="34">
        <f>'Financial Statements'!C6/'Financial Statements'!C13</f>
        <v>11.12043527615767</v>
      </c>
      <c r="D8" s="34">
        <f>'Financial Statements'!D6/'Financial Statements'!D13</f>
        <v>25.520926442783828</v>
      </c>
      <c r="E8" s="34">
        <f>'Financial Statements'!E6/'Financial Statements'!E13</f>
        <v>57.992631578947375</v>
      </c>
      <c r="F8" s="34">
        <f>'Financial Statements'!F6/'Financial Statements'!F13</f>
        <v>55.251786564659042</v>
      </c>
      <c r="G8" s="34">
        <f>'Financial Statements'!G6/'Financial Statements'!G13</f>
        <v>52.289209949318867</v>
      </c>
    </row>
    <row r="9" spans="1:7" x14ac:dyDescent="0.35">
      <c r="B9" s="32" t="s">
        <v>132</v>
      </c>
      <c r="C9" s="33"/>
      <c r="D9" s="33">
        <f>(D8-C8)/C8</f>
        <v>1.2949575092173742</v>
      </c>
      <c r="E9" s="33">
        <f>(E8-D8)/D8</f>
        <v>1.272356049023647</v>
      </c>
      <c r="F9" s="33">
        <f>(F8-E8)/E8</f>
        <v>-4.7261952763035513E-2</v>
      </c>
      <c r="G9" s="33">
        <f>(G8-F8)/F8</f>
        <v>-5.3619562362443904E-2</v>
      </c>
    </row>
    <row r="10" spans="1:7" x14ac:dyDescent="0.35">
      <c r="B10" s="35" t="s">
        <v>134</v>
      </c>
      <c r="C10" s="240"/>
      <c r="D10" s="240"/>
      <c r="E10" s="240"/>
      <c r="F10" s="240"/>
      <c r="G10" s="36">
        <f>(G6-C6)/C6</f>
        <v>3.4663286859381128</v>
      </c>
    </row>
    <row r="13" spans="1:7" ht="21.75" customHeight="1" x14ac:dyDescent="0.35">
      <c r="B13" s="239" t="s">
        <v>135</v>
      </c>
      <c r="C13" s="239"/>
      <c r="D13" s="239"/>
      <c r="E13" s="239"/>
      <c r="F13" s="239"/>
      <c r="G13" s="239"/>
    </row>
    <row r="14" spans="1:7" ht="30" customHeight="1" x14ac:dyDescent="0.35">
      <c r="B14" s="2" t="s">
        <v>114</v>
      </c>
      <c r="C14" s="2" t="s">
        <v>115</v>
      </c>
      <c r="D14" s="2" t="s">
        <v>116</v>
      </c>
      <c r="E14" s="2" t="s">
        <v>117</v>
      </c>
      <c r="F14" s="2" t="s">
        <v>118</v>
      </c>
      <c r="G14" s="2" t="s">
        <v>119</v>
      </c>
    </row>
    <row r="15" spans="1:7" x14ac:dyDescent="0.35">
      <c r="B15" s="30" t="s">
        <v>131</v>
      </c>
      <c r="C15" s="31">
        <f>'Financial Statements'!C18/'Financial Statements'!C24</f>
        <v>0.27178798993325559</v>
      </c>
      <c r="D15" s="31">
        <f>'Financial Statements'!D18/'Financial Statements'!D24</f>
        <v>0.33016341264604271</v>
      </c>
      <c r="E15" s="31">
        <f>'Financial Statements'!E18/'Financial Statements'!E24</f>
        <v>0.62421547771626384</v>
      </c>
      <c r="F15" s="31">
        <f>'Financial Statements'!F18/'Financial Statements'!F24</f>
        <v>0.68666035079408938</v>
      </c>
      <c r="G15" s="31">
        <f>'Financial Statements'!G18/'Financial Statements'!G24</f>
        <v>0.75566427864173802</v>
      </c>
    </row>
    <row r="16" spans="1:7" x14ac:dyDescent="0.35">
      <c r="B16" s="32" t="s">
        <v>132</v>
      </c>
      <c r="C16" s="33"/>
      <c r="D16" s="33">
        <f>(D15-C15)/C15</f>
        <v>0.21478293697643769</v>
      </c>
      <c r="E16" s="33">
        <f>(E15-D15)/D15</f>
        <v>0.89062583498755099</v>
      </c>
      <c r="F16" s="33">
        <f>(F15-E15)/E15</f>
        <v>0.1000373673948049</v>
      </c>
      <c r="G16" s="33">
        <f>(G15-F15)/F15</f>
        <v>0.10049208137305284</v>
      </c>
    </row>
    <row r="17" spans="2:7" x14ac:dyDescent="0.35">
      <c r="B17" s="30" t="s">
        <v>133</v>
      </c>
      <c r="C17" s="34">
        <f>'Financial Statements'!C18/'Financial Statements'!C25</f>
        <v>25.579372222222219</v>
      </c>
      <c r="D17" s="34">
        <f>'Financial Statements'!D18/'Financial Statements'!D25</f>
        <v>29.177184905660376</v>
      </c>
      <c r="E17" s="34">
        <f>'Financial Statements'!E18/'Financial Statements'!E25</f>
        <v>48.11589075630252</v>
      </c>
      <c r="F17" s="34">
        <f>'Financial Statements'!F18/'Financial Statements'!F25</f>
        <v>42.025798006644521</v>
      </c>
      <c r="G17" s="34">
        <f>'Financial Statements'!G18/'Financial Statements'!G25</f>
        <v>42.884967272727273</v>
      </c>
    </row>
    <row r="18" spans="2:7" x14ac:dyDescent="0.35">
      <c r="B18" s="32" t="s">
        <v>132</v>
      </c>
      <c r="C18" s="33"/>
      <c r="D18" s="33">
        <f>(D17-C17)/C17</f>
        <v>0.14065289218914206</v>
      </c>
      <c r="E18" s="33">
        <f>(E17-D17)/D17</f>
        <v>0.64909297836228308</v>
      </c>
      <c r="F18" s="33">
        <f>(F17-E17)/E17</f>
        <v>-0.12657133961216918</v>
      </c>
      <c r="G18" s="33">
        <f>(G17-F17)/F17</f>
        <v>2.0443853700217954E-2</v>
      </c>
    </row>
    <row r="19" spans="2:7" x14ac:dyDescent="0.35">
      <c r="B19" s="37" t="s">
        <v>134</v>
      </c>
      <c r="C19" s="240"/>
      <c r="D19" s="240"/>
      <c r="E19" s="240"/>
      <c r="F19" s="240"/>
      <c r="G19" s="36">
        <f>(G15-C15)/C15</f>
        <v>1.7803446312227058</v>
      </c>
    </row>
  </sheetData>
  <mergeCells count="6">
    <mergeCell ref="C19:F19"/>
    <mergeCell ref="B1:G1"/>
    <mergeCell ref="B2:G2"/>
    <mergeCell ref="B4:G4"/>
    <mergeCell ref="C10:F10"/>
    <mergeCell ref="B13:G13"/>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2"/>
  <sheetViews>
    <sheetView showGridLines="0" zoomScale="89" zoomScaleNormal="100" workbookViewId="0">
      <selection activeCell="D36" sqref="D36"/>
    </sheetView>
  </sheetViews>
  <sheetFormatPr defaultColWidth="8.6328125" defaultRowHeight="14.5" x14ac:dyDescent="0.35"/>
  <cols>
    <col min="1" max="1" width="19.08984375" customWidth="1"/>
    <col min="2" max="2" width="30" customWidth="1"/>
    <col min="3" max="4" width="15" customWidth="1"/>
    <col min="5" max="5" width="13" customWidth="1"/>
    <col min="6" max="6" width="15" customWidth="1"/>
    <col min="7" max="7" width="13" customWidth="1"/>
  </cols>
  <sheetData>
    <row r="1" spans="1:7" ht="57" customHeight="1" x14ac:dyDescent="0.35">
      <c r="A1" s="132" t="s">
        <v>29</v>
      </c>
      <c r="B1" s="235"/>
      <c r="C1" s="235"/>
      <c r="D1" s="235"/>
      <c r="E1" s="235"/>
      <c r="F1" s="235"/>
      <c r="G1" s="235"/>
    </row>
    <row r="2" spans="1:7" ht="83" customHeight="1" x14ac:dyDescent="0.35">
      <c r="A2" s="131" t="s">
        <v>136</v>
      </c>
      <c r="B2" s="235"/>
      <c r="C2" s="235"/>
      <c r="D2" s="235"/>
      <c r="E2" s="235"/>
      <c r="F2" s="235"/>
      <c r="G2" s="235"/>
    </row>
    <row r="4" spans="1:7" ht="21.75" customHeight="1" x14ac:dyDescent="0.35">
      <c r="B4" s="238" t="s">
        <v>137</v>
      </c>
      <c r="C4" s="238"/>
      <c r="D4" s="238"/>
      <c r="E4" s="238"/>
      <c r="F4" s="238"/>
      <c r="G4" s="238"/>
    </row>
    <row r="5" spans="1:7" ht="30" customHeight="1" x14ac:dyDescent="0.35">
      <c r="B5" s="2" t="s">
        <v>138</v>
      </c>
      <c r="C5" s="2" t="s">
        <v>139</v>
      </c>
      <c r="D5" s="2" t="s">
        <v>140</v>
      </c>
      <c r="E5" s="2" t="s">
        <v>141</v>
      </c>
      <c r="F5" s="2" t="s">
        <v>142</v>
      </c>
      <c r="G5" s="2" t="s">
        <v>143</v>
      </c>
    </row>
    <row r="6" spans="1:7" x14ac:dyDescent="0.35">
      <c r="B6" s="23" t="s">
        <v>144</v>
      </c>
      <c r="C6" s="38">
        <v>16676.900000000001</v>
      </c>
      <c r="D6" s="38">
        <v>16120.6</v>
      </c>
      <c r="E6" s="39">
        <f>(C6-D6)/D6</f>
        <v>3.4508641117576337E-2</v>
      </c>
      <c r="F6" s="38">
        <v>1668.9</v>
      </c>
      <c r="G6" s="38">
        <v>34748.199999999997</v>
      </c>
    </row>
    <row r="7" spans="1:7" x14ac:dyDescent="0.35">
      <c r="B7" s="25" t="s">
        <v>145</v>
      </c>
      <c r="C7" s="28">
        <v>2255.9</v>
      </c>
      <c r="D7" s="28">
        <v>2359.5</v>
      </c>
      <c r="E7" s="40">
        <f>(C7-D7)/D7</f>
        <v>-4.390760754397114E-2</v>
      </c>
      <c r="F7" s="28">
        <v>35.799999999999997</v>
      </c>
      <c r="G7" s="28">
        <v>5944.3</v>
      </c>
    </row>
    <row r="8" spans="1:7" x14ac:dyDescent="0.35">
      <c r="B8" s="23" t="s">
        <v>146</v>
      </c>
      <c r="C8" s="38">
        <v>521.6</v>
      </c>
      <c r="D8" s="38">
        <v>449.1</v>
      </c>
      <c r="E8" s="39">
        <f>(C8-D8)/D8</f>
        <v>0.16143397906924961</v>
      </c>
      <c r="F8" s="38">
        <v>14.6</v>
      </c>
      <c r="G8" s="38">
        <v>1294</v>
      </c>
    </row>
    <row r="9" spans="1:7" x14ac:dyDescent="0.35">
      <c r="B9" s="25" t="s">
        <v>147</v>
      </c>
      <c r="C9" s="28">
        <v>85.4</v>
      </c>
      <c r="D9" s="28">
        <v>83.5</v>
      </c>
      <c r="E9" s="40">
        <f>(C9-D9)/D9</f>
        <v>2.2754491017964139E-2</v>
      </c>
      <c r="F9" s="28">
        <v>-18.100000000000001</v>
      </c>
      <c r="G9" s="28">
        <v>588.29999999999995</v>
      </c>
    </row>
    <row r="10" spans="1:7" x14ac:dyDescent="0.35">
      <c r="B10" s="30" t="s">
        <v>148</v>
      </c>
      <c r="C10" s="41">
        <f>SUM(C6:C9)</f>
        <v>19539.800000000003</v>
      </c>
      <c r="D10" s="41">
        <f>SUM(D6:D9)</f>
        <v>19012.699999999997</v>
      </c>
      <c r="E10" s="42">
        <f>(C10-D10)/D10</f>
        <v>2.7723574242480335E-2</v>
      </c>
      <c r="F10" s="41">
        <f>SUM(F6:F9)</f>
        <v>1701.2</v>
      </c>
      <c r="G10" s="41">
        <f>SUM(G6:G9)</f>
        <v>42574.8</v>
      </c>
    </row>
    <row r="11" spans="1:7" ht="22.4" customHeight="1" x14ac:dyDescent="0.35">
      <c r="B11" s="231"/>
      <c r="C11" s="231"/>
      <c r="D11" s="231"/>
      <c r="E11" s="231"/>
      <c r="F11" s="231"/>
      <c r="G11" s="231"/>
    </row>
    <row r="13" spans="1:7" ht="21.75" customHeight="1" x14ac:dyDescent="0.35">
      <c r="B13" s="239" t="s">
        <v>149</v>
      </c>
      <c r="C13" s="239"/>
      <c r="D13" s="239"/>
      <c r="E13" s="239"/>
      <c r="F13" s="239"/>
      <c r="G13" s="239"/>
    </row>
    <row r="14" spans="1:7" ht="30" customHeight="1" x14ac:dyDescent="0.35">
      <c r="B14" s="2" t="s">
        <v>138</v>
      </c>
      <c r="C14" s="2" t="s">
        <v>150</v>
      </c>
      <c r="D14" s="2" t="s">
        <v>151</v>
      </c>
      <c r="E14" s="2" t="s">
        <v>141</v>
      </c>
      <c r="F14" s="236" t="s">
        <v>152</v>
      </c>
      <c r="G14" s="236"/>
    </row>
    <row r="15" spans="1:7" x14ac:dyDescent="0.35">
      <c r="B15" s="23" t="s">
        <v>153</v>
      </c>
      <c r="C15" s="43">
        <v>105631</v>
      </c>
      <c r="D15" s="43">
        <v>93551</v>
      </c>
      <c r="E15" s="39">
        <f>(C15-D15)/D15</f>
        <v>0.12912742782011952</v>
      </c>
      <c r="F15" s="242">
        <v>13791</v>
      </c>
      <c r="G15" s="242"/>
    </row>
    <row r="16" spans="1:7" x14ac:dyDescent="0.35">
      <c r="B16" s="25" t="s">
        <v>154</v>
      </c>
      <c r="C16" s="44">
        <v>6778</v>
      </c>
      <c r="D16" s="44">
        <v>6325</v>
      </c>
      <c r="E16" s="40">
        <f>(C16-D16)/D16</f>
        <v>7.16205533596838E-2</v>
      </c>
      <c r="F16" s="243">
        <v>-996</v>
      </c>
      <c r="G16" s="243"/>
    </row>
    <row r="17" spans="2:7" x14ac:dyDescent="0.35">
      <c r="B17" s="23" t="s">
        <v>155</v>
      </c>
      <c r="C17" s="43">
        <v>3222</v>
      </c>
      <c r="D17" s="43">
        <v>3375</v>
      </c>
      <c r="E17" s="39">
        <f>(C17-D17)/D17</f>
        <v>-4.5333333333333337E-2</v>
      </c>
      <c r="F17" s="242">
        <v>954</v>
      </c>
      <c r="G17" s="242"/>
    </row>
    <row r="18" spans="2:7" x14ac:dyDescent="0.35">
      <c r="B18" s="25" t="s">
        <v>156</v>
      </c>
      <c r="C18" s="44">
        <v>1135</v>
      </c>
      <c r="D18" s="44">
        <v>1120</v>
      </c>
      <c r="E18" s="40">
        <f>(C18-D18)/D18</f>
        <v>1.3392857142857142E-2</v>
      </c>
      <c r="F18" s="243">
        <v>709</v>
      </c>
      <c r="G18" s="243"/>
    </row>
    <row r="19" spans="2:7" x14ac:dyDescent="0.35">
      <c r="B19" s="30" t="s">
        <v>157</v>
      </c>
      <c r="C19" s="45">
        <f>SUM(C15:C18)</f>
        <v>116766</v>
      </c>
      <c r="D19" s="45">
        <f>SUM(D15:D18)</f>
        <v>104371</v>
      </c>
      <c r="E19" s="42">
        <f>(C19-D19)/D19</f>
        <v>0.1187590422626975</v>
      </c>
      <c r="F19" s="241">
        <f>SUM(F15:F18)</f>
        <v>14458</v>
      </c>
      <c r="G19" s="241"/>
    </row>
    <row r="20" spans="2:7" ht="22.4" customHeight="1" x14ac:dyDescent="0.35">
      <c r="B20" s="231"/>
      <c r="C20" s="231"/>
      <c r="D20" s="231"/>
      <c r="E20" s="231"/>
      <c r="F20" s="231"/>
      <c r="G20" s="231"/>
    </row>
    <row r="22" spans="2:7" ht="21.75" customHeight="1" x14ac:dyDescent="0.35">
      <c r="B22" s="223" t="s">
        <v>158</v>
      </c>
      <c r="C22" s="223"/>
      <c r="D22" s="223"/>
      <c r="E22" s="223"/>
      <c r="F22" s="223"/>
      <c r="G22" s="223"/>
    </row>
    <row r="23" spans="2:7" ht="30" customHeight="1" x14ac:dyDescent="0.35">
      <c r="B23" s="2" t="s">
        <v>138</v>
      </c>
      <c r="C23" s="2" t="s">
        <v>159</v>
      </c>
      <c r="D23" s="2" t="s">
        <v>160</v>
      </c>
      <c r="E23" s="2" t="s">
        <v>161</v>
      </c>
      <c r="F23" s="236" t="s">
        <v>162</v>
      </c>
      <c r="G23" s="236"/>
    </row>
    <row r="24" spans="2:7" ht="24" customHeight="1" x14ac:dyDescent="0.35">
      <c r="B24" s="46" t="s">
        <v>163</v>
      </c>
      <c r="C24" s="47" t="s">
        <v>164</v>
      </c>
      <c r="D24" s="48">
        <v>3.5000000000000003E-2</v>
      </c>
      <c r="E24" s="49" t="s">
        <v>165</v>
      </c>
      <c r="F24" s="234" t="s">
        <v>166</v>
      </c>
      <c r="G24" s="234"/>
    </row>
    <row r="25" spans="2:7" ht="24" customHeight="1" x14ac:dyDescent="0.35">
      <c r="B25" s="50" t="s">
        <v>167</v>
      </c>
      <c r="C25" s="51" t="s">
        <v>164</v>
      </c>
      <c r="D25" s="33">
        <v>-4.3999999999999997E-2</v>
      </c>
      <c r="E25" s="52" t="s">
        <v>165</v>
      </c>
      <c r="F25" s="233" t="s">
        <v>168</v>
      </c>
      <c r="G25" s="233"/>
    </row>
    <row r="26" spans="2:7" ht="24" customHeight="1" x14ac:dyDescent="0.35">
      <c r="B26" s="46" t="s">
        <v>169</v>
      </c>
      <c r="C26" s="47" t="s">
        <v>164</v>
      </c>
      <c r="D26" s="48">
        <v>0.161</v>
      </c>
      <c r="E26" s="49" t="s">
        <v>170</v>
      </c>
      <c r="F26" s="234" t="s">
        <v>171</v>
      </c>
      <c r="G26" s="234"/>
    </row>
    <row r="27" spans="2:7" ht="24" customHeight="1" x14ac:dyDescent="0.35">
      <c r="B27" s="50" t="s">
        <v>172</v>
      </c>
      <c r="C27" s="53" t="s">
        <v>173</v>
      </c>
      <c r="D27" s="33">
        <v>0.129</v>
      </c>
      <c r="E27" s="52" t="s">
        <v>165</v>
      </c>
      <c r="F27" s="233" t="s">
        <v>174</v>
      </c>
      <c r="G27" s="233"/>
    </row>
    <row r="28" spans="2:7" ht="24" customHeight="1" x14ac:dyDescent="0.35">
      <c r="B28" s="46" t="s">
        <v>154</v>
      </c>
      <c r="C28" s="54" t="s">
        <v>173</v>
      </c>
      <c r="D28" s="48">
        <v>7.1999999999999995E-2</v>
      </c>
      <c r="E28" s="49" t="s">
        <v>165</v>
      </c>
      <c r="F28" s="234" t="s">
        <v>175</v>
      </c>
      <c r="G28" s="234"/>
    </row>
    <row r="29" spans="2:7" ht="24" customHeight="1" x14ac:dyDescent="0.35">
      <c r="B29" s="50" t="s">
        <v>155</v>
      </c>
      <c r="C29" s="53" t="s">
        <v>173</v>
      </c>
      <c r="D29" s="33">
        <v>-4.4999999999999998E-2</v>
      </c>
      <c r="E29" s="52" t="s">
        <v>176</v>
      </c>
      <c r="F29" s="233" t="s">
        <v>177</v>
      </c>
      <c r="G29" s="233"/>
    </row>
    <row r="30" spans="2:7" ht="22.4" customHeight="1" x14ac:dyDescent="0.35">
      <c r="B30" s="231"/>
      <c r="C30" s="231"/>
      <c r="D30" s="231"/>
      <c r="E30" s="231"/>
      <c r="F30" s="231"/>
      <c r="G30" s="231"/>
    </row>
    <row r="31" spans="2:7" ht="21.75" customHeight="1" x14ac:dyDescent="0.35"/>
    <row r="32" spans="2:7" ht="32.75" customHeight="1" x14ac:dyDescent="0.35"/>
  </sheetData>
  <mergeCells count="21">
    <mergeCell ref="B1:G1"/>
    <mergeCell ref="B2:G2"/>
    <mergeCell ref="B4:G4"/>
    <mergeCell ref="B11:G11"/>
    <mergeCell ref="B13:G13"/>
    <mergeCell ref="F14:G14"/>
    <mergeCell ref="F15:G15"/>
    <mergeCell ref="F16:G16"/>
    <mergeCell ref="F17:G17"/>
    <mergeCell ref="F18:G18"/>
    <mergeCell ref="F19:G19"/>
    <mergeCell ref="B20:G20"/>
    <mergeCell ref="B22:G22"/>
    <mergeCell ref="F23:G23"/>
    <mergeCell ref="F24:G24"/>
    <mergeCell ref="B30:G30"/>
    <mergeCell ref="F25:G25"/>
    <mergeCell ref="F26:G26"/>
    <mergeCell ref="F27:G27"/>
    <mergeCell ref="F28:G28"/>
    <mergeCell ref="F29:G29"/>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0"/>
  <sheetViews>
    <sheetView showGridLines="0" zoomScaleNormal="100" workbookViewId="0">
      <selection activeCell="A2" sqref="A2"/>
    </sheetView>
  </sheetViews>
  <sheetFormatPr defaultColWidth="8.6328125" defaultRowHeight="14.5" x14ac:dyDescent="0.35"/>
  <cols>
    <col min="1" max="1" width="23.26953125" customWidth="1"/>
    <col min="2" max="2" width="24" customWidth="1"/>
    <col min="3" max="4" width="13" customWidth="1"/>
    <col min="5" max="5" width="26" customWidth="1"/>
    <col min="6" max="6" width="40" customWidth="1"/>
  </cols>
  <sheetData>
    <row r="1" spans="1:6" ht="83" customHeight="1" x14ac:dyDescent="0.35">
      <c r="A1" s="132" t="s">
        <v>178</v>
      </c>
      <c r="B1" s="235"/>
      <c r="C1" s="235"/>
      <c r="D1" s="235"/>
      <c r="E1" s="235"/>
      <c r="F1" s="235"/>
    </row>
    <row r="2" spans="1:6" ht="66.5" customHeight="1" x14ac:dyDescent="0.35">
      <c r="A2" s="131" t="s">
        <v>179</v>
      </c>
      <c r="B2" s="235"/>
      <c r="C2" s="235"/>
      <c r="D2" s="235"/>
      <c r="E2" s="235"/>
      <c r="F2" s="235"/>
    </row>
    <row r="4" spans="1:6" ht="21.75" customHeight="1" x14ac:dyDescent="0.35">
      <c r="B4" s="238" t="s">
        <v>180</v>
      </c>
      <c r="C4" s="238"/>
      <c r="D4" s="238"/>
      <c r="E4" s="238"/>
      <c r="F4" s="238"/>
    </row>
    <row r="5" spans="1:6" ht="30" customHeight="1" x14ac:dyDescent="0.35">
      <c r="B5" s="2" t="s">
        <v>181</v>
      </c>
      <c r="C5" s="2" t="s">
        <v>182</v>
      </c>
      <c r="D5" s="2" t="s">
        <v>183</v>
      </c>
      <c r="E5" s="2" t="s">
        <v>184</v>
      </c>
      <c r="F5" s="2" t="s">
        <v>185</v>
      </c>
    </row>
    <row r="6" spans="1:6" ht="63.75" customHeight="1" x14ac:dyDescent="0.35">
      <c r="B6" s="46" t="s">
        <v>186</v>
      </c>
      <c r="C6" s="55" t="s">
        <v>187</v>
      </c>
      <c r="D6" s="55" t="s">
        <v>188</v>
      </c>
      <c r="E6" s="56" t="s">
        <v>189</v>
      </c>
      <c r="F6" s="56" t="s">
        <v>190</v>
      </c>
    </row>
    <row r="7" spans="1:6" ht="63.75" customHeight="1" x14ac:dyDescent="0.35">
      <c r="B7" s="50" t="s">
        <v>191</v>
      </c>
      <c r="C7" s="57" t="s">
        <v>192</v>
      </c>
      <c r="D7" s="57" t="s">
        <v>193</v>
      </c>
      <c r="E7" s="58" t="s">
        <v>194</v>
      </c>
      <c r="F7" s="58" t="s">
        <v>195</v>
      </c>
    </row>
    <row r="9" spans="1:6" ht="21.75" customHeight="1" x14ac:dyDescent="0.35">
      <c r="B9" s="238" t="s">
        <v>196</v>
      </c>
      <c r="C9" s="238"/>
      <c r="D9" s="238"/>
      <c r="E9" s="238"/>
      <c r="F9" s="238"/>
    </row>
    <row r="10" spans="1:6" ht="42" customHeight="1" x14ac:dyDescent="0.35">
      <c r="B10" s="59" t="s">
        <v>70</v>
      </c>
      <c r="C10" s="221" t="s">
        <v>197</v>
      </c>
      <c r="D10" s="221"/>
      <c r="E10" s="221"/>
      <c r="F10" s="221"/>
    </row>
    <row r="11" spans="1:6" ht="42" customHeight="1" x14ac:dyDescent="0.35">
      <c r="B11" s="59" t="s">
        <v>70</v>
      </c>
      <c r="C11" s="221" t="s">
        <v>198</v>
      </c>
      <c r="D11" s="221"/>
      <c r="E11" s="221"/>
      <c r="F11" s="221"/>
    </row>
    <row r="13" spans="1:6" ht="21.75" customHeight="1" x14ac:dyDescent="0.35">
      <c r="B13" s="239" t="s">
        <v>199</v>
      </c>
      <c r="C13" s="239"/>
      <c r="D13" s="239"/>
      <c r="E13" s="239"/>
      <c r="F13" s="239"/>
    </row>
    <row r="14" spans="1:6" ht="30" customHeight="1" x14ac:dyDescent="0.35">
      <c r="B14" s="2" t="s">
        <v>181</v>
      </c>
      <c r="C14" s="2" t="s">
        <v>182</v>
      </c>
      <c r="D14" s="2" t="s">
        <v>183</v>
      </c>
      <c r="E14" s="2" t="s">
        <v>184</v>
      </c>
      <c r="F14" s="2" t="s">
        <v>185</v>
      </c>
    </row>
    <row r="15" spans="1:6" ht="63.75" customHeight="1" x14ac:dyDescent="0.35">
      <c r="B15" s="46" t="s">
        <v>200</v>
      </c>
      <c r="C15" s="55" t="s">
        <v>201</v>
      </c>
      <c r="D15" s="55" t="s">
        <v>202</v>
      </c>
      <c r="E15" s="56" t="s">
        <v>203</v>
      </c>
      <c r="F15" s="56" t="s">
        <v>204</v>
      </c>
    </row>
    <row r="16" spans="1:6" ht="63.75" customHeight="1" x14ac:dyDescent="0.35">
      <c r="B16" s="50" t="s">
        <v>205</v>
      </c>
      <c r="C16" s="57" t="s">
        <v>206</v>
      </c>
      <c r="D16" s="57" t="s">
        <v>207</v>
      </c>
      <c r="E16" s="58" t="s">
        <v>208</v>
      </c>
      <c r="F16" s="58" t="s">
        <v>209</v>
      </c>
    </row>
    <row r="18" spans="2:6" ht="21.75" customHeight="1" x14ac:dyDescent="0.35">
      <c r="B18" s="239" t="s">
        <v>210</v>
      </c>
      <c r="C18" s="239"/>
      <c r="D18" s="239"/>
      <c r="E18" s="239"/>
      <c r="F18" s="239"/>
    </row>
    <row r="19" spans="2:6" ht="42" customHeight="1" x14ac:dyDescent="0.35">
      <c r="B19" s="60" t="s">
        <v>70</v>
      </c>
      <c r="C19" s="221" t="s">
        <v>211</v>
      </c>
      <c r="D19" s="221"/>
      <c r="E19" s="221"/>
      <c r="F19" s="221"/>
    </row>
    <row r="20" spans="2:6" ht="42" customHeight="1" x14ac:dyDescent="0.35">
      <c r="B20" s="60" t="s">
        <v>70</v>
      </c>
      <c r="C20" s="221" t="s">
        <v>212</v>
      </c>
      <c r="D20" s="221"/>
      <c r="E20" s="221"/>
      <c r="F20" s="221"/>
    </row>
  </sheetData>
  <mergeCells count="10">
    <mergeCell ref="B1:F1"/>
    <mergeCell ref="B2:F2"/>
    <mergeCell ref="B4:F4"/>
    <mergeCell ref="B9:F9"/>
    <mergeCell ref="C10:F10"/>
    <mergeCell ref="C11:F11"/>
    <mergeCell ref="B13:F13"/>
    <mergeCell ref="B18:F18"/>
    <mergeCell ref="C19:F19"/>
    <mergeCell ref="C20:F20"/>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41"/>
  <sheetViews>
    <sheetView showGridLines="0" zoomScaleNormal="100" workbookViewId="0">
      <selection activeCell="A2" sqref="A2"/>
    </sheetView>
  </sheetViews>
  <sheetFormatPr defaultColWidth="8.6328125" defaultRowHeight="14.5" x14ac:dyDescent="0.35"/>
  <cols>
    <col min="1" max="1" width="25.453125" customWidth="1"/>
    <col min="2" max="2" width="34" customWidth="1"/>
    <col min="3" max="3" width="18" customWidth="1"/>
    <col min="4" max="4" width="14" customWidth="1"/>
    <col min="5" max="5" width="30" customWidth="1"/>
    <col min="6" max="6" width="4" customWidth="1"/>
    <col min="7" max="7" width="2" customWidth="1"/>
  </cols>
  <sheetData>
    <row r="1" spans="1:5" ht="46" customHeight="1" x14ac:dyDescent="0.35">
      <c r="A1" s="132" t="s">
        <v>33</v>
      </c>
      <c r="B1" s="235"/>
      <c r="C1" s="235"/>
      <c r="D1" s="235"/>
      <c r="E1" s="235"/>
    </row>
    <row r="2" spans="1:5" ht="53.5" customHeight="1" x14ac:dyDescent="0.35">
      <c r="A2" s="131" t="s">
        <v>213</v>
      </c>
      <c r="B2" s="235"/>
      <c r="C2" s="235"/>
      <c r="D2" s="235"/>
      <c r="E2" s="235"/>
    </row>
    <row r="4" spans="1:5" ht="21.75" customHeight="1" x14ac:dyDescent="0.35">
      <c r="B4" s="238" t="s">
        <v>214</v>
      </c>
      <c r="C4" s="238"/>
      <c r="D4" s="238"/>
      <c r="E4" s="238"/>
    </row>
    <row r="5" spans="1:5" ht="30" customHeight="1" x14ac:dyDescent="0.35">
      <c r="B5" s="2" t="s">
        <v>215</v>
      </c>
      <c r="C5" s="2" t="s">
        <v>216</v>
      </c>
      <c r="D5" s="2" t="s">
        <v>217</v>
      </c>
      <c r="E5" s="2" t="s">
        <v>218</v>
      </c>
    </row>
    <row r="6" spans="1:5" ht="26" x14ac:dyDescent="0.35">
      <c r="B6" s="46" t="s">
        <v>219</v>
      </c>
      <c r="C6" s="61">
        <v>930959900</v>
      </c>
      <c r="D6" s="62">
        <v>0.31330000000000002</v>
      </c>
      <c r="E6" s="63" t="s">
        <v>220</v>
      </c>
    </row>
    <row r="7" spans="1:5" x14ac:dyDescent="0.35">
      <c r="B7" s="50" t="s">
        <v>221</v>
      </c>
      <c r="C7" s="64">
        <v>657306600</v>
      </c>
      <c r="D7" s="65">
        <v>0.22120000000000001</v>
      </c>
      <c r="E7" s="66" t="s">
        <v>220</v>
      </c>
    </row>
    <row r="8" spans="1:5" x14ac:dyDescent="0.35">
      <c r="B8" s="46" t="s">
        <v>222</v>
      </c>
      <c r="C8" s="61">
        <v>213152543</v>
      </c>
      <c r="D8" s="62">
        <v>7.17E-2</v>
      </c>
      <c r="E8" s="63" t="s">
        <v>223</v>
      </c>
    </row>
    <row r="9" spans="1:5" x14ac:dyDescent="0.35">
      <c r="B9" s="50" t="s">
        <v>224</v>
      </c>
      <c r="C9" s="64">
        <v>136527334</v>
      </c>
      <c r="D9" s="65">
        <v>4.5900000000000003E-2</v>
      </c>
      <c r="E9" s="66" t="s">
        <v>223</v>
      </c>
    </row>
    <row r="10" spans="1:5" x14ac:dyDescent="0.35">
      <c r="B10" s="46" t="s">
        <v>225</v>
      </c>
      <c r="C10" s="61">
        <v>100500547</v>
      </c>
      <c r="D10" s="62">
        <v>3.3799999999999997E-2</v>
      </c>
      <c r="E10" s="63" t="s">
        <v>226</v>
      </c>
    </row>
    <row r="11" spans="1:5" x14ac:dyDescent="0.35">
      <c r="B11" s="50" t="s">
        <v>227</v>
      </c>
      <c r="C11" s="64">
        <v>81240167</v>
      </c>
      <c r="D11" s="65">
        <v>2.7300000000000001E-2</v>
      </c>
      <c r="E11" s="66" t="s">
        <v>228</v>
      </c>
    </row>
    <row r="12" spans="1:5" x14ac:dyDescent="0.35">
      <c r="B12" s="46" t="s">
        <v>229</v>
      </c>
      <c r="C12" s="61">
        <v>72765835</v>
      </c>
      <c r="D12" s="62">
        <v>2.4500000000000001E-2</v>
      </c>
      <c r="E12" s="63" t="s">
        <v>223</v>
      </c>
    </row>
    <row r="13" spans="1:5" x14ac:dyDescent="0.35">
      <c r="B13" s="50" t="s">
        <v>230</v>
      </c>
      <c r="C13" s="64">
        <v>42169250</v>
      </c>
      <c r="D13" s="65">
        <v>1.4200000000000001E-2</v>
      </c>
      <c r="E13" s="66" t="s">
        <v>228</v>
      </c>
    </row>
    <row r="14" spans="1:5" x14ac:dyDescent="0.35">
      <c r="B14" s="46" t="s">
        <v>231</v>
      </c>
      <c r="C14" s="61">
        <v>106296706</v>
      </c>
      <c r="D14" s="62">
        <v>3.5799999999999998E-2</v>
      </c>
      <c r="E14" s="63" t="s">
        <v>232</v>
      </c>
    </row>
    <row r="15" spans="1:5" x14ac:dyDescent="0.35">
      <c r="B15" s="35" t="s">
        <v>233</v>
      </c>
      <c r="C15" s="67">
        <v>1590155897</v>
      </c>
      <c r="D15" s="68">
        <v>0.53520000000000001</v>
      </c>
      <c r="E15" s="35" t="s">
        <v>234</v>
      </c>
    </row>
    <row r="16" spans="1:5" x14ac:dyDescent="0.35">
      <c r="B16" s="69" t="s">
        <v>235</v>
      </c>
      <c r="C16" s="67">
        <v>1381076985</v>
      </c>
      <c r="D16" s="68">
        <v>0.46479999999999999</v>
      </c>
      <c r="E16" s="69" t="s">
        <v>11</v>
      </c>
    </row>
    <row r="17" spans="2:5" ht="22.4" customHeight="1" x14ac:dyDescent="0.35">
      <c r="B17" s="231"/>
      <c r="C17" s="231"/>
      <c r="D17" s="231"/>
      <c r="E17" s="231"/>
    </row>
    <row r="19" spans="2:5" ht="21.75" customHeight="1" x14ac:dyDescent="0.35">
      <c r="B19" s="239" t="s">
        <v>236</v>
      </c>
      <c r="C19" s="239"/>
      <c r="D19" s="239"/>
      <c r="E19" s="239"/>
    </row>
    <row r="20" spans="2:5" ht="30" customHeight="1" x14ac:dyDescent="0.35">
      <c r="B20" s="2" t="s">
        <v>215</v>
      </c>
      <c r="C20" s="2" t="s">
        <v>237</v>
      </c>
      <c r="D20" s="2" t="s">
        <v>238</v>
      </c>
      <c r="E20" s="2" t="s">
        <v>239</v>
      </c>
    </row>
    <row r="21" spans="2:5" x14ac:dyDescent="0.35">
      <c r="B21" s="46" t="s">
        <v>240</v>
      </c>
      <c r="C21" s="61">
        <v>2896753089</v>
      </c>
      <c r="D21" s="62">
        <v>0.43090000000000001</v>
      </c>
      <c r="E21" s="1" t="s">
        <v>241</v>
      </c>
    </row>
    <row r="22" spans="2:5" x14ac:dyDescent="0.35">
      <c r="B22" s="50" t="s">
        <v>242</v>
      </c>
      <c r="C22" s="64">
        <v>1930516334</v>
      </c>
      <c r="D22" s="65">
        <v>0.28720000000000001</v>
      </c>
      <c r="E22" s="13" t="s">
        <v>243</v>
      </c>
    </row>
    <row r="23" spans="2:5" x14ac:dyDescent="0.35">
      <c r="B23" s="46" t="s">
        <v>244</v>
      </c>
      <c r="C23" s="61">
        <v>643076181</v>
      </c>
      <c r="D23" s="62">
        <v>9.5699999999999993E-2</v>
      </c>
      <c r="E23" s="1" t="s">
        <v>245</v>
      </c>
    </row>
    <row r="24" spans="2:5" x14ac:dyDescent="0.35">
      <c r="B24" s="50" t="s">
        <v>246</v>
      </c>
      <c r="C24" s="64">
        <v>1252510907</v>
      </c>
      <c r="D24" s="65">
        <v>0.18629999999999999</v>
      </c>
      <c r="E24" s="13" t="s">
        <v>247</v>
      </c>
    </row>
    <row r="25" spans="2:5" x14ac:dyDescent="0.35">
      <c r="B25" s="69" t="s">
        <v>248</v>
      </c>
      <c r="C25" s="67">
        <f>SUM(C21:C24)</f>
        <v>6722856511</v>
      </c>
      <c r="D25" s="68">
        <v>1</v>
      </c>
      <c r="E25" s="70" t="s">
        <v>11</v>
      </c>
    </row>
    <row r="26" spans="2:5" ht="22.4" customHeight="1" x14ac:dyDescent="0.35">
      <c r="B26" s="231"/>
      <c r="C26" s="231"/>
      <c r="D26" s="231"/>
      <c r="E26" s="231"/>
    </row>
    <row r="28" spans="2:5" ht="21.75" customHeight="1" x14ac:dyDescent="0.35">
      <c r="B28" s="223" t="s">
        <v>249</v>
      </c>
      <c r="C28" s="223"/>
      <c r="D28" s="223"/>
      <c r="E28" s="223"/>
    </row>
    <row r="29" spans="2:5" ht="30" customHeight="1" x14ac:dyDescent="0.35">
      <c r="B29" s="2" t="s">
        <v>250</v>
      </c>
      <c r="C29" s="2" t="s">
        <v>43</v>
      </c>
      <c r="D29" s="236" t="s">
        <v>79</v>
      </c>
      <c r="E29" s="236"/>
    </row>
    <row r="30" spans="2:5" ht="21.75" customHeight="1" x14ac:dyDescent="0.35">
      <c r="B30" s="69" t="s">
        <v>251</v>
      </c>
      <c r="C30" s="71" t="s">
        <v>252</v>
      </c>
      <c r="D30" s="245" t="s">
        <v>253</v>
      </c>
      <c r="E30" s="245"/>
    </row>
    <row r="31" spans="2:5" ht="21.75" customHeight="1" x14ac:dyDescent="0.35">
      <c r="B31" s="72" t="s">
        <v>254</v>
      </c>
      <c r="C31" s="73" t="s">
        <v>255</v>
      </c>
      <c r="D31" s="244" t="s">
        <v>256</v>
      </c>
      <c r="E31" s="244"/>
    </row>
    <row r="32" spans="2:5" ht="21.75" customHeight="1" x14ac:dyDescent="0.35">
      <c r="B32" s="69" t="s">
        <v>257</v>
      </c>
      <c r="C32" s="71" t="s">
        <v>258</v>
      </c>
      <c r="D32" s="245" t="s">
        <v>259</v>
      </c>
      <c r="E32" s="245"/>
    </row>
    <row r="33" spans="2:5" ht="21.75" customHeight="1" x14ac:dyDescent="0.35">
      <c r="B33" s="72" t="s">
        <v>260</v>
      </c>
      <c r="C33" s="73" t="s">
        <v>261</v>
      </c>
      <c r="D33" s="244" t="s">
        <v>262</v>
      </c>
      <c r="E33" s="244"/>
    </row>
    <row r="34" spans="2:5" ht="21.75" customHeight="1" x14ac:dyDescent="0.35">
      <c r="B34" s="69" t="s">
        <v>263</v>
      </c>
      <c r="C34" s="71" t="s">
        <v>264</v>
      </c>
      <c r="D34" s="245" t="s">
        <v>265</v>
      </c>
      <c r="E34" s="245"/>
    </row>
    <row r="35" spans="2:5" ht="21.75" customHeight="1" x14ac:dyDescent="0.35">
      <c r="B35" s="72" t="s">
        <v>266</v>
      </c>
      <c r="C35" s="73" t="s">
        <v>28</v>
      </c>
      <c r="D35" s="244" t="s">
        <v>34</v>
      </c>
      <c r="E35" s="244"/>
    </row>
    <row r="36" spans="2:5" ht="21.75" customHeight="1" x14ac:dyDescent="0.35">
      <c r="B36" s="69" t="s">
        <v>267</v>
      </c>
      <c r="C36" s="71" t="s">
        <v>268</v>
      </c>
      <c r="D36" s="245" t="s">
        <v>269</v>
      </c>
      <c r="E36" s="245"/>
    </row>
    <row r="37" spans="2:5" ht="21.75" customHeight="1" x14ac:dyDescent="0.35">
      <c r="B37" s="72" t="s">
        <v>270</v>
      </c>
      <c r="C37" s="73" t="s">
        <v>271</v>
      </c>
      <c r="D37" s="244" t="s">
        <v>272</v>
      </c>
      <c r="E37" s="244"/>
    </row>
    <row r="38" spans="2:5" ht="21.75" customHeight="1" x14ac:dyDescent="0.35">
      <c r="B38" s="69" t="s">
        <v>273</v>
      </c>
      <c r="C38" s="71" t="s">
        <v>274</v>
      </c>
      <c r="D38" s="245" t="s">
        <v>275</v>
      </c>
      <c r="E38" s="245"/>
    </row>
    <row r="39" spans="2:5" ht="21.75" customHeight="1" x14ac:dyDescent="0.35">
      <c r="B39" s="72" t="s">
        <v>276</v>
      </c>
      <c r="C39" s="73" t="s">
        <v>277</v>
      </c>
      <c r="D39" s="244" t="s">
        <v>278</v>
      </c>
      <c r="E39" s="244"/>
    </row>
    <row r="40" spans="2:5" ht="21.75" customHeight="1" x14ac:dyDescent="0.35">
      <c r="B40" s="69" t="s">
        <v>279</v>
      </c>
      <c r="C40" s="71" t="s">
        <v>280</v>
      </c>
      <c r="D40" s="245" t="s">
        <v>281</v>
      </c>
      <c r="E40" s="245"/>
    </row>
    <row r="41" spans="2:5" ht="22.4" customHeight="1" x14ac:dyDescent="0.35">
      <c r="B41" s="231"/>
      <c r="C41" s="231"/>
      <c r="D41" s="231"/>
      <c r="E41" s="231"/>
    </row>
  </sheetData>
  <mergeCells count="20">
    <mergeCell ref="B1:E1"/>
    <mergeCell ref="B2:E2"/>
    <mergeCell ref="B4:E4"/>
    <mergeCell ref="B17:E17"/>
    <mergeCell ref="B19:E19"/>
    <mergeCell ref="B26:E26"/>
    <mergeCell ref="B28:E28"/>
    <mergeCell ref="D29:E29"/>
    <mergeCell ref="D30:E30"/>
    <mergeCell ref="D31:E31"/>
    <mergeCell ref="D32:E32"/>
    <mergeCell ref="D33:E33"/>
    <mergeCell ref="D34:E34"/>
    <mergeCell ref="D35:E35"/>
    <mergeCell ref="D36:E36"/>
    <mergeCell ref="D37:E37"/>
    <mergeCell ref="D38:E38"/>
    <mergeCell ref="D39:E39"/>
    <mergeCell ref="D40:E40"/>
    <mergeCell ref="B41:E41"/>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89"/>
  <sheetViews>
    <sheetView showGridLines="0" zoomScaleNormal="100" workbookViewId="0">
      <selection activeCell="A2" sqref="A2"/>
    </sheetView>
  </sheetViews>
  <sheetFormatPr defaultColWidth="8.6328125" defaultRowHeight="14.5" x14ac:dyDescent="0.35"/>
  <cols>
    <col min="1" max="1" width="23.1796875" customWidth="1"/>
    <col min="2" max="4" width="14" customWidth="1"/>
    <col min="5" max="5" width="2" customWidth="1"/>
    <col min="6" max="8" width="14" customWidth="1"/>
    <col min="9" max="9" width="2" customWidth="1"/>
  </cols>
  <sheetData>
    <row r="1" spans="1:8" ht="60.5" customHeight="1" x14ac:dyDescent="0.35">
      <c r="A1" s="132" t="s">
        <v>35</v>
      </c>
      <c r="B1" s="235"/>
      <c r="C1" s="235"/>
      <c r="D1" s="235"/>
      <c r="E1" s="235"/>
      <c r="F1" s="235"/>
      <c r="G1" s="235"/>
      <c r="H1" s="235"/>
    </row>
    <row r="2" spans="1:8" ht="95" customHeight="1" x14ac:dyDescent="0.35">
      <c r="A2" s="131" t="s">
        <v>282</v>
      </c>
      <c r="B2" s="235"/>
      <c r="C2" s="235"/>
      <c r="D2" s="235"/>
      <c r="E2" s="235"/>
      <c r="F2" s="235"/>
      <c r="G2" s="235"/>
      <c r="H2" s="235"/>
    </row>
    <row r="4" spans="1:8" ht="21.75" customHeight="1" x14ac:dyDescent="0.35">
      <c r="B4" s="223" t="s">
        <v>283</v>
      </c>
      <c r="C4" s="223"/>
      <c r="D4" s="223"/>
      <c r="E4" s="223"/>
      <c r="F4" s="223"/>
      <c r="G4" s="223"/>
      <c r="H4" s="223"/>
    </row>
    <row r="5" spans="1:8" ht="30" customHeight="1" x14ac:dyDescent="0.35">
      <c r="B5" s="2" t="s">
        <v>284</v>
      </c>
      <c r="C5" s="2" t="s">
        <v>285</v>
      </c>
      <c r="D5" s="2" t="s">
        <v>286</v>
      </c>
      <c r="F5" s="2" t="s">
        <v>287</v>
      </c>
      <c r="G5" s="2" t="s">
        <v>288</v>
      </c>
      <c r="H5" s="2" t="s">
        <v>286</v>
      </c>
    </row>
    <row r="6" spans="1:8" x14ac:dyDescent="0.35">
      <c r="B6" s="74" t="s">
        <v>289</v>
      </c>
      <c r="C6" s="75">
        <v>6.9</v>
      </c>
      <c r="D6" s="76">
        <v>2.07E-2</v>
      </c>
      <c r="F6" s="74" t="s">
        <v>290</v>
      </c>
      <c r="G6" s="77">
        <v>10.42</v>
      </c>
      <c r="H6" s="76">
        <v>-1.3299999999999999E-2</v>
      </c>
    </row>
    <row r="7" spans="1:8" x14ac:dyDescent="0.35">
      <c r="B7" s="78" t="s">
        <v>291</v>
      </c>
      <c r="C7" s="79">
        <v>7.05</v>
      </c>
      <c r="D7" s="80">
        <f t="shared" ref="D7:D38" si="0">(C7-C6)/C6</f>
        <v>2.1739130434782532E-2</v>
      </c>
      <c r="F7" s="78" t="s">
        <v>292</v>
      </c>
      <c r="G7" s="81">
        <v>10.3</v>
      </c>
      <c r="H7" s="80">
        <f t="shared" ref="H7:H38" si="1">(G7-G6)/G6</f>
        <v>-1.1516314779270559E-2</v>
      </c>
    </row>
    <row r="8" spans="1:8" x14ac:dyDescent="0.35">
      <c r="B8" s="74" t="s">
        <v>293</v>
      </c>
      <c r="C8" s="75">
        <v>7.13</v>
      </c>
      <c r="D8" s="76">
        <f t="shared" si="0"/>
        <v>1.1347517730496465E-2</v>
      </c>
      <c r="F8" s="74" t="s">
        <v>294</v>
      </c>
      <c r="G8" s="77">
        <v>10.06</v>
      </c>
      <c r="H8" s="76">
        <f t="shared" si="1"/>
        <v>-2.3300970873786426E-2</v>
      </c>
    </row>
    <row r="9" spans="1:8" x14ac:dyDescent="0.35">
      <c r="B9" s="78" t="s">
        <v>290</v>
      </c>
      <c r="C9" s="79">
        <v>7.09</v>
      </c>
      <c r="D9" s="80">
        <f t="shared" si="0"/>
        <v>-5.6100981767180976E-3</v>
      </c>
      <c r="F9" s="78" t="s">
        <v>295</v>
      </c>
      <c r="G9" s="81">
        <v>10.76</v>
      </c>
      <c r="H9" s="80">
        <f t="shared" si="1"/>
        <v>6.9582504970178857E-2</v>
      </c>
    </row>
    <row r="10" spans="1:8" x14ac:dyDescent="0.35">
      <c r="B10" s="74" t="s">
        <v>292</v>
      </c>
      <c r="C10" s="75">
        <v>6.94</v>
      </c>
      <c r="D10" s="76">
        <f t="shared" si="0"/>
        <v>-2.1156558533145201E-2</v>
      </c>
      <c r="F10" s="74" t="s">
        <v>296</v>
      </c>
      <c r="G10" s="77">
        <v>10.78</v>
      </c>
      <c r="H10" s="76">
        <f t="shared" si="1"/>
        <v>1.8587360594795144E-3</v>
      </c>
    </row>
    <row r="11" spans="1:8" x14ac:dyDescent="0.35">
      <c r="B11" s="78" t="s">
        <v>294</v>
      </c>
      <c r="C11" s="79">
        <v>6.79</v>
      </c>
      <c r="D11" s="80">
        <f t="shared" si="0"/>
        <v>-2.1613832853025986E-2</v>
      </c>
      <c r="F11" s="78" t="s">
        <v>297</v>
      </c>
      <c r="G11" s="81">
        <v>11.8</v>
      </c>
      <c r="H11" s="80">
        <f t="shared" si="1"/>
        <v>9.4619666048237613E-2</v>
      </c>
    </row>
    <row r="12" spans="1:8" x14ac:dyDescent="0.35">
      <c r="B12" s="74" t="s">
        <v>295</v>
      </c>
      <c r="C12" s="75">
        <v>6.93</v>
      </c>
      <c r="D12" s="76">
        <f t="shared" si="0"/>
        <v>2.0618556701030882E-2</v>
      </c>
      <c r="F12" s="74" t="s">
        <v>298</v>
      </c>
      <c r="G12" s="77">
        <v>11.9</v>
      </c>
      <c r="H12" s="76">
        <f t="shared" si="1"/>
        <v>8.4745762711864094E-3</v>
      </c>
    </row>
    <row r="13" spans="1:8" x14ac:dyDescent="0.35">
      <c r="B13" s="78" t="s">
        <v>296</v>
      </c>
      <c r="C13" s="79">
        <v>7.03</v>
      </c>
      <c r="D13" s="80">
        <f t="shared" si="0"/>
        <v>1.4430014430014508E-2</v>
      </c>
      <c r="F13" s="78" t="s">
        <v>299</v>
      </c>
      <c r="G13" s="81">
        <v>11.9</v>
      </c>
      <c r="H13" s="80">
        <f t="shared" si="1"/>
        <v>0</v>
      </c>
    </row>
    <row r="14" spans="1:8" x14ac:dyDescent="0.35">
      <c r="B14" s="74" t="s">
        <v>297</v>
      </c>
      <c r="C14" s="75">
        <v>7.25</v>
      </c>
      <c r="D14" s="76">
        <f t="shared" si="0"/>
        <v>3.129445234708389E-2</v>
      </c>
      <c r="F14" s="74" t="s">
        <v>300</v>
      </c>
      <c r="G14" s="77">
        <v>11.8</v>
      </c>
      <c r="H14" s="76">
        <f t="shared" si="1"/>
        <v>-8.4033613445377853E-3</v>
      </c>
    </row>
    <row r="15" spans="1:8" x14ac:dyDescent="0.35">
      <c r="B15" s="78" t="s">
        <v>298</v>
      </c>
      <c r="C15" s="79">
        <v>7.44</v>
      </c>
      <c r="D15" s="80">
        <f t="shared" si="0"/>
        <v>2.6206896551724191E-2</v>
      </c>
      <c r="F15" s="78" t="s">
        <v>301</v>
      </c>
      <c r="G15" s="81">
        <v>10.42</v>
      </c>
      <c r="H15" s="80">
        <f t="shared" si="1"/>
        <v>-0.11694915254237294</v>
      </c>
    </row>
    <row r="16" spans="1:8" x14ac:dyDescent="0.35">
      <c r="B16" s="74" t="s">
        <v>299</v>
      </c>
      <c r="C16" s="75">
        <v>7.57</v>
      </c>
      <c r="D16" s="76">
        <f t="shared" si="0"/>
        <v>1.7473118279569877E-2</v>
      </c>
      <c r="F16" s="74" t="s">
        <v>302</v>
      </c>
      <c r="G16" s="77">
        <v>10.82</v>
      </c>
      <c r="H16" s="76">
        <f t="shared" si="1"/>
        <v>3.8387715930902143E-2</v>
      </c>
    </row>
    <row r="17" spans="2:8" x14ac:dyDescent="0.35">
      <c r="B17" s="78" t="s">
        <v>300</v>
      </c>
      <c r="C17" s="79">
        <v>6.82</v>
      </c>
      <c r="D17" s="80">
        <f t="shared" si="0"/>
        <v>-9.9075297225891673E-2</v>
      </c>
      <c r="F17" s="78" t="s">
        <v>303</v>
      </c>
      <c r="G17" s="81">
        <v>10.71</v>
      </c>
      <c r="H17" s="80">
        <f t="shared" si="1"/>
        <v>-1.0166358595194032E-2</v>
      </c>
    </row>
    <row r="18" spans="2:8" x14ac:dyDescent="0.35">
      <c r="B18" s="74" t="s">
        <v>301</v>
      </c>
      <c r="C18" s="75">
        <v>6.53</v>
      </c>
      <c r="D18" s="76">
        <f t="shared" si="0"/>
        <v>-4.2521994134897365E-2</v>
      </c>
      <c r="F18" s="74" t="s">
        <v>304</v>
      </c>
      <c r="G18" s="77">
        <v>10.71</v>
      </c>
      <c r="H18" s="76">
        <f t="shared" si="1"/>
        <v>0</v>
      </c>
    </row>
    <row r="19" spans="2:8" x14ac:dyDescent="0.35">
      <c r="B19" s="78" t="s">
        <v>302</v>
      </c>
      <c r="C19" s="79">
        <v>6.59</v>
      </c>
      <c r="D19" s="80">
        <f t="shared" si="0"/>
        <v>9.1883614088820228E-3</v>
      </c>
      <c r="F19" s="78" t="s">
        <v>305</v>
      </c>
      <c r="G19" s="81">
        <v>10.48</v>
      </c>
      <c r="H19" s="80">
        <f t="shared" si="1"/>
        <v>-2.1475256769374455E-2</v>
      </c>
    </row>
    <row r="20" spans="2:8" x14ac:dyDescent="0.35">
      <c r="B20" s="74" t="s">
        <v>303</v>
      </c>
      <c r="C20" s="75">
        <v>6.63</v>
      </c>
      <c r="D20" s="76">
        <f t="shared" si="0"/>
        <v>6.0698027314112345E-3</v>
      </c>
      <c r="F20" s="74" t="s">
        <v>306</v>
      </c>
      <c r="G20" s="77">
        <v>10.59</v>
      </c>
      <c r="H20" s="76">
        <f t="shared" si="1"/>
        <v>1.0496183206106815E-2</v>
      </c>
    </row>
    <row r="21" spans="2:8" x14ac:dyDescent="0.35">
      <c r="B21" s="78" t="s">
        <v>304</v>
      </c>
      <c r="C21" s="79">
        <v>6.58</v>
      </c>
      <c r="D21" s="80">
        <f t="shared" si="0"/>
        <v>-7.541478129713397E-3</v>
      </c>
      <c r="F21" s="78" t="s">
        <v>307</v>
      </c>
      <c r="G21" s="81">
        <v>10.57</v>
      </c>
      <c r="H21" s="80">
        <f t="shared" si="1"/>
        <v>-1.8885741265344262E-3</v>
      </c>
    </row>
    <row r="22" spans="2:8" x14ac:dyDescent="0.35">
      <c r="B22" s="74" t="s">
        <v>305</v>
      </c>
      <c r="C22" s="75">
        <v>6.57</v>
      </c>
      <c r="D22" s="76">
        <f t="shared" si="0"/>
        <v>-1.5197568389057428E-3</v>
      </c>
      <c r="F22" s="74" t="s">
        <v>308</v>
      </c>
      <c r="G22" s="77">
        <v>10.57</v>
      </c>
      <c r="H22" s="76">
        <f t="shared" si="1"/>
        <v>0</v>
      </c>
    </row>
    <row r="23" spans="2:8" x14ac:dyDescent="0.35">
      <c r="B23" s="78" t="s">
        <v>306</v>
      </c>
      <c r="C23" s="79">
        <v>6.54</v>
      </c>
      <c r="D23" s="80">
        <f t="shared" si="0"/>
        <v>-4.5662100456621384E-3</v>
      </c>
      <c r="F23" s="78" t="s">
        <v>309</v>
      </c>
      <c r="G23" s="81">
        <v>10.59</v>
      </c>
      <c r="H23" s="80">
        <f t="shared" si="1"/>
        <v>1.8921475875117856E-3</v>
      </c>
    </row>
    <row r="24" spans="2:8" x14ac:dyDescent="0.35">
      <c r="B24" s="74" t="s">
        <v>307</v>
      </c>
      <c r="C24" s="75">
        <v>6.55</v>
      </c>
      <c r="D24" s="76">
        <f t="shared" si="0"/>
        <v>1.5290519877675516E-3</v>
      </c>
      <c r="F24" s="74" t="s">
        <v>310</v>
      </c>
      <c r="G24" s="77">
        <v>10.67</v>
      </c>
      <c r="H24" s="76">
        <f t="shared" si="1"/>
        <v>7.5542965061378723E-3</v>
      </c>
    </row>
    <row r="25" spans="2:8" x14ac:dyDescent="0.35">
      <c r="B25" s="78" t="s">
        <v>308</v>
      </c>
      <c r="C25" s="79">
        <v>6.46</v>
      </c>
      <c r="D25" s="80">
        <f t="shared" si="0"/>
        <v>-1.3740458015267154E-2</v>
      </c>
      <c r="F25" s="78" t="s">
        <v>311</v>
      </c>
      <c r="G25" s="81">
        <v>10.64</v>
      </c>
      <c r="H25" s="80">
        <f t="shared" si="1"/>
        <v>-2.8116213683223395E-3</v>
      </c>
    </row>
    <row r="26" spans="2:8" x14ac:dyDescent="0.35">
      <c r="B26" s="74" t="s">
        <v>309</v>
      </c>
      <c r="C26" s="75">
        <v>6.57</v>
      </c>
      <c r="D26" s="76">
        <f t="shared" si="0"/>
        <v>1.7027863777089834E-2</v>
      </c>
      <c r="F26" s="74" t="s">
        <v>312</v>
      </c>
      <c r="G26" s="77">
        <v>11.01</v>
      </c>
      <c r="H26" s="76">
        <f t="shared" si="1"/>
        <v>3.4774436090225486E-2</v>
      </c>
    </row>
    <row r="27" spans="2:8" x14ac:dyDescent="0.35">
      <c r="B27" s="78" t="s">
        <v>310</v>
      </c>
      <c r="C27" s="79">
        <v>6.64</v>
      </c>
      <c r="D27" s="80">
        <f t="shared" si="0"/>
        <v>1.0654490106544809E-2</v>
      </c>
      <c r="F27" s="78" t="s">
        <v>313</v>
      </c>
      <c r="G27" s="81">
        <v>11.07</v>
      </c>
      <c r="H27" s="80">
        <f t="shared" si="1"/>
        <v>5.4495912806539959E-3</v>
      </c>
    </row>
    <row r="28" spans="2:8" x14ac:dyDescent="0.35">
      <c r="B28" s="74" t="s">
        <v>311</v>
      </c>
      <c r="C28" s="75">
        <v>6.54</v>
      </c>
      <c r="D28" s="76">
        <f t="shared" si="0"/>
        <v>-1.506024096385537E-2</v>
      </c>
      <c r="F28" s="74" t="s">
        <v>314</v>
      </c>
      <c r="G28" s="77">
        <v>11.77</v>
      </c>
      <c r="H28" s="76">
        <f t="shared" si="1"/>
        <v>6.323396567299E-2</v>
      </c>
    </row>
    <row r="29" spans="2:8" x14ac:dyDescent="0.35">
      <c r="B29" s="78" t="s">
        <v>312</v>
      </c>
      <c r="C29" s="79">
        <v>6.62</v>
      </c>
      <c r="D29" s="80">
        <f t="shared" si="0"/>
        <v>1.2232415902140683E-2</v>
      </c>
      <c r="F29" s="78" t="s">
        <v>315</v>
      </c>
      <c r="G29" s="81">
        <v>12.16</v>
      </c>
      <c r="H29" s="80">
        <f t="shared" si="1"/>
        <v>3.3135089209855612E-2</v>
      </c>
    </row>
    <row r="30" spans="2:8" x14ac:dyDescent="0.35">
      <c r="B30" s="74" t="s">
        <v>313</v>
      </c>
      <c r="C30" s="75">
        <v>6.63</v>
      </c>
      <c r="D30" s="76">
        <f t="shared" si="0"/>
        <v>1.5105740181268559E-3</v>
      </c>
      <c r="F30" s="74" t="s">
        <v>316</v>
      </c>
      <c r="G30" s="77">
        <v>11.71</v>
      </c>
      <c r="H30" s="76">
        <f t="shared" si="1"/>
        <v>-3.7006578947368363E-2</v>
      </c>
    </row>
    <row r="31" spans="2:8" x14ac:dyDescent="0.35">
      <c r="B31" s="78" t="s">
        <v>314</v>
      </c>
      <c r="C31" s="79">
        <v>6.58</v>
      </c>
      <c r="D31" s="80">
        <f t="shared" si="0"/>
        <v>-7.541478129713397E-3</v>
      </c>
      <c r="F31" s="78" t="s">
        <v>317</v>
      </c>
      <c r="G31" s="81">
        <v>12.06</v>
      </c>
      <c r="H31" s="80">
        <f t="shared" si="1"/>
        <v>2.9888983774551632E-2</v>
      </c>
    </row>
    <row r="32" spans="2:8" x14ac:dyDescent="0.35">
      <c r="B32" s="74" t="s">
        <v>315</v>
      </c>
      <c r="C32" s="75">
        <v>6.49</v>
      </c>
      <c r="D32" s="76">
        <f t="shared" si="0"/>
        <v>-1.3677811550151953E-2</v>
      </c>
      <c r="F32" s="74" t="s">
        <v>318</v>
      </c>
      <c r="G32" s="77">
        <v>12.18</v>
      </c>
      <c r="H32" s="76">
        <f t="shared" si="1"/>
        <v>9.9502487562188411E-3</v>
      </c>
    </row>
    <row r="33" spans="2:8" x14ac:dyDescent="0.35">
      <c r="B33" s="78" t="s">
        <v>316</v>
      </c>
      <c r="C33" s="79">
        <v>6.45</v>
      </c>
      <c r="D33" s="80">
        <f t="shared" si="0"/>
        <v>-6.1633281972265077E-3</v>
      </c>
      <c r="F33" s="78" t="s">
        <v>319</v>
      </c>
      <c r="G33" s="81">
        <v>11.88</v>
      </c>
      <c r="H33" s="80">
        <f t="shared" si="1"/>
        <v>-2.4630541871921097E-2</v>
      </c>
    </row>
    <row r="34" spans="2:8" x14ac:dyDescent="0.35">
      <c r="B34" s="74" t="s">
        <v>317</v>
      </c>
      <c r="C34" s="75">
        <v>6.46</v>
      </c>
      <c r="D34" s="76">
        <f t="shared" si="0"/>
        <v>1.5503875968991916E-3</v>
      </c>
      <c r="F34" s="74" t="s">
        <v>320</v>
      </c>
      <c r="G34" s="77">
        <v>12</v>
      </c>
      <c r="H34" s="76">
        <f t="shared" si="1"/>
        <v>1.0101010101010034E-2</v>
      </c>
    </row>
    <row r="35" spans="2:8" x14ac:dyDescent="0.35">
      <c r="B35" s="78" t="s">
        <v>318</v>
      </c>
      <c r="C35" s="79">
        <v>6.33</v>
      </c>
      <c r="D35" s="80">
        <f t="shared" si="0"/>
        <v>-2.0123839009287908E-2</v>
      </c>
      <c r="F35" s="78" t="s">
        <v>321</v>
      </c>
      <c r="G35" s="81">
        <v>12.82</v>
      </c>
      <c r="H35" s="80">
        <f t="shared" si="1"/>
        <v>6.8333333333333357E-2</v>
      </c>
    </row>
    <row r="36" spans="2:8" x14ac:dyDescent="0.35">
      <c r="B36" s="74" t="s">
        <v>319</v>
      </c>
      <c r="C36" s="75">
        <v>6.33</v>
      </c>
      <c r="D36" s="76">
        <f t="shared" si="0"/>
        <v>0</v>
      </c>
      <c r="F36" s="74" t="s">
        <v>322</v>
      </c>
      <c r="G36" s="77">
        <v>12.63</v>
      </c>
      <c r="H36" s="76">
        <f t="shared" si="1"/>
        <v>-1.4820592823712909E-2</v>
      </c>
    </row>
    <row r="37" spans="2:8" x14ac:dyDescent="0.35">
      <c r="B37" s="78" t="s">
        <v>320</v>
      </c>
      <c r="C37" s="79">
        <v>6.32</v>
      </c>
      <c r="D37" s="80">
        <f t="shared" si="0"/>
        <v>-1.5797788309636315E-3</v>
      </c>
      <c r="F37" s="78" t="s">
        <v>323</v>
      </c>
      <c r="G37" s="81">
        <v>12.56</v>
      </c>
      <c r="H37" s="80">
        <f t="shared" si="1"/>
        <v>-5.5423594615993891E-3</v>
      </c>
    </row>
    <row r="38" spans="2:8" x14ac:dyDescent="0.35">
      <c r="B38" s="74" t="s">
        <v>321</v>
      </c>
      <c r="C38" s="75">
        <v>6.41</v>
      </c>
      <c r="D38" s="76">
        <f t="shared" si="0"/>
        <v>1.4240506329113901E-2</v>
      </c>
      <c r="F38" s="74" t="s">
        <v>324</v>
      </c>
      <c r="G38" s="77">
        <v>12.21</v>
      </c>
      <c r="H38" s="76">
        <f t="shared" si="1"/>
        <v>-2.786624203821653E-2</v>
      </c>
    </row>
    <row r="39" spans="2:8" x14ac:dyDescent="0.35">
      <c r="B39" s="78" t="s">
        <v>322</v>
      </c>
      <c r="C39" s="79">
        <v>6.45</v>
      </c>
      <c r="D39" s="80">
        <f t="shared" ref="D39:D60" si="2">(C39-C38)/C38</f>
        <v>6.2402496099844048E-3</v>
      </c>
      <c r="F39" s="78" t="s">
        <v>325</v>
      </c>
      <c r="G39" s="81">
        <v>12.4</v>
      </c>
      <c r="H39" s="80">
        <f t="shared" ref="H39:H57" si="3">(G39-G38)/G38</f>
        <v>1.556101556101552E-2</v>
      </c>
    </row>
    <row r="40" spans="2:8" x14ac:dyDescent="0.35">
      <c r="B40" s="74" t="s">
        <v>323</v>
      </c>
      <c r="C40" s="75">
        <v>6.43</v>
      </c>
      <c r="D40" s="76">
        <f t="shared" si="2"/>
        <v>-3.1007751937985211E-3</v>
      </c>
      <c r="F40" s="74" t="s">
        <v>326</v>
      </c>
      <c r="G40" s="77">
        <v>12.26</v>
      </c>
      <c r="H40" s="76">
        <f t="shared" si="3"/>
        <v>-1.1290322580645207E-2</v>
      </c>
    </row>
    <row r="41" spans="2:8" x14ac:dyDescent="0.35">
      <c r="B41" s="78" t="s">
        <v>324</v>
      </c>
      <c r="C41" s="79">
        <v>6.35</v>
      </c>
      <c r="D41" s="80">
        <f t="shared" si="2"/>
        <v>-1.2441679626749623E-2</v>
      </c>
      <c r="F41" s="78" t="s">
        <v>327</v>
      </c>
      <c r="G41" s="81">
        <v>12.57</v>
      </c>
      <c r="H41" s="80">
        <f t="shared" si="3"/>
        <v>2.5285481239804283E-2</v>
      </c>
    </row>
    <row r="42" spans="2:8" x14ac:dyDescent="0.35">
      <c r="B42" s="74" t="s">
        <v>325</v>
      </c>
      <c r="C42" s="75">
        <v>6.42</v>
      </c>
      <c r="D42" s="76">
        <f t="shared" si="2"/>
        <v>1.1023622047244139E-2</v>
      </c>
      <c r="F42" s="74" t="s">
        <v>328</v>
      </c>
      <c r="G42" s="77">
        <v>12.85</v>
      </c>
      <c r="H42" s="76">
        <f t="shared" si="3"/>
        <v>2.2275258552108143E-2</v>
      </c>
    </row>
    <row r="43" spans="2:8" x14ac:dyDescent="0.35">
      <c r="B43" s="78" t="s">
        <v>326</v>
      </c>
      <c r="C43" s="79">
        <v>6.35</v>
      </c>
      <c r="D43" s="80">
        <f t="shared" si="2"/>
        <v>-1.0903426791277303E-2</v>
      </c>
      <c r="F43" s="78" t="s">
        <v>329</v>
      </c>
      <c r="G43" s="81">
        <v>12.72</v>
      </c>
      <c r="H43" s="80">
        <f t="shared" si="3"/>
        <v>-1.011673151750965E-2</v>
      </c>
    </row>
    <row r="44" spans="2:8" x14ac:dyDescent="0.35">
      <c r="B44" s="74" t="s">
        <v>327</v>
      </c>
      <c r="C44" s="75">
        <v>6.7</v>
      </c>
      <c r="D44" s="76">
        <f t="shared" si="2"/>
        <v>5.5118110236220562E-2</v>
      </c>
      <c r="F44" s="74" t="s">
        <v>330</v>
      </c>
      <c r="G44" s="77">
        <v>14.06</v>
      </c>
      <c r="H44" s="76">
        <f t="shared" si="3"/>
        <v>0.10534591194968551</v>
      </c>
    </row>
    <row r="45" spans="2:8" x14ac:dyDescent="0.35">
      <c r="B45" s="78" t="s">
        <v>328</v>
      </c>
      <c r="C45" s="79">
        <v>6.96</v>
      </c>
      <c r="D45" s="80">
        <f t="shared" si="2"/>
        <v>3.8805970149253702E-2</v>
      </c>
      <c r="F45" s="78" t="s">
        <v>331</v>
      </c>
      <c r="G45" s="81">
        <v>12.83</v>
      </c>
      <c r="H45" s="80">
        <f t="shared" si="3"/>
        <v>-8.7482219061166461E-2</v>
      </c>
    </row>
    <row r="46" spans="2:8" x14ac:dyDescent="0.35">
      <c r="B46" s="74" t="s">
        <v>329</v>
      </c>
      <c r="C46" s="75">
        <v>6.9</v>
      </c>
      <c r="D46" s="76">
        <f t="shared" si="2"/>
        <v>-8.6206896551723582E-3</v>
      </c>
      <c r="F46" s="74" t="s">
        <v>332</v>
      </c>
      <c r="G46" s="77">
        <v>12.33</v>
      </c>
      <c r="H46" s="76">
        <f t="shared" si="3"/>
        <v>-3.8971161340607949E-2</v>
      </c>
    </row>
    <row r="47" spans="2:8" x14ac:dyDescent="0.35">
      <c r="B47" s="78" t="s">
        <v>330</v>
      </c>
      <c r="C47" s="79">
        <v>7.18</v>
      </c>
      <c r="D47" s="80">
        <f t="shared" si="2"/>
        <v>4.0579710144927443E-2</v>
      </c>
      <c r="F47" s="78" t="s">
        <v>333</v>
      </c>
      <c r="G47" s="81">
        <v>12.4</v>
      </c>
      <c r="H47" s="80">
        <f t="shared" si="3"/>
        <v>5.6772100567721237E-3</v>
      </c>
    </row>
    <row r="48" spans="2:8" x14ac:dyDescent="0.35">
      <c r="B48" s="74" t="s">
        <v>331</v>
      </c>
      <c r="C48" s="75">
        <v>6.65</v>
      </c>
      <c r="D48" s="76">
        <f t="shared" si="2"/>
        <v>-7.3816155988857851E-2</v>
      </c>
      <c r="F48" s="74" t="s">
        <v>334</v>
      </c>
      <c r="G48" s="77">
        <v>12.17</v>
      </c>
      <c r="H48" s="76">
        <f t="shared" si="3"/>
        <v>-1.8548387096774227E-2</v>
      </c>
    </row>
    <row r="49" spans="2:8" x14ac:dyDescent="0.35">
      <c r="B49" s="78" t="s">
        <v>332</v>
      </c>
      <c r="C49" s="79">
        <v>6.54</v>
      </c>
      <c r="D49" s="80">
        <f t="shared" si="2"/>
        <v>-1.6541353383458694E-2</v>
      </c>
      <c r="F49" s="78" t="s">
        <v>335</v>
      </c>
      <c r="G49" s="81">
        <v>11.41</v>
      </c>
      <c r="H49" s="80">
        <f t="shared" si="3"/>
        <v>-6.2448644207066542E-2</v>
      </c>
    </row>
    <row r="50" spans="2:8" x14ac:dyDescent="0.35">
      <c r="B50" s="74" t="s">
        <v>333</v>
      </c>
      <c r="C50" s="75">
        <v>6.6</v>
      </c>
      <c r="D50" s="76">
        <f t="shared" si="2"/>
        <v>9.1743119266054444E-3</v>
      </c>
      <c r="F50" s="74" t="s">
        <v>336</v>
      </c>
      <c r="G50" s="77">
        <v>11.79</v>
      </c>
      <c r="H50" s="76">
        <f t="shared" si="3"/>
        <v>3.3304119193689662E-2</v>
      </c>
    </row>
    <row r="51" spans="2:8" x14ac:dyDescent="0.35">
      <c r="B51" s="78" t="s">
        <v>334</v>
      </c>
      <c r="C51" s="79">
        <v>6.66</v>
      </c>
      <c r="D51" s="80">
        <f t="shared" si="2"/>
        <v>9.0909090909091668E-3</v>
      </c>
      <c r="F51" s="78" t="s">
        <v>337</v>
      </c>
      <c r="G51" s="81">
        <v>11.61</v>
      </c>
      <c r="H51" s="80">
        <f t="shared" si="3"/>
        <v>-1.5267175572519061E-2</v>
      </c>
    </row>
    <row r="52" spans="2:8" x14ac:dyDescent="0.35">
      <c r="B52" s="74" t="s">
        <v>335</v>
      </c>
      <c r="C52" s="75">
        <v>6.65</v>
      </c>
      <c r="D52" s="76">
        <f t="shared" si="2"/>
        <v>-1.5015015015014694E-3</v>
      </c>
      <c r="F52" s="74" t="s">
        <v>338</v>
      </c>
      <c r="G52" s="77">
        <v>11.78</v>
      </c>
      <c r="H52" s="76">
        <f t="shared" si="3"/>
        <v>1.464254952627045E-2</v>
      </c>
    </row>
    <row r="53" spans="2:8" x14ac:dyDescent="0.35">
      <c r="B53" s="78" t="s">
        <v>336</v>
      </c>
      <c r="C53" s="79">
        <v>6.64</v>
      </c>
      <c r="D53" s="80">
        <f t="shared" si="2"/>
        <v>-1.503759398496342E-3</v>
      </c>
      <c r="F53" s="78" t="s">
        <v>339</v>
      </c>
      <c r="G53" s="81">
        <v>11.58</v>
      </c>
      <c r="H53" s="80">
        <f t="shared" si="3"/>
        <v>-1.6977928692699432E-2</v>
      </c>
    </row>
    <row r="54" spans="2:8" x14ac:dyDescent="0.35">
      <c r="B54" s="74" t="s">
        <v>337</v>
      </c>
      <c r="C54" s="75">
        <v>6.55</v>
      </c>
      <c r="D54" s="76">
        <f t="shared" si="2"/>
        <v>-1.3554216867469859E-2</v>
      </c>
      <c r="F54" s="74" t="s">
        <v>340</v>
      </c>
      <c r="G54" s="77">
        <v>12.6</v>
      </c>
      <c r="H54" s="76">
        <f t="shared" si="3"/>
        <v>8.8082901554404111E-2</v>
      </c>
    </row>
    <row r="55" spans="2:8" x14ac:dyDescent="0.35">
      <c r="B55" s="78" t="s">
        <v>338</v>
      </c>
      <c r="C55" s="79">
        <v>6.39</v>
      </c>
      <c r="D55" s="80">
        <f t="shared" si="2"/>
        <v>-2.4427480916030558E-2</v>
      </c>
      <c r="F55" s="78" t="s">
        <v>341</v>
      </c>
      <c r="G55" s="81">
        <v>12.16</v>
      </c>
      <c r="H55" s="80">
        <f t="shared" si="3"/>
        <v>-3.492063492063488E-2</v>
      </c>
    </row>
    <row r="56" spans="2:8" x14ac:dyDescent="0.35">
      <c r="B56" s="74" t="s">
        <v>339</v>
      </c>
      <c r="C56" s="75">
        <v>6.29</v>
      </c>
      <c r="D56" s="76">
        <f t="shared" si="2"/>
        <v>-1.5649452269170524E-2</v>
      </c>
      <c r="F56" s="74" t="s">
        <v>342</v>
      </c>
      <c r="G56" s="77">
        <v>12.6</v>
      </c>
      <c r="H56" s="76">
        <f t="shared" si="3"/>
        <v>3.6184210526315749E-2</v>
      </c>
    </row>
    <row r="57" spans="2:8" x14ac:dyDescent="0.35">
      <c r="B57" s="78" t="s">
        <v>340</v>
      </c>
      <c r="C57" s="79">
        <v>6.31</v>
      </c>
      <c r="D57" s="80">
        <f t="shared" si="2"/>
        <v>3.1796502384737E-3</v>
      </c>
      <c r="F57" s="78" t="s">
        <v>343</v>
      </c>
      <c r="G57" s="81">
        <v>13.3</v>
      </c>
      <c r="H57" s="80">
        <f t="shared" si="3"/>
        <v>5.5555555555555643E-2</v>
      </c>
    </row>
    <row r="58" spans="2:8" x14ac:dyDescent="0.35">
      <c r="B58" s="74" t="s">
        <v>341</v>
      </c>
      <c r="C58" s="75">
        <v>6.42</v>
      </c>
      <c r="D58" s="76">
        <f t="shared" si="2"/>
        <v>1.7432646592710037E-2</v>
      </c>
    </row>
    <row r="59" spans="2:8" x14ac:dyDescent="0.35">
      <c r="B59" s="78" t="s">
        <v>342</v>
      </c>
      <c r="C59" s="79">
        <v>6.59</v>
      </c>
      <c r="D59" s="80">
        <f t="shared" si="2"/>
        <v>2.6479750778816188E-2</v>
      </c>
    </row>
    <row r="60" spans="2:8" x14ac:dyDescent="0.35">
      <c r="B60" s="74" t="s">
        <v>343</v>
      </c>
      <c r="C60" s="75">
        <v>6.78</v>
      </c>
      <c r="D60" s="76">
        <f t="shared" si="2"/>
        <v>2.8831562974203397E-2</v>
      </c>
    </row>
    <row r="61" spans="2:8" ht="22.4" customHeight="1" x14ac:dyDescent="0.35">
      <c r="B61" s="231"/>
      <c r="C61" s="231"/>
      <c r="D61" s="231"/>
      <c r="E61" s="231"/>
      <c r="F61" s="231"/>
      <c r="G61" s="231"/>
      <c r="H61" s="231"/>
    </row>
    <row r="63" spans="2:8" ht="21.75" customHeight="1" x14ac:dyDescent="0.35">
      <c r="B63" s="223" t="s">
        <v>344</v>
      </c>
      <c r="C63" s="223"/>
      <c r="D63" s="223"/>
      <c r="E63" s="223"/>
      <c r="F63" s="223"/>
      <c r="G63" s="223"/>
      <c r="H63" s="223"/>
    </row>
    <row r="64" spans="2:8" ht="30" customHeight="1" x14ac:dyDescent="0.35">
      <c r="B64" s="2" t="s">
        <v>114</v>
      </c>
      <c r="C64" s="2" t="s">
        <v>345</v>
      </c>
      <c r="D64" s="236" t="s">
        <v>346</v>
      </c>
      <c r="E64" s="236"/>
    </row>
    <row r="65" spans="2:8" x14ac:dyDescent="0.35">
      <c r="B65" s="46" t="s">
        <v>347</v>
      </c>
      <c r="C65" s="82">
        <f>C6</f>
        <v>6.9</v>
      </c>
      <c r="D65" s="251">
        <f>G6</f>
        <v>10.42</v>
      </c>
      <c r="E65" s="251"/>
    </row>
    <row r="66" spans="2:8" x14ac:dyDescent="0.35">
      <c r="B66" s="50" t="s">
        <v>348</v>
      </c>
      <c r="C66" s="83">
        <f>C60</f>
        <v>6.78</v>
      </c>
      <c r="D66" s="253">
        <f>G57</f>
        <v>13.3</v>
      </c>
      <c r="E66" s="253"/>
    </row>
    <row r="67" spans="2:8" x14ac:dyDescent="0.35">
      <c r="B67" s="84" t="s">
        <v>349</v>
      </c>
      <c r="C67" s="85">
        <f>(C60-C6)/C6</f>
        <v>-1.7391304347826101E-2</v>
      </c>
      <c r="D67" s="252">
        <f>(G57-G6)/G6</f>
        <v>0.27639155470249527</v>
      </c>
      <c r="E67" s="252"/>
    </row>
    <row r="68" spans="2:8" x14ac:dyDescent="0.35">
      <c r="B68" s="50" t="s">
        <v>350</v>
      </c>
      <c r="C68" s="83">
        <f>MAX(C6:C60)</f>
        <v>7.57</v>
      </c>
      <c r="D68" s="253">
        <f>MAX(G6:G57)</f>
        <v>14.06</v>
      </c>
      <c r="E68" s="253"/>
    </row>
    <row r="69" spans="2:8" x14ac:dyDescent="0.35">
      <c r="B69" s="46" t="s">
        <v>351</v>
      </c>
      <c r="C69" s="82">
        <f>MIN(C6:C60)</f>
        <v>6.29</v>
      </c>
      <c r="D69" s="251">
        <f>MIN(G6:G57)</f>
        <v>10.06</v>
      </c>
      <c r="E69" s="251"/>
    </row>
    <row r="70" spans="2:8" ht="26" x14ac:dyDescent="0.35">
      <c r="B70" s="50" t="s">
        <v>352</v>
      </c>
      <c r="C70" s="86">
        <f>AVERAGE(D7:D60)</f>
        <v>-8.9447797107781232E-6</v>
      </c>
      <c r="D70" s="248">
        <f>AVERAGE(H7:H57)</f>
        <v>5.6322660388699328E-3</v>
      </c>
      <c r="E70" s="248"/>
    </row>
    <row r="71" spans="2:8" x14ac:dyDescent="0.35">
      <c r="B71" s="46" t="s">
        <v>353</v>
      </c>
      <c r="C71" s="85">
        <f>MAX(D7:D60)</f>
        <v>5.5118110236220562E-2</v>
      </c>
      <c r="D71" s="252">
        <f>MAX(H7:H57)</f>
        <v>0.10534591194968551</v>
      </c>
      <c r="E71" s="252"/>
    </row>
    <row r="72" spans="2:8" ht="26" x14ac:dyDescent="0.35">
      <c r="B72" s="50" t="s">
        <v>354</v>
      </c>
      <c r="C72" s="86">
        <f>MIN(D7:D60)</f>
        <v>-9.9075297225891673E-2</v>
      </c>
      <c r="D72" s="248">
        <f>MIN(H7:H57)</f>
        <v>-0.11694915254237294</v>
      </c>
      <c r="E72" s="248"/>
    </row>
    <row r="73" spans="2:8" x14ac:dyDescent="0.35">
      <c r="B73" s="46" t="s">
        <v>355</v>
      </c>
      <c r="C73" s="85">
        <f>STDEVP(D7:D60)</f>
        <v>2.4840188399559687E-2</v>
      </c>
      <c r="D73" s="252">
        <f>STDEVP(H7:H57)</f>
        <v>4.0913588595610506E-2</v>
      </c>
      <c r="E73" s="252"/>
    </row>
    <row r="74" spans="2:8" ht="26" x14ac:dyDescent="0.35">
      <c r="B74" s="87" t="s">
        <v>356</v>
      </c>
      <c r="C74" s="86">
        <f>STDEVP(D7:D60)*SQRT(52)</f>
        <v>0.17912514593359644</v>
      </c>
      <c r="D74" s="248">
        <f>STDEVP(H7:H57)*SQRT(52)</f>
        <v>0.29503208308942475</v>
      </c>
      <c r="E74" s="248"/>
    </row>
    <row r="75" spans="2:8" ht="26" x14ac:dyDescent="0.35">
      <c r="B75" s="46" t="s">
        <v>357</v>
      </c>
      <c r="C75" s="88" t="s">
        <v>358</v>
      </c>
      <c r="D75" s="249" t="s">
        <v>359</v>
      </c>
      <c r="E75" s="249"/>
    </row>
    <row r="76" spans="2:8" ht="26" x14ac:dyDescent="0.35">
      <c r="B76" s="50" t="s">
        <v>360</v>
      </c>
      <c r="C76" s="89" t="s">
        <v>361</v>
      </c>
      <c r="D76" s="250" t="s">
        <v>362</v>
      </c>
      <c r="E76" s="250"/>
    </row>
    <row r="77" spans="2:8" x14ac:dyDescent="0.35">
      <c r="B77" s="46" t="s">
        <v>363</v>
      </c>
      <c r="C77" s="88" t="s">
        <v>364</v>
      </c>
      <c r="D77" s="249" t="s">
        <v>365</v>
      </c>
      <c r="E77" s="249"/>
    </row>
    <row r="78" spans="2:8" ht="22.4" customHeight="1" x14ac:dyDescent="0.35">
      <c r="B78" s="231"/>
      <c r="C78" s="231"/>
      <c r="D78" s="231"/>
      <c r="E78" s="231"/>
      <c r="F78" s="231"/>
      <c r="G78" s="231"/>
      <c r="H78" s="231"/>
    </row>
    <row r="80" spans="2:8" ht="21.75" customHeight="1" x14ac:dyDescent="0.35">
      <c r="B80" s="223" t="s">
        <v>366</v>
      </c>
      <c r="C80" s="223"/>
      <c r="D80" s="223"/>
      <c r="E80" s="223"/>
      <c r="F80" s="223"/>
      <c r="G80" s="223"/>
      <c r="H80" s="223"/>
    </row>
    <row r="81" spans="2:8" ht="30" customHeight="1" x14ac:dyDescent="0.35">
      <c r="B81" s="2" t="s">
        <v>367</v>
      </c>
      <c r="C81" s="2" t="s">
        <v>368</v>
      </c>
      <c r="D81" s="236" t="s">
        <v>369</v>
      </c>
      <c r="E81" s="236"/>
      <c r="F81" s="236"/>
      <c r="G81" s="236"/>
      <c r="H81" s="2" t="s">
        <v>370</v>
      </c>
    </row>
    <row r="82" spans="2:8" ht="30" customHeight="1" x14ac:dyDescent="0.35">
      <c r="B82" s="90" t="s">
        <v>164</v>
      </c>
      <c r="C82" s="55" t="s">
        <v>371</v>
      </c>
      <c r="D82" s="247" t="s">
        <v>372</v>
      </c>
      <c r="E82" s="247"/>
      <c r="F82" s="247"/>
      <c r="G82" s="247"/>
      <c r="H82" s="91" t="s">
        <v>373</v>
      </c>
    </row>
    <row r="83" spans="2:8" ht="30" customHeight="1" x14ac:dyDescent="0.35">
      <c r="B83" s="92" t="s">
        <v>164</v>
      </c>
      <c r="C83" s="57" t="s">
        <v>374</v>
      </c>
      <c r="D83" s="246" t="s">
        <v>375</v>
      </c>
      <c r="E83" s="246"/>
      <c r="F83" s="246"/>
      <c r="G83" s="246"/>
      <c r="H83" s="93" t="s">
        <v>376</v>
      </c>
    </row>
    <row r="84" spans="2:8" ht="30" customHeight="1" x14ac:dyDescent="0.35">
      <c r="B84" s="90" t="s">
        <v>164</v>
      </c>
      <c r="C84" s="55" t="s">
        <v>377</v>
      </c>
      <c r="D84" s="247" t="s">
        <v>378</v>
      </c>
      <c r="E84" s="247"/>
      <c r="F84" s="247"/>
      <c r="G84" s="247"/>
      <c r="H84" s="94" t="s">
        <v>379</v>
      </c>
    </row>
    <row r="85" spans="2:8" ht="30" customHeight="1" x14ac:dyDescent="0.35">
      <c r="B85" s="95" t="s">
        <v>380</v>
      </c>
      <c r="C85" s="57" t="s">
        <v>381</v>
      </c>
      <c r="D85" s="246" t="s">
        <v>382</v>
      </c>
      <c r="E85" s="246"/>
      <c r="F85" s="246"/>
      <c r="G85" s="246"/>
      <c r="H85" s="96" t="s">
        <v>383</v>
      </c>
    </row>
    <row r="86" spans="2:8" ht="30" customHeight="1" x14ac:dyDescent="0.35">
      <c r="B86" s="97" t="s">
        <v>380</v>
      </c>
      <c r="C86" s="55" t="s">
        <v>384</v>
      </c>
      <c r="D86" s="247" t="s">
        <v>385</v>
      </c>
      <c r="E86" s="247"/>
      <c r="F86" s="247"/>
      <c r="G86" s="247"/>
      <c r="H86" s="91" t="s">
        <v>373</v>
      </c>
    </row>
    <row r="87" spans="2:8" ht="30" customHeight="1" x14ac:dyDescent="0.35">
      <c r="B87" s="98" t="s">
        <v>386</v>
      </c>
      <c r="C87" s="57" t="s">
        <v>384</v>
      </c>
      <c r="D87" s="246" t="s">
        <v>387</v>
      </c>
      <c r="E87" s="246"/>
      <c r="F87" s="246"/>
      <c r="G87" s="246"/>
      <c r="H87" s="93" t="s">
        <v>376</v>
      </c>
    </row>
    <row r="88" spans="2:8" ht="30" customHeight="1" x14ac:dyDescent="0.35">
      <c r="B88" s="90" t="s">
        <v>164</v>
      </c>
      <c r="C88" s="55" t="s">
        <v>388</v>
      </c>
      <c r="D88" s="247" t="s">
        <v>389</v>
      </c>
      <c r="E88" s="247"/>
      <c r="F88" s="247"/>
      <c r="G88" s="247"/>
      <c r="H88" s="91" t="s">
        <v>390</v>
      </c>
    </row>
    <row r="89" spans="2:8" ht="30" customHeight="1" x14ac:dyDescent="0.35">
      <c r="B89" s="95" t="s">
        <v>380</v>
      </c>
      <c r="C89" s="57" t="s">
        <v>388</v>
      </c>
      <c r="D89" s="246" t="s">
        <v>391</v>
      </c>
      <c r="E89" s="246"/>
      <c r="F89" s="246"/>
      <c r="G89" s="246"/>
      <c r="H89" s="96" t="s">
        <v>373</v>
      </c>
    </row>
  </sheetData>
  <mergeCells count="30">
    <mergeCell ref="B1:H1"/>
    <mergeCell ref="B2:H2"/>
    <mergeCell ref="B4:H4"/>
    <mergeCell ref="B61:H61"/>
    <mergeCell ref="B63:H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B78:H78"/>
    <mergeCell ref="B80:H80"/>
    <mergeCell ref="D81:G81"/>
    <mergeCell ref="D82:G82"/>
    <mergeCell ref="D83:G83"/>
    <mergeCell ref="D84:G84"/>
    <mergeCell ref="D85:G85"/>
    <mergeCell ref="D86:G86"/>
    <mergeCell ref="D87:G87"/>
    <mergeCell ref="D88:G88"/>
    <mergeCell ref="D89:G89"/>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33"/>
  <sheetViews>
    <sheetView showGridLines="0" zoomScaleNormal="100" workbookViewId="0">
      <selection activeCell="A5" sqref="A5"/>
    </sheetView>
  </sheetViews>
  <sheetFormatPr defaultColWidth="8.6328125" defaultRowHeight="14.5" x14ac:dyDescent="0.35"/>
  <cols>
    <col min="1" max="1" width="15.26953125" customWidth="1"/>
    <col min="2" max="2" width="34" customWidth="1"/>
    <col min="3" max="6" width="16" customWidth="1"/>
  </cols>
  <sheetData>
    <row r="1" spans="1:6" ht="71" customHeight="1" x14ac:dyDescent="0.35">
      <c r="A1" s="132" t="s">
        <v>37</v>
      </c>
      <c r="B1" s="235"/>
      <c r="C1" s="235"/>
      <c r="D1" s="235"/>
      <c r="E1" s="235"/>
      <c r="F1" s="235"/>
    </row>
    <row r="2" spans="1:6" ht="16" customHeight="1" x14ac:dyDescent="0.35">
      <c r="A2" s="145"/>
      <c r="B2" s="235"/>
      <c r="C2" s="235"/>
      <c r="D2" s="235"/>
      <c r="E2" s="235"/>
      <c r="F2" s="235"/>
    </row>
    <row r="4" spans="1:6" ht="21.75" customHeight="1" x14ac:dyDescent="0.35">
      <c r="B4" s="223" t="s">
        <v>392</v>
      </c>
      <c r="C4" s="223"/>
      <c r="D4" s="223"/>
      <c r="E4" s="223"/>
      <c r="F4" s="223"/>
    </row>
    <row r="5" spans="1:6" ht="30" customHeight="1" x14ac:dyDescent="0.35">
      <c r="B5" s="2" t="s">
        <v>393</v>
      </c>
      <c r="C5" s="2" t="s">
        <v>394</v>
      </c>
      <c r="D5" s="2"/>
      <c r="E5" s="2" t="s">
        <v>395</v>
      </c>
      <c r="F5" s="2" t="s">
        <v>394</v>
      </c>
    </row>
    <row r="6" spans="1:6" ht="26" x14ac:dyDescent="0.35">
      <c r="B6" s="46" t="s">
        <v>144</v>
      </c>
      <c r="C6" s="99">
        <v>0.85299999999999998</v>
      </c>
      <c r="E6" s="46" t="s">
        <v>153</v>
      </c>
      <c r="F6" s="100">
        <v>0.90500000000000003</v>
      </c>
    </row>
    <row r="7" spans="1:6" x14ac:dyDescent="0.35">
      <c r="B7" s="50" t="s">
        <v>145</v>
      </c>
      <c r="C7" s="101">
        <v>0.115</v>
      </c>
      <c r="D7" s="102"/>
      <c r="E7" s="50" t="s">
        <v>396</v>
      </c>
      <c r="F7" s="103">
        <v>5.8000000000000003E-2</v>
      </c>
    </row>
    <row r="8" spans="1:6" x14ac:dyDescent="0.35">
      <c r="B8" s="46" t="s">
        <v>146</v>
      </c>
      <c r="C8" s="99">
        <v>2.7E-2</v>
      </c>
      <c r="E8" s="46" t="s">
        <v>397</v>
      </c>
      <c r="F8" s="100">
        <v>2.8000000000000001E-2</v>
      </c>
    </row>
    <row r="9" spans="1:6" x14ac:dyDescent="0.35">
      <c r="B9" s="50" t="s">
        <v>147</v>
      </c>
      <c r="C9" s="101">
        <v>4.0000000000000001E-3</v>
      </c>
      <c r="D9" s="102"/>
      <c r="E9" s="50" t="s">
        <v>156</v>
      </c>
      <c r="F9" s="103">
        <v>0.01</v>
      </c>
    </row>
    <row r="10" spans="1:6" ht="15" customHeight="1" x14ac:dyDescent="0.35">
      <c r="B10" s="231"/>
      <c r="C10" s="231"/>
      <c r="D10" s="231"/>
      <c r="E10" s="231"/>
      <c r="F10" s="231"/>
    </row>
    <row r="12" spans="1:6" ht="21.75" customHeight="1" x14ac:dyDescent="0.35">
      <c r="B12" s="223" t="s">
        <v>398</v>
      </c>
      <c r="C12" s="223"/>
      <c r="D12" s="223"/>
      <c r="E12" s="223"/>
      <c r="F12" s="223"/>
    </row>
    <row r="13" spans="1:6" ht="30" customHeight="1" x14ac:dyDescent="0.35">
      <c r="B13" s="2" t="s">
        <v>138</v>
      </c>
      <c r="C13" s="2" t="s">
        <v>160</v>
      </c>
      <c r="D13" s="104" t="s">
        <v>399</v>
      </c>
      <c r="E13" s="104" t="s">
        <v>400</v>
      </c>
      <c r="F13" s="2"/>
    </row>
    <row r="14" spans="1:6" x14ac:dyDescent="0.35">
      <c r="B14" s="46" t="s">
        <v>401</v>
      </c>
      <c r="C14" s="99">
        <v>3.5000000000000003E-2</v>
      </c>
      <c r="D14" s="105">
        <v>5.2999999999999999E-2</v>
      </c>
      <c r="E14" s="105">
        <v>3.4000000000000002E-2</v>
      </c>
    </row>
    <row r="15" spans="1:6" x14ac:dyDescent="0.35">
      <c r="B15" s="50" t="s">
        <v>402</v>
      </c>
      <c r="C15" s="101">
        <v>-4.3999999999999997E-2</v>
      </c>
      <c r="D15" s="106">
        <v>5.2999999999999999E-2</v>
      </c>
      <c r="E15" s="106">
        <v>3.4000000000000002E-2</v>
      </c>
      <c r="F15" s="102"/>
    </row>
    <row r="16" spans="1:6" x14ac:dyDescent="0.35">
      <c r="B16" s="46" t="s">
        <v>403</v>
      </c>
      <c r="C16" s="99">
        <v>0.161</v>
      </c>
      <c r="D16" s="105">
        <v>5.2999999999999999E-2</v>
      </c>
      <c r="E16" s="105">
        <v>3.4000000000000002E-2</v>
      </c>
    </row>
    <row r="17" spans="2:6" x14ac:dyDescent="0.35">
      <c r="B17" s="50" t="s">
        <v>404</v>
      </c>
      <c r="C17" s="103">
        <v>0.129</v>
      </c>
      <c r="D17" s="106">
        <v>5.2999999999999999E-2</v>
      </c>
      <c r="E17" s="106">
        <v>3.4000000000000002E-2</v>
      </c>
      <c r="F17" s="102"/>
    </row>
    <row r="18" spans="2:6" x14ac:dyDescent="0.35">
      <c r="B18" s="46" t="s">
        <v>405</v>
      </c>
      <c r="C18" s="100">
        <v>7.1999999999999995E-2</v>
      </c>
      <c r="D18" s="105">
        <v>5.2999999999999999E-2</v>
      </c>
      <c r="E18" s="105">
        <v>3.4000000000000002E-2</v>
      </c>
    </row>
    <row r="19" spans="2:6" x14ac:dyDescent="0.35">
      <c r="B19" s="50" t="s">
        <v>406</v>
      </c>
      <c r="C19" s="103">
        <v>-4.4999999999999998E-2</v>
      </c>
      <c r="D19" s="106">
        <v>5.2999999999999999E-2</v>
      </c>
      <c r="E19" s="106">
        <v>3.4000000000000002E-2</v>
      </c>
      <c r="F19" s="102"/>
    </row>
    <row r="20" spans="2:6" ht="15" customHeight="1" x14ac:dyDescent="0.35">
      <c r="B20" s="231"/>
      <c r="C20" s="231"/>
      <c r="D20" s="231"/>
      <c r="E20" s="231"/>
      <c r="F20" s="231"/>
    </row>
    <row r="22" spans="2:6" ht="21.75" customHeight="1" x14ac:dyDescent="0.35">
      <c r="B22" s="223" t="s">
        <v>407</v>
      </c>
      <c r="C22" s="223"/>
      <c r="D22" s="223"/>
      <c r="E22" s="223"/>
      <c r="F22" s="223"/>
    </row>
    <row r="23" spans="2:6" ht="30" customHeight="1" x14ac:dyDescent="0.35">
      <c r="B23" s="2" t="s">
        <v>408</v>
      </c>
      <c r="C23" s="2" t="s">
        <v>43</v>
      </c>
      <c r="D23" s="2" t="s">
        <v>44</v>
      </c>
      <c r="E23" s="2"/>
      <c r="F23" s="2"/>
    </row>
    <row r="24" spans="2:6" x14ac:dyDescent="0.35">
      <c r="B24" s="46" t="s">
        <v>46</v>
      </c>
      <c r="C24" s="107">
        <v>14.7</v>
      </c>
      <c r="D24" s="108">
        <v>14.9</v>
      </c>
    </row>
    <row r="25" spans="2:6" x14ac:dyDescent="0.35">
      <c r="B25" s="50" t="s">
        <v>62</v>
      </c>
      <c r="C25" s="109">
        <v>32.299999999999997</v>
      </c>
      <c r="D25" s="110">
        <v>22.7</v>
      </c>
      <c r="E25" s="102"/>
      <c r="F25" s="102"/>
    </row>
    <row r="26" spans="2:6" x14ac:dyDescent="0.35">
      <c r="B26" s="46" t="s">
        <v>65</v>
      </c>
      <c r="C26" s="107">
        <v>12.1</v>
      </c>
      <c r="D26" s="108">
        <v>7.7</v>
      </c>
    </row>
    <row r="27" spans="2:6" ht="15" customHeight="1" x14ac:dyDescent="0.35">
      <c r="B27" s="231"/>
      <c r="C27" s="231"/>
      <c r="D27" s="231"/>
      <c r="E27" s="231"/>
      <c r="F27" s="231"/>
    </row>
    <row r="29" spans="2:6" ht="21.75" customHeight="1" x14ac:dyDescent="0.35">
      <c r="B29" s="223" t="s">
        <v>409</v>
      </c>
      <c r="C29" s="223"/>
      <c r="D29" s="223"/>
      <c r="E29" s="223"/>
      <c r="F29" s="223"/>
    </row>
    <row r="30" spans="2:6" ht="30" customHeight="1" x14ac:dyDescent="0.35">
      <c r="B30" s="2" t="s">
        <v>410</v>
      </c>
      <c r="C30" s="2" t="s">
        <v>43</v>
      </c>
      <c r="D30" s="2" t="s">
        <v>44</v>
      </c>
      <c r="E30" s="2"/>
      <c r="F30" s="2"/>
    </row>
    <row r="31" spans="2:6" x14ac:dyDescent="0.35">
      <c r="B31" s="46" t="s">
        <v>54</v>
      </c>
      <c r="C31" s="99">
        <v>8.6999999999999994E-2</v>
      </c>
      <c r="D31" s="100">
        <v>0.124</v>
      </c>
    </row>
    <row r="32" spans="2:6" x14ac:dyDescent="0.35">
      <c r="B32" s="50" t="s">
        <v>411</v>
      </c>
      <c r="C32" s="101">
        <v>0.14199999999999999</v>
      </c>
      <c r="D32" s="103">
        <v>9.2999999999999999E-2</v>
      </c>
      <c r="E32" s="102"/>
      <c r="F32" s="102"/>
    </row>
    <row r="33" spans="2:6" ht="15" customHeight="1" x14ac:dyDescent="0.35">
      <c r="B33" s="231"/>
      <c r="C33" s="231"/>
      <c r="D33" s="231"/>
      <c r="E33" s="231"/>
      <c r="F33" s="231"/>
    </row>
  </sheetData>
  <mergeCells count="10">
    <mergeCell ref="B1:F1"/>
    <mergeCell ref="B2:F2"/>
    <mergeCell ref="B4:F4"/>
    <mergeCell ref="B10:F10"/>
    <mergeCell ref="B12:F12"/>
    <mergeCell ref="B20:F20"/>
    <mergeCell ref="B22:F22"/>
    <mergeCell ref="B27:F27"/>
    <mergeCell ref="B29:F29"/>
    <mergeCell ref="B33:F33"/>
  </mergeCells>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1"/>
  <sheetViews>
    <sheetView showGridLines="0" topLeftCell="A10" zoomScaleNormal="100" workbookViewId="0">
      <selection activeCell="C15" sqref="C15"/>
    </sheetView>
  </sheetViews>
  <sheetFormatPr defaultColWidth="8.6328125" defaultRowHeight="14.5" x14ac:dyDescent="0.35"/>
  <cols>
    <col min="1" max="1" width="19.08984375" customWidth="1"/>
    <col min="2" max="2" width="34" customWidth="1"/>
    <col min="3" max="3" width="50" customWidth="1"/>
    <col min="4" max="4" width="2" customWidth="1"/>
  </cols>
  <sheetData>
    <row r="1" spans="1:3" ht="61" customHeight="1" x14ac:dyDescent="0.35">
      <c r="A1" s="132" t="s">
        <v>39</v>
      </c>
      <c r="B1" s="235"/>
      <c r="C1" s="235"/>
    </row>
    <row r="2" spans="1:3" ht="64" customHeight="1" x14ac:dyDescent="0.35">
      <c r="A2" s="131" t="s">
        <v>412</v>
      </c>
      <c r="B2" s="235"/>
      <c r="C2" s="235"/>
    </row>
    <row r="4" spans="1:3" ht="21.75" customHeight="1" x14ac:dyDescent="0.35">
      <c r="B4" s="223" t="s">
        <v>413</v>
      </c>
      <c r="C4" s="223"/>
    </row>
    <row r="5" spans="1:3" ht="30" customHeight="1" x14ac:dyDescent="0.35">
      <c r="B5" s="2" t="s">
        <v>414</v>
      </c>
      <c r="C5" s="2" t="s">
        <v>415</v>
      </c>
    </row>
    <row r="6" spans="1:3" x14ac:dyDescent="0.35">
      <c r="B6" s="69" t="s">
        <v>416</v>
      </c>
      <c r="C6" s="46" t="s">
        <v>417</v>
      </c>
    </row>
    <row r="7" spans="1:3" x14ac:dyDescent="0.35">
      <c r="B7" s="72" t="s">
        <v>418</v>
      </c>
      <c r="C7" s="50" t="s">
        <v>419</v>
      </c>
    </row>
    <row r="8" spans="1:3" x14ac:dyDescent="0.35">
      <c r="B8" s="69" t="s">
        <v>420</v>
      </c>
      <c r="C8" s="46" t="s">
        <v>421</v>
      </c>
    </row>
    <row r="9" spans="1:3" x14ac:dyDescent="0.35">
      <c r="B9" s="72" t="s">
        <v>422</v>
      </c>
      <c r="C9" s="50" t="s">
        <v>423</v>
      </c>
    </row>
    <row r="11" spans="1:3" ht="21.75" customHeight="1" x14ac:dyDescent="0.35">
      <c r="B11" s="223" t="s">
        <v>424</v>
      </c>
      <c r="C11" s="223"/>
    </row>
    <row r="12" spans="1:3" ht="42" customHeight="1" x14ac:dyDescent="0.35">
      <c r="B12" s="59" t="s">
        <v>70</v>
      </c>
      <c r="C12" s="3" t="s">
        <v>425</v>
      </c>
    </row>
    <row r="13" spans="1:3" ht="42" customHeight="1" x14ac:dyDescent="0.35">
      <c r="B13" s="59" t="s">
        <v>70</v>
      </c>
      <c r="C13" s="3" t="s">
        <v>426</v>
      </c>
    </row>
    <row r="14" spans="1:3" ht="42" customHeight="1" x14ac:dyDescent="0.35">
      <c r="B14" s="59" t="s">
        <v>70</v>
      </c>
      <c r="C14" s="3" t="s">
        <v>427</v>
      </c>
    </row>
    <row r="15" spans="1:3" ht="42" customHeight="1" x14ac:dyDescent="0.35">
      <c r="B15" s="59" t="s">
        <v>70</v>
      </c>
      <c r="C15" s="3" t="s">
        <v>428</v>
      </c>
    </row>
    <row r="16" spans="1:3" ht="42" customHeight="1" x14ac:dyDescent="0.35">
      <c r="B16" s="59" t="s">
        <v>70</v>
      </c>
      <c r="C16" s="3" t="s">
        <v>429</v>
      </c>
    </row>
    <row r="17" spans="2:3" ht="42" customHeight="1" x14ac:dyDescent="0.35">
      <c r="B17" s="59" t="s">
        <v>70</v>
      </c>
      <c r="C17" s="3" t="s">
        <v>430</v>
      </c>
    </row>
    <row r="18" spans="2:3" ht="42" customHeight="1" x14ac:dyDescent="0.35">
      <c r="B18" s="59" t="s">
        <v>70</v>
      </c>
      <c r="C18" s="3" t="s">
        <v>431</v>
      </c>
    </row>
    <row r="19" spans="2:3" ht="42" customHeight="1" x14ac:dyDescent="0.35">
      <c r="B19" s="59" t="s">
        <v>70</v>
      </c>
      <c r="C19" s="3" t="s">
        <v>432</v>
      </c>
    </row>
    <row r="20" spans="2:3" ht="42" customHeight="1" x14ac:dyDescent="0.35">
      <c r="B20" s="59" t="s">
        <v>70</v>
      </c>
      <c r="C20" s="3" t="s">
        <v>433</v>
      </c>
    </row>
    <row r="21" spans="2:3" ht="42" customHeight="1" x14ac:dyDescent="0.35">
      <c r="B21" s="59" t="s">
        <v>70</v>
      </c>
      <c r="C21" s="3" t="s">
        <v>434</v>
      </c>
    </row>
  </sheetData>
  <mergeCells count="4">
    <mergeCell ref="B1:C1"/>
    <mergeCell ref="B2:C2"/>
    <mergeCell ref="B4:C4"/>
    <mergeCell ref="B11:C11"/>
  </mergeCells>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1D114-68E0-4F5E-9220-A8DBAF6A112D}">
  <dimension ref="B3:F22"/>
  <sheetViews>
    <sheetView showGridLines="0" zoomScale="78" zoomScaleNormal="100" workbookViewId="0">
      <selection activeCell="D29" sqref="D29"/>
    </sheetView>
  </sheetViews>
  <sheetFormatPr defaultColWidth="8.6328125" defaultRowHeight="14.5" x14ac:dyDescent="0.35"/>
  <cols>
    <col min="1" max="1" width="2" customWidth="1"/>
    <col min="2" max="6" width="26" customWidth="1"/>
    <col min="8" max="8" width="2" customWidth="1"/>
  </cols>
  <sheetData>
    <row r="3" spans="2:6" ht="33.75" customHeight="1" x14ac:dyDescent="0.35">
      <c r="B3" s="254" t="s">
        <v>526</v>
      </c>
      <c r="C3" s="254"/>
      <c r="D3" s="254"/>
      <c r="E3" s="254"/>
      <c r="F3" s="254"/>
    </row>
    <row r="4" spans="2:6" ht="24" customHeight="1" x14ac:dyDescent="0.35">
      <c r="B4" s="255" t="s">
        <v>1</v>
      </c>
      <c r="C4" s="255"/>
      <c r="D4" s="255"/>
      <c r="E4" s="255"/>
      <c r="F4" s="255"/>
    </row>
    <row r="5" spans="2:6" ht="15" customHeight="1" x14ac:dyDescent="0.35">
      <c r="B5" s="256" t="s">
        <v>525</v>
      </c>
      <c r="C5" s="256"/>
      <c r="D5" s="256"/>
      <c r="E5" s="256"/>
      <c r="F5" s="256"/>
    </row>
    <row r="7" spans="2:6" ht="21.75" customHeight="1" x14ac:dyDescent="0.35">
      <c r="B7" s="257" t="s">
        <v>524</v>
      </c>
      <c r="C7" s="257"/>
      <c r="D7" s="257"/>
      <c r="E7" s="257"/>
      <c r="F7" s="257"/>
    </row>
    <row r="8" spans="2:6" ht="27.75" customHeight="1" x14ac:dyDescent="0.35">
      <c r="B8" s="173"/>
      <c r="C8" s="258" t="s">
        <v>523</v>
      </c>
      <c r="D8" s="258"/>
      <c r="E8" s="258"/>
      <c r="F8" s="258"/>
    </row>
    <row r="9" spans="2:6" ht="27.75" customHeight="1" x14ac:dyDescent="0.35">
      <c r="B9" s="173"/>
      <c r="C9" s="258" t="s">
        <v>522</v>
      </c>
      <c r="D9" s="258"/>
      <c r="E9" s="258"/>
      <c r="F9" s="258"/>
    </row>
    <row r="10" spans="2:6" ht="27.75" customHeight="1" x14ac:dyDescent="0.35">
      <c r="B10" s="173"/>
      <c r="C10" s="258" t="s">
        <v>521</v>
      </c>
      <c r="D10" s="258"/>
      <c r="E10" s="258"/>
      <c r="F10" s="258"/>
    </row>
    <row r="11" spans="2:6" ht="21.75" customHeight="1" x14ac:dyDescent="0.35">
      <c r="B11" s="257" t="s">
        <v>520</v>
      </c>
      <c r="C11" s="257"/>
      <c r="D11" s="257"/>
      <c r="E11" s="257"/>
      <c r="F11" s="257"/>
    </row>
    <row r="12" spans="2:6" ht="30" customHeight="1" x14ac:dyDescent="0.35">
      <c r="B12" s="172"/>
      <c r="C12" s="259" t="s">
        <v>519</v>
      </c>
      <c r="D12" s="259"/>
      <c r="E12" s="259"/>
      <c r="F12" s="259"/>
    </row>
    <row r="13" spans="2:6" ht="30" customHeight="1" x14ac:dyDescent="0.35">
      <c r="B13" s="172"/>
      <c r="C13" s="259" t="s">
        <v>518</v>
      </c>
      <c r="D13" s="259"/>
      <c r="E13" s="259"/>
      <c r="F13" s="259"/>
    </row>
    <row r="15" spans="2:6" ht="21.75" customHeight="1" x14ac:dyDescent="0.35">
      <c r="B15" s="257" t="s">
        <v>17</v>
      </c>
      <c r="C15" s="257"/>
      <c r="D15" s="257"/>
      <c r="E15" s="257"/>
      <c r="F15" s="257"/>
    </row>
    <row r="16" spans="2:6" ht="15" customHeight="1" x14ac:dyDescent="0.35">
      <c r="B16" s="171">
        <v>1</v>
      </c>
      <c r="C16" s="260" t="s">
        <v>517</v>
      </c>
      <c r="D16" s="260"/>
      <c r="E16" s="260"/>
      <c r="F16" s="260"/>
    </row>
    <row r="17" spans="2:6" ht="15" customHeight="1" x14ac:dyDescent="0.35">
      <c r="B17" s="171">
        <v>2</v>
      </c>
      <c r="C17" s="260" t="s">
        <v>516</v>
      </c>
      <c r="D17" s="260"/>
      <c r="E17" s="260"/>
      <c r="F17" s="260"/>
    </row>
    <row r="18" spans="2:6" ht="15" customHeight="1" x14ac:dyDescent="0.35">
      <c r="B18" s="174">
        <v>3</v>
      </c>
      <c r="C18" s="260" t="s">
        <v>515</v>
      </c>
      <c r="D18" s="260"/>
      <c r="E18" s="260"/>
      <c r="F18" s="260"/>
    </row>
    <row r="19" spans="2:6" ht="15" customHeight="1" x14ac:dyDescent="0.35">
      <c r="B19" s="171">
        <v>4</v>
      </c>
      <c r="C19" t="s">
        <v>527</v>
      </c>
    </row>
    <row r="20" spans="2:6" ht="15" customHeight="1" x14ac:dyDescent="0.35">
      <c r="B20" s="171">
        <v>5</v>
      </c>
      <c r="C20" s="260" t="s">
        <v>514</v>
      </c>
      <c r="D20" s="260"/>
      <c r="E20" s="260"/>
      <c r="F20" s="260"/>
    </row>
    <row r="21" spans="2:6" ht="15" customHeight="1" x14ac:dyDescent="0.35">
      <c r="B21" s="171"/>
      <c r="C21" s="260"/>
      <c r="D21" s="260"/>
      <c r="E21" s="260"/>
      <c r="F21" s="260"/>
    </row>
    <row r="22" spans="2:6" ht="15" customHeight="1" x14ac:dyDescent="0.35">
      <c r="B22" s="171"/>
      <c r="C22" s="170"/>
    </row>
  </sheetData>
  <mergeCells count="16">
    <mergeCell ref="C21:F21"/>
    <mergeCell ref="C16:F16"/>
    <mergeCell ref="C17:F17"/>
    <mergeCell ref="C18:F18"/>
    <mergeCell ref="C20:F20"/>
    <mergeCell ref="B11:F11"/>
    <mergeCell ref="C12:F12"/>
    <mergeCell ref="C13:F13"/>
    <mergeCell ref="B15:F15"/>
    <mergeCell ref="C9:F9"/>
    <mergeCell ref="C10:F10"/>
    <mergeCell ref="B3:F3"/>
    <mergeCell ref="B4:F4"/>
    <mergeCell ref="B5:F5"/>
    <mergeCell ref="B7:F7"/>
    <mergeCell ref="C8:F8"/>
  </mergeCells>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04572-2BC1-4747-B9C2-15B6CAB786CB}">
  <dimension ref="B3:G27"/>
  <sheetViews>
    <sheetView zoomScale="73" workbookViewId="0">
      <selection activeCell="L49" sqref="L49"/>
    </sheetView>
  </sheetViews>
  <sheetFormatPr defaultRowHeight="14.5" x14ac:dyDescent="0.35"/>
  <cols>
    <col min="2" max="2" width="18.54296875" customWidth="1"/>
    <col min="3" max="3" width="14.453125" customWidth="1"/>
    <col min="4" max="4" width="13.90625" customWidth="1"/>
    <col min="5" max="5" width="14.1796875" customWidth="1"/>
    <col min="6" max="6" width="14.26953125" customWidth="1"/>
    <col min="7" max="7" width="15.1796875" customWidth="1"/>
  </cols>
  <sheetData>
    <row r="3" spans="2:7" x14ac:dyDescent="0.35">
      <c r="B3" s="111"/>
      <c r="C3" s="111"/>
      <c r="D3" s="111"/>
      <c r="E3" s="111"/>
      <c r="F3" s="111"/>
      <c r="G3" s="111"/>
    </row>
    <row r="4" spans="2:7" ht="15.5" x14ac:dyDescent="0.35">
      <c r="B4" s="261" t="s">
        <v>130</v>
      </c>
      <c r="C4" s="261"/>
      <c r="D4" s="261"/>
      <c r="E4" s="261"/>
      <c r="F4" s="261"/>
      <c r="G4" s="261"/>
    </row>
    <row r="5" spans="2:7" x14ac:dyDescent="0.35">
      <c r="B5" s="2" t="s">
        <v>114</v>
      </c>
      <c r="C5" s="2" t="s">
        <v>115</v>
      </c>
      <c r="D5" s="2" t="s">
        <v>116</v>
      </c>
      <c r="E5" s="2" t="s">
        <v>117</v>
      </c>
      <c r="F5" s="2" t="s">
        <v>118</v>
      </c>
      <c r="G5" s="2" t="s">
        <v>119</v>
      </c>
    </row>
    <row r="6" spans="2:7" ht="28" x14ac:dyDescent="0.35">
      <c r="B6" s="7" t="s">
        <v>439</v>
      </c>
      <c r="C6" s="112">
        <v>-0.65842917493154396</v>
      </c>
      <c r="D6" s="112">
        <v>-8.0067771597306298E-2</v>
      </c>
      <c r="E6" s="113">
        <v>0.15145599010063901</v>
      </c>
      <c r="F6" s="113">
        <v>0.14345674509799899</v>
      </c>
      <c r="G6" s="113">
        <v>8.7467626733171905E-2</v>
      </c>
    </row>
    <row r="7" spans="2:7" x14ac:dyDescent="0.35">
      <c r="B7" s="25" t="s">
        <v>445</v>
      </c>
      <c r="C7" s="114">
        <v>-1.29909062416577</v>
      </c>
      <c r="D7" s="114">
        <v>-0.14314230183327201</v>
      </c>
      <c r="E7" s="115">
        <v>0.14834484776199999</v>
      </c>
      <c r="F7" s="115">
        <v>0.159740597412841</v>
      </c>
      <c r="G7" s="115">
        <v>0.15173133808943801</v>
      </c>
    </row>
    <row r="8" spans="2:7" x14ac:dyDescent="0.35">
      <c r="B8" s="7" t="s">
        <v>438</v>
      </c>
      <c r="C8" s="113"/>
      <c r="D8" s="113"/>
      <c r="E8" s="113">
        <v>0.12483403847914799</v>
      </c>
      <c r="F8" s="113">
        <v>0.141752621018539</v>
      </c>
      <c r="G8" s="113">
        <v>0.143921636864246</v>
      </c>
    </row>
    <row r="9" spans="2:7" x14ac:dyDescent="0.35">
      <c r="B9" s="25" t="s">
        <v>444</v>
      </c>
      <c r="C9" s="115"/>
      <c r="D9" s="115"/>
      <c r="E9" s="115">
        <v>4.5190342948016902E-2</v>
      </c>
      <c r="F9" s="115">
        <v>6.0885989582446398E-2</v>
      </c>
      <c r="G9" s="115">
        <v>6.5268249208574297E-2</v>
      </c>
    </row>
    <row r="10" spans="2:7" ht="28" x14ac:dyDescent="0.35">
      <c r="B10" s="23" t="s">
        <v>443</v>
      </c>
      <c r="C10" s="116">
        <v>1.6584291749315401</v>
      </c>
      <c r="D10" s="116">
        <v>1.0800677715973099</v>
      </c>
      <c r="E10" s="116">
        <v>0.84854400989936096</v>
      </c>
      <c r="F10" s="116">
        <v>0.85654325490200101</v>
      </c>
      <c r="G10" s="116">
        <v>0.91253237326682801</v>
      </c>
    </row>
    <row r="11" spans="2:7" x14ac:dyDescent="0.35">
      <c r="B11" s="231"/>
      <c r="C11" s="231"/>
      <c r="D11" s="231"/>
      <c r="E11" s="231"/>
      <c r="F11" s="231"/>
      <c r="G11" s="231"/>
    </row>
    <row r="12" spans="2:7" x14ac:dyDescent="0.35">
      <c r="B12" s="111"/>
      <c r="C12" s="111"/>
      <c r="D12" s="111"/>
      <c r="E12" s="111"/>
      <c r="F12" s="111"/>
      <c r="G12" s="111"/>
    </row>
    <row r="13" spans="2:7" ht="15.5" x14ac:dyDescent="0.35">
      <c r="B13" s="262" t="s">
        <v>135</v>
      </c>
      <c r="C13" s="262"/>
      <c r="D13" s="262"/>
      <c r="E13" s="262"/>
      <c r="F13" s="262"/>
      <c r="G13" s="262"/>
    </row>
    <row r="14" spans="2:7" x14ac:dyDescent="0.35">
      <c r="B14" s="2" t="s">
        <v>114</v>
      </c>
      <c r="C14" s="2" t="s">
        <v>115</v>
      </c>
      <c r="D14" s="2" t="s">
        <v>116</v>
      </c>
      <c r="E14" s="2" t="s">
        <v>117</v>
      </c>
      <c r="F14" s="2" t="s">
        <v>118</v>
      </c>
      <c r="G14" s="2" t="s">
        <v>119</v>
      </c>
    </row>
    <row r="15" spans="2:7" ht="28" x14ac:dyDescent="0.35">
      <c r="B15" s="7" t="s">
        <v>439</v>
      </c>
      <c r="C15" s="112">
        <v>-9.8712352205672701E-3</v>
      </c>
      <c r="D15" s="113">
        <v>6.8010815894662402E-2</v>
      </c>
      <c r="E15" s="113">
        <v>0.13757739323702201</v>
      </c>
      <c r="F15" s="113">
        <v>0.12625154496938801</v>
      </c>
      <c r="G15" s="113">
        <v>0.120523097477005</v>
      </c>
    </row>
    <row r="16" spans="2:7" x14ac:dyDescent="0.35">
      <c r="B16" s="25" t="s">
        <v>445</v>
      </c>
      <c r="C16" s="114">
        <v>-0.13286682606883499</v>
      </c>
      <c r="D16" s="114">
        <v>-0.119817383807508</v>
      </c>
      <c r="E16" s="115">
        <v>0.11491771180610701</v>
      </c>
      <c r="F16" s="115">
        <v>0.10733824529802299</v>
      </c>
      <c r="G16" s="115">
        <v>0.1054245242622</v>
      </c>
    </row>
    <row r="17" spans="2:7" x14ac:dyDescent="0.35">
      <c r="B17" s="7" t="s">
        <v>438</v>
      </c>
      <c r="C17" s="112">
        <v>-0.121218768508566</v>
      </c>
      <c r="D17" s="112">
        <v>-0.12975154792695401</v>
      </c>
      <c r="E17" s="113">
        <v>0.103614330316982</v>
      </c>
      <c r="F17" s="113">
        <v>9.4738960055954197E-2</v>
      </c>
      <c r="G17" s="113">
        <v>9.2732473493996506E-2</v>
      </c>
    </row>
    <row r="18" spans="2:7" x14ac:dyDescent="0.35">
      <c r="B18" s="25" t="s">
        <v>444</v>
      </c>
      <c r="C18" s="114">
        <v>-3.2945805435127803E-2</v>
      </c>
      <c r="D18" s="114">
        <v>-4.28392138596696E-2</v>
      </c>
      <c r="E18" s="115">
        <v>6.4677668697065399E-2</v>
      </c>
      <c r="F18" s="115">
        <v>6.50534875458888E-2</v>
      </c>
      <c r="G18" s="115">
        <v>7.0074617689505E-2</v>
      </c>
    </row>
    <row r="19" spans="2:7" ht="28" x14ac:dyDescent="0.35">
      <c r="B19" s="23" t="s">
        <v>443</v>
      </c>
      <c r="C19" s="116">
        <v>1.0098712352205701</v>
      </c>
      <c r="D19" s="116">
        <v>0.93198918410533804</v>
      </c>
      <c r="E19" s="116">
        <v>0.86242260676297799</v>
      </c>
      <c r="F19" s="116">
        <v>0.87374845503061205</v>
      </c>
      <c r="G19" s="116">
        <v>0.87947690252299504</v>
      </c>
    </row>
    <row r="20" spans="2:7" x14ac:dyDescent="0.35">
      <c r="B20" s="231"/>
      <c r="C20" s="231"/>
      <c r="D20" s="231"/>
      <c r="E20" s="231"/>
      <c r="F20" s="231"/>
      <c r="G20" s="231"/>
    </row>
    <row r="21" spans="2:7" x14ac:dyDescent="0.35">
      <c r="B21" s="111"/>
      <c r="C21" s="111"/>
      <c r="D21" s="111"/>
      <c r="E21" s="111"/>
      <c r="F21" s="111"/>
      <c r="G21" s="111"/>
    </row>
    <row r="22" spans="2:7" ht="15.5" x14ac:dyDescent="0.35">
      <c r="B22" s="265" t="s">
        <v>442</v>
      </c>
      <c r="C22" s="265"/>
      <c r="D22" s="265"/>
      <c r="E22" s="265"/>
      <c r="F22" s="265"/>
      <c r="G22" s="265"/>
    </row>
    <row r="23" spans="2:7" ht="28" x14ac:dyDescent="0.35">
      <c r="B23" s="2" t="s">
        <v>441</v>
      </c>
      <c r="C23" s="2" t="s">
        <v>43</v>
      </c>
      <c r="D23" s="2" t="s">
        <v>79</v>
      </c>
      <c r="E23" s="236" t="s">
        <v>440</v>
      </c>
      <c r="F23" s="236"/>
      <c r="G23" s="236"/>
    </row>
    <row r="24" spans="2:7" ht="28" x14ac:dyDescent="0.35">
      <c r="B24" s="7" t="s">
        <v>439</v>
      </c>
      <c r="C24" s="117">
        <v>8.7467626733171905E-2</v>
      </c>
      <c r="D24" s="118">
        <v>0.120523097477005</v>
      </c>
      <c r="E24" s="263" t="s">
        <v>173</v>
      </c>
      <c r="F24" s="263"/>
      <c r="G24" s="263"/>
    </row>
    <row r="25" spans="2:7" x14ac:dyDescent="0.35">
      <c r="B25" s="10" t="s">
        <v>438</v>
      </c>
      <c r="C25" s="119">
        <v>0.143921636864246</v>
      </c>
      <c r="D25" s="120">
        <v>9.2732473493996506E-2</v>
      </c>
      <c r="E25" s="264" t="s">
        <v>164</v>
      </c>
      <c r="F25" s="264"/>
      <c r="G25" s="264"/>
    </row>
    <row r="26" spans="2:7" x14ac:dyDescent="0.35">
      <c r="B26" s="7" t="s">
        <v>437</v>
      </c>
      <c r="C26" s="117">
        <v>6.5268249208574297E-2</v>
      </c>
      <c r="D26" s="118">
        <v>7.0074617689505E-2</v>
      </c>
      <c r="E26" s="263" t="s">
        <v>173</v>
      </c>
      <c r="F26" s="263"/>
      <c r="G26" s="263"/>
    </row>
    <row r="27" spans="2:7" x14ac:dyDescent="0.35">
      <c r="B27" s="10" t="s">
        <v>436</v>
      </c>
      <c r="C27" s="119">
        <v>0.91253237326682801</v>
      </c>
      <c r="D27" s="120">
        <v>0.87947690252299504</v>
      </c>
      <c r="E27" s="264" t="s">
        <v>435</v>
      </c>
      <c r="F27" s="264"/>
      <c r="G27" s="264"/>
    </row>
  </sheetData>
  <mergeCells count="10">
    <mergeCell ref="B4:G4"/>
    <mergeCell ref="B11:G11"/>
    <mergeCell ref="B13:G13"/>
    <mergeCell ref="E26:G26"/>
    <mergeCell ref="E27:G27"/>
    <mergeCell ref="B20:G20"/>
    <mergeCell ref="B22:G22"/>
    <mergeCell ref="E23:G23"/>
    <mergeCell ref="E24:G24"/>
    <mergeCell ref="E25:G2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4B401-A847-46F2-AE63-295BF17E376A}">
  <dimension ref="B2:G52"/>
  <sheetViews>
    <sheetView zoomScale="113" workbookViewId="0">
      <selection activeCell="B15" sqref="B15"/>
    </sheetView>
  </sheetViews>
  <sheetFormatPr defaultRowHeight="14.5" x14ac:dyDescent="0.35"/>
  <cols>
    <col min="2" max="2" width="40.6328125" customWidth="1"/>
    <col min="3" max="3" width="11.08984375" customWidth="1"/>
    <col min="4" max="4" width="16.54296875" customWidth="1"/>
    <col min="5" max="5" width="18.36328125" customWidth="1"/>
    <col min="6" max="6" width="24.7265625" customWidth="1"/>
    <col min="7" max="7" width="22.81640625" customWidth="1"/>
  </cols>
  <sheetData>
    <row r="2" spans="2:5" ht="15.5" x14ac:dyDescent="0.35">
      <c r="B2" s="129" t="s">
        <v>466</v>
      </c>
    </row>
    <row r="4" spans="2:5" x14ac:dyDescent="0.35">
      <c r="B4" s="128" t="s">
        <v>130</v>
      </c>
      <c r="C4" s="127"/>
      <c r="D4" s="127"/>
      <c r="E4" s="127"/>
    </row>
    <row r="5" spans="2:5" x14ac:dyDescent="0.35">
      <c r="B5" s="122" t="s">
        <v>114</v>
      </c>
      <c r="C5" s="124"/>
      <c r="D5" s="122" t="s">
        <v>118</v>
      </c>
      <c r="E5" s="122" t="s">
        <v>119</v>
      </c>
    </row>
    <row r="6" spans="2:5" x14ac:dyDescent="0.35">
      <c r="B6" s="180" t="s">
        <v>465</v>
      </c>
      <c r="C6" s="175"/>
      <c r="D6" s="176">
        <v>16744.599999999999</v>
      </c>
      <c r="E6" s="176">
        <v>16070</v>
      </c>
    </row>
    <row r="7" spans="2:5" x14ac:dyDescent="0.35">
      <c r="B7" s="180" t="s">
        <v>464</v>
      </c>
      <c r="C7" s="175"/>
      <c r="D7" s="176">
        <v>31593</v>
      </c>
      <c r="E7" s="176">
        <v>29131.7</v>
      </c>
    </row>
    <row r="8" spans="2:5" x14ac:dyDescent="0.35">
      <c r="B8" s="180" t="s">
        <v>463</v>
      </c>
      <c r="C8" s="175"/>
      <c r="D8" s="176">
        <v>2185.8000000000002</v>
      </c>
      <c r="E8" s="176">
        <v>2381</v>
      </c>
    </row>
    <row r="9" spans="2:5" x14ac:dyDescent="0.35">
      <c r="B9" s="180" t="s">
        <v>462</v>
      </c>
      <c r="C9" s="175"/>
      <c r="D9" s="177">
        <v>74.45</v>
      </c>
      <c r="E9" s="175"/>
    </row>
    <row r="10" spans="2:5" x14ac:dyDescent="0.35">
      <c r="B10" s="180" t="s">
        <v>457</v>
      </c>
      <c r="C10" s="175"/>
      <c r="D10" s="178">
        <f t="shared" ref="D10:E12" si="0">D6*$D$9</f>
        <v>1246635.47</v>
      </c>
      <c r="E10" s="178">
        <f t="shared" si="0"/>
        <v>1196411.5</v>
      </c>
    </row>
    <row r="11" spans="2:5" x14ac:dyDescent="0.35">
      <c r="B11" s="180" t="s">
        <v>456</v>
      </c>
      <c r="C11" s="175"/>
      <c r="D11" s="178">
        <f t="shared" si="0"/>
        <v>2352098.85</v>
      </c>
      <c r="E11" s="178">
        <f t="shared" si="0"/>
        <v>2168855.0649999999</v>
      </c>
    </row>
    <row r="12" spans="2:5" x14ac:dyDescent="0.35">
      <c r="B12" s="180" t="s">
        <v>455</v>
      </c>
      <c r="C12" s="175"/>
      <c r="D12" s="178">
        <f t="shared" si="0"/>
        <v>162732.81000000003</v>
      </c>
      <c r="E12" s="178">
        <f t="shared" si="0"/>
        <v>177265.45</v>
      </c>
    </row>
    <row r="13" spans="2:5" x14ac:dyDescent="0.35">
      <c r="B13" s="181"/>
      <c r="C13" s="175"/>
      <c r="D13" s="175"/>
      <c r="E13" s="175"/>
    </row>
    <row r="14" spans="2:5" x14ac:dyDescent="0.35">
      <c r="B14" s="182" t="s">
        <v>454</v>
      </c>
      <c r="C14" s="175"/>
      <c r="D14" s="175"/>
      <c r="E14" s="175"/>
    </row>
    <row r="15" spans="2:5" x14ac:dyDescent="0.35">
      <c r="B15" s="180" t="s">
        <v>453</v>
      </c>
      <c r="C15" s="175"/>
      <c r="D15" s="179">
        <f>'Profit Ratios'!F8*'Growth Trends'!F6/D10</f>
        <v>0.16095338599662962</v>
      </c>
      <c r="E15" s="179">
        <f>'Profit Ratios'!G8*'Growth Trends'!G6/E10</f>
        <v>0.17499688861232074</v>
      </c>
    </row>
    <row r="16" spans="2:5" x14ac:dyDescent="0.35">
      <c r="B16" s="180" t="s">
        <v>452</v>
      </c>
      <c r="C16" s="175"/>
      <c r="D16" s="179">
        <f>'Profit Ratios'!F6*'Growth Trends'!F6/D11</f>
        <v>8.6332417534237357E-2</v>
      </c>
      <c r="E16" s="179">
        <f>'Profit Ratios'!G6*'Growth Trends'!G6/E11</f>
        <v>5.8668046589825947E-2</v>
      </c>
    </row>
    <row r="17" spans="2:5" x14ac:dyDescent="0.35">
      <c r="B17" s="180" t="s">
        <v>451</v>
      </c>
      <c r="C17" s="175"/>
      <c r="D17" s="179">
        <f>'Profit Ratios'!F6</f>
        <v>0.14345674509799899</v>
      </c>
      <c r="E17" s="179">
        <f>'Profit Ratios'!G6</f>
        <v>8.7467626733171905E-2</v>
      </c>
    </row>
    <row r="18" spans="2:5" x14ac:dyDescent="0.35">
      <c r="B18" s="180" t="s">
        <v>450</v>
      </c>
      <c r="C18" s="175"/>
      <c r="D18" s="179">
        <f>('Profit Ratios'!F6*'Growth Trends'!F6+D12)/'Growth Trends'!F6</f>
        <v>0.25842200475491411</v>
      </c>
      <c r="E18" s="179">
        <f>('Profit Ratios'!G6*'Growth Trends'!G6+E12)/'Growth Trends'!G6</f>
        <v>0.20932148398861977</v>
      </c>
    </row>
    <row r="21" spans="2:5" x14ac:dyDescent="0.35">
      <c r="B21" s="126" t="s">
        <v>135</v>
      </c>
      <c r="C21" s="125"/>
      <c r="D21" s="125"/>
      <c r="E21" s="125"/>
    </row>
    <row r="22" spans="2:5" x14ac:dyDescent="0.35">
      <c r="B22" s="122" t="s">
        <v>114</v>
      </c>
      <c r="C22" s="124"/>
      <c r="D22" s="122" t="s">
        <v>118</v>
      </c>
      <c r="E22" s="122" t="s">
        <v>119</v>
      </c>
    </row>
    <row r="23" spans="2:5" x14ac:dyDescent="0.35">
      <c r="B23" s="180" t="s">
        <v>461</v>
      </c>
      <c r="C23" s="175"/>
      <c r="D23" s="176">
        <v>52507</v>
      </c>
      <c r="E23" s="176">
        <v>60117</v>
      </c>
    </row>
    <row r="24" spans="2:5" x14ac:dyDescent="0.35">
      <c r="B24" s="180" t="s">
        <v>460</v>
      </c>
      <c r="C24" s="175"/>
      <c r="D24" s="176">
        <v>121005</v>
      </c>
      <c r="E24" s="176">
        <v>118008</v>
      </c>
    </row>
    <row r="25" spans="2:5" x14ac:dyDescent="0.35">
      <c r="B25" s="180" t="s">
        <v>459</v>
      </c>
      <c r="C25" s="175"/>
      <c r="D25" s="176">
        <v>12065</v>
      </c>
      <c r="E25" s="176">
        <v>11570</v>
      </c>
    </row>
    <row r="26" spans="2:5" x14ac:dyDescent="0.35">
      <c r="B26" s="180" t="s">
        <v>458</v>
      </c>
      <c r="C26" s="175"/>
      <c r="D26" s="177">
        <v>12.12</v>
      </c>
      <c r="E26" s="175"/>
    </row>
    <row r="27" spans="2:5" x14ac:dyDescent="0.35">
      <c r="B27" s="180" t="s">
        <v>457</v>
      </c>
      <c r="C27" s="175"/>
      <c r="D27" s="178">
        <f t="shared" ref="D27:E29" si="1">D23*$D$26</f>
        <v>636384.84</v>
      </c>
      <c r="E27" s="178">
        <f t="shared" si="1"/>
        <v>728618.03999999992</v>
      </c>
    </row>
    <row r="28" spans="2:5" x14ac:dyDescent="0.35">
      <c r="B28" s="180" t="s">
        <v>456</v>
      </c>
      <c r="C28" s="175"/>
      <c r="D28" s="178">
        <f t="shared" si="1"/>
        <v>1466580.5999999999</v>
      </c>
      <c r="E28" s="178">
        <f t="shared" si="1"/>
        <v>1430256.96</v>
      </c>
    </row>
    <row r="29" spans="2:5" x14ac:dyDescent="0.35">
      <c r="B29" s="180" t="s">
        <v>455</v>
      </c>
      <c r="C29" s="175"/>
      <c r="D29" s="178">
        <f t="shared" si="1"/>
        <v>146227.79999999999</v>
      </c>
      <c r="E29" s="178">
        <f t="shared" si="1"/>
        <v>140228.4</v>
      </c>
    </row>
    <row r="30" spans="2:5" x14ac:dyDescent="0.35">
      <c r="B30" s="181"/>
      <c r="C30" s="175"/>
      <c r="D30" s="175"/>
      <c r="E30" s="175"/>
    </row>
    <row r="31" spans="2:5" x14ac:dyDescent="0.35">
      <c r="B31" s="182" t="s">
        <v>454</v>
      </c>
      <c r="C31" s="175"/>
      <c r="D31" s="175"/>
      <c r="E31" s="175"/>
    </row>
    <row r="32" spans="2:5" x14ac:dyDescent="0.35">
      <c r="B32" s="180" t="s">
        <v>453</v>
      </c>
      <c r="C32" s="175"/>
      <c r="D32" s="179">
        <f>'Profit Ratios'!F17*'Growth Trends'!F19/D27</f>
        <v>0.18831774810977578</v>
      </c>
      <c r="E32" s="179">
        <f>'Profit Ratios'!G17*'Growth Trends'!G19/E27</f>
        <v>0.18011544155563314</v>
      </c>
    </row>
    <row r="33" spans="2:7" x14ac:dyDescent="0.35">
      <c r="B33" s="180" t="s">
        <v>452</v>
      </c>
      <c r="C33" s="175"/>
      <c r="D33" s="179">
        <f>'Profit Ratios'!F15*'Growth Trends'!F19/D28</f>
        <v>0.10889632659807444</v>
      </c>
      <c r="E33" s="179">
        <f>'Profit Ratios'!G15*'Growth Trends'!G19/E28</f>
        <v>0.11925462680496209</v>
      </c>
    </row>
    <row r="34" spans="2:7" x14ac:dyDescent="0.35">
      <c r="B34" s="180" t="s">
        <v>451</v>
      </c>
      <c r="C34" s="175"/>
      <c r="D34" s="179">
        <f>'Profit Ratios'!F15</f>
        <v>0.12625154496938801</v>
      </c>
      <c r="E34" s="179">
        <f>'Profit Ratios'!G15</f>
        <v>0.120523097477005</v>
      </c>
    </row>
    <row r="35" spans="2:7" x14ac:dyDescent="0.35">
      <c r="B35" s="180" t="s">
        <v>450</v>
      </c>
      <c r="C35" s="175"/>
      <c r="D35" s="179">
        <f>('Profit Ratios'!F15*'Growth Trends'!F19+D29)/'Growth Trends'!F19</f>
        <v>0.2418487894146841</v>
      </c>
      <c r="E35" s="179">
        <f>('Profit Ratios'!G15*'Growth Trends'!G19+E29)/'Growth Trends'!G19</f>
        <v>0.21961016049192372</v>
      </c>
    </row>
    <row r="38" spans="2:7" x14ac:dyDescent="0.35">
      <c r="B38" s="123" t="s">
        <v>442</v>
      </c>
    </row>
    <row r="39" spans="2:7" ht="29" x14ac:dyDescent="0.35">
      <c r="B39" s="122" t="s">
        <v>441</v>
      </c>
      <c r="C39" s="130" t="s">
        <v>43</v>
      </c>
      <c r="D39" s="122" t="s">
        <v>79</v>
      </c>
      <c r="E39" s="122" t="s">
        <v>440</v>
      </c>
    </row>
    <row r="40" spans="2:7" x14ac:dyDescent="0.35">
      <c r="B40" s="121" t="s">
        <v>449</v>
      </c>
      <c r="C40" s="179">
        <f>E15</f>
        <v>0.17499688861232074</v>
      </c>
      <c r="D40" s="179">
        <f>E32</f>
        <v>0.18011544155563314</v>
      </c>
      <c r="E40" s="121" t="str">
        <f>IF(C40&gt;D40,"SIA","Cathay")</f>
        <v>Cathay</v>
      </c>
    </row>
    <row r="41" spans="2:7" x14ac:dyDescent="0.35">
      <c r="B41" s="121" t="s">
        <v>448</v>
      </c>
      <c r="C41" s="179">
        <f>E16</f>
        <v>5.8668046589825947E-2</v>
      </c>
      <c r="D41" s="179">
        <f>E33</f>
        <v>0.11925462680496209</v>
      </c>
      <c r="E41" s="121" t="str">
        <f>IF(C41&gt;D41,"SIA","Cathay")</f>
        <v>Cathay</v>
      </c>
    </row>
    <row r="42" spans="2:7" x14ac:dyDescent="0.35">
      <c r="B42" s="121" t="s">
        <v>447</v>
      </c>
      <c r="C42" s="179">
        <f>E17</f>
        <v>8.7467626733171905E-2</v>
      </c>
      <c r="D42" s="179">
        <f>E34</f>
        <v>0.120523097477005</v>
      </c>
      <c r="E42" s="121" t="str">
        <f>IF(C42&gt;D42,"SIA","Cathay")</f>
        <v>Cathay</v>
      </c>
    </row>
    <row r="43" spans="2:7" x14ac:dyDescent="0.35">
      <c r="B43" s="121" t="s">
        <v>446</v>
      </c>
      <c r="C43" s="179">
        <f>E18</f>
        <v>0.20932148398861977</v>
      </c>
      <c r="D43" s="179">
        <f>E35</f>
        <v>0.21961016049192372</v>
      </c>
      <c r="E43" s="121" t="str">
        <f>IF(C43&gt;D43,"SIA","Cathay")</f>
        <v>Cathay</v>
      </c>
    </row>
    <row r="45" spans="2:7" x14ac:dyDescent="0.35">
      <c r="B45" s="266"/>
      <c r="C45" s="266"/>
      <c r="D45" s="266"/>
      <c r="E45" s="266"/>
      <c r="F45" s="266"/>
      <c r="G45" s="266"/>
    </row>
    <row r="46" spans="2:7" x14ac:dyDescent="0.35">
      <c r="B46" s="266"/>
      <c r="C46" s="266"/>
      <c r="D46" s="266"/>
      <c r="E46" s="266"/>
      <c r="F46" s="266"/>
      <c r="G46" s="266"/>
    </row>
    <row r="47" spans="2:7" x14ac:dyDescent="0.35">
      <c r="B47" s="266"/>
      <c r="C47" s="266"/>
      <c r="D47" s="266"/>
      <c r="E47" s="266"/>
      <c r="F47" s="266"/>
      <c r="G47" s="266"/>
    </row>
    <row r="48" spans="2:7" x14ac:dyDescent="0.35">
      <c r="B48" s="267"/>
      <c r="C48" s="266"/>
      <c r="D48" s="266"/>
      <c r="E48" s="266"/>
      <c r="F48" s="266"/>
      <c r="G48" s="266"/>
    </row>
    <row r="49" spans="2:7" x14ac:dyDescent="0.35">
      <c r="B49" s="266"/>
      <c r="C49" s="266"/>
      <c r="D49" s="266"/>
      <c r="E49" s="266"/>
      <c r="F49" s="266"/>
      <c r="G49" s="266"/>
    </row>
    <row r="50" spans="2:7" x14ac:dyDescent="0.35">
      <c r="B50" s="266"/>
      <c r="C50" s="266"/>
      <c r="D50" s="266"/>
      <c r="E50" s="266"/>
      <c r="F50" s="266"/>
      <c r="G50" s="266"/>
    </row>
    <row r="51" spans="2:7" x14ac:dyDescent="0.35">
      <c r="B51" s="266"/>
      <c r="C51" s="266"/>
      <c r="D51" s="266"/>
      <c r="E51" s="266"/>
      <c r="F51" s="266"/>
      <c r="G51" s="266"/>
    </row>
    <row r="52" spans="2:7" x14ac:dyDescent="0.35">
      <c r="B52" s="266"/>
      <c r="C52" s="266"/>
      <c r="D52" s="266"/>
      <c r="E52" s="266"/>
      <c r="F52" s="266"/>
      <c r="G52" s="266"/>
    </row>
  </sheetData>
  <mergeCells count="8">
    <mergeCell ref="B50:G50"/>
    <mergeCell ref="B51:G51"/>
    <mergeCell ref="B52:G52"/>
    <mergeCell ref="B45:G45"/>
    <mergeCell ref="B46:G46"/>
    <mergeCell ref="B47:G47"/>
    <mergeCell ref="B48:G48"/>
    <mergeCell ref="B49:G49"/>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17FFE-8F22-4DC6-9CA0-CE200E4443A0}">
  <dimension ref="A1:G20"/>
  <sheetViews>
    <sheetView workbookViewId="0">
      <selection activeCell="I18" sqref="I18"/>
    </sheetView>
  </sheetViews>
  <sheetFormatPr defaultRowHeight="14.5" x14ac:dyDescent="0.35"/>
  <cols>
    <col min="1" max="1" width="8.7265625" customWidth="1"/>
    <col min="2" max="2" width="19.7265625" customWidth="1"/>
    <col min="3" max="3" width="16.1796875" customWidth="1"/>
    <col min="4" max="4" width="17.6328125" customWidth="1"/>
    <col min="5" max="5" width="25.81640625" customWidth="1"/>
    <col min="6" max="6" width="19.1796875" customWidth="1"/>
    <col min="7" max="7" width="18.90625" customWidth="1"/>
  </cols>
  <sheetData>
    <row r="1" spans="1:7" ht="23.5" x14ac:dyDescent="0.35">
      <c r="A1" s="133" t="s">
        <v>477</v>
      </c>
    </row>
    <row r="2" spans="1:7" ht="40" customHeight="1" x14ac:dyDescent="0.35">
      <c r="A2" s="144" t="s">
        <v>476</v>
      </c>
    </row>
    <row r="4" spans="1:7" ht="15.5" x14ac:dyDescent="0.35">
      <c r="B4" s="268" t="s">
        <v>130</v>
      </c>
      <c r="C4" s="268"/>
      <c r="D4" s="268"/>
      <c r="E4" s="268"/>
      <c r="F4" s="268"/>
      <c r="G4" s="268"/>
    </row>
    <row r="5" spans="1:7" x14ac:dyDescent="0.35">
      <c r="B5" s="135" t="s">
        <v>114</v>
      </c>
      <c r="C5" s="135" t="s">
        <v>115</v>
      </c>
      <c r="D5" s="135" t="s">
        <v>116</v>
      </c>
      <c r="E5" s="135" t="s">
        <v>117</v>
      </c>
      <c r="F5" s="135" t="s">
        <v>118</v>
      </c>
      <c r="G5" s="135" t="s">
        <v>119</v>
      </c>
    </row>
    <row r="6" spans="1:7" x14ac:dyDescent="0.35">
      <c r="B6" s="136" t="s">
        <v>436</v>
      </c>
      <c r="C6" s="137">
        <v>1.6584291749315401</v>
      </c>
      <c r="D6" s="137">
        <v>1.0800677715973099</v>
      </c>
      <c r="E6" s="137">
        <v>0.84854400989936096</v>
      </c>
      <c r="F6" s="137">
        <v>0.85654325490200101</v>
      </c>
      <c r="G6" s="137">
        <v>0.91253237326682801</v>
      </c>
    </row>
    <row r="7" spans="1:7" x14ac:dyDescent="0.35">
      <c r="B7" s="138" t="s">
        <v>469</v>
      </c>
      <c r="C7" s="139"/>
      <c r="D7" s="139">
        <v>-57.8361403334237</v>
      </c>
      <c r="E7" s="139">
        <v>-23.152376169794501</v>
      </c>
      <c r="F7" s="140">
        <v>0.79992450026392703</v>
      </c>
      <c r="G7" s="140">
        <v>5.5989118364827597</v>
      </c>
    </row>
    <row r="8" spans="1:7" ht="28" x14ac:dyDescent="0.35">
      <c r="B8" s="136" t="s">
        <v>470</v>
      </c>
      <c r="C8" s="141">
        <v>-0.65842917493154396</v>
      </c>
      <c r="D8" s="141">
        <v>-8.0067771597306298E-2</v>
      </c>
      <c r="E8" s="137">
        <v>0.15145599010063901</v>
      </c>
      <c r="F8" s="137">
        <v>0.14345674509799899</v>
      </c>
      <c r="G8" s="137">
        <v>8.7467626733171905E-2</v>
      </c>
    </row>
    <row r="10" spans="1:7" ht="15.5" x14ac:dyDescent="0.35">
      <c r="B10" s="269" t="s">
        <v>135</v>
      </c>
      <c r="C10" s="269"/>
      <c r="D10" s="269"/>
      <c r="E10" s="269"/>
      <c r="F10" s="269"/>
      <c r="G10" s="269"/>
    </row>
    <row r="11" spans="1:7" x14ac:dyDescent="0.35">
      <c r="B11" s="135" t="s">
        <v>114</v>
      </c>
      <c r="C11" s="135" t="s">
        <v>115</v>
      </c>
      <c r="D11" s="135" t="s">
        <v>116</v>
      </c>
      <c r="E11" s="135" t="s">
        <v>117</v>
      </c>
      <c r="F11" s="135" t="s">
        <v>118</v>
      </c>
      <c r="G11" s="135" t="s">
        <v>119</v>
      </c>
    </row>
    <row r="12" spans="1:7" x14ac:dyDescent="0.35">
      <c r="B12" s="136" t="s">
        <v>436</v>
      </c>
      <c r="C12" s="137">
        <v>1.0098712352205701</v>
      </c>
      <c r="D12" s="137">
        <v>0.93198918410533804</v>
      </c>
      <c r="E12" s="137">
        <v>0.86242260676297799</v>
      </c>
      <c r="F12" s="137">
        <v>0.87374845503061205</v>
      </c>
      <c r="G12" s="137">
        <v>0.87947690252299504</v>
      </c>
    </row>
    <row r="13" spans="1:7" x14ac:dyDescent="0.35">
      <c r="B13" s="138" t="s">
        <v>469</v>
      </c>
      <c r="C13" s="139"/>
      <c r="D13" s="139">
        <v>-7.7882051115229602</v>
      </c>
      <c r="E13" s="139">
        <v>-6.9566577342359404</v>
      </c>
      <c r="F13" s="140">
        <v>1.13258482676337</v>
      </c>
      <c r="G13" s="140">
        <v>0.572844749238277</v>
      </c>
    </row>
    <row r="14" spans="1:7" ht="28" x14ac:dyDescent="0.35">
      <c r="B14" s="136" t="s">
        <v>470</v>
      </c>
      <c r="C14" s="141">
        <v>-9.8712352205672701E-3</v>
      </c>
      <c r="D14" s="137">
        <v>6.8010815894662402E-2</v>
      </c>
      <c r="E14" s="137">
        <v>0.13757739323702201</v>
      </c>
      <c r="F14" s="137">
        <v>0.12625154496938801</v>
      </c>
      <c r="G14" s="137">
        <v>0.120523097477005</v>
      </c>
    </row>
    <row r="16" spans="1:7" ht="15.5" x14ac:dyDescent="0.35">
      <c r="B16" s="257" t="s">
        <v>471</v>
      </c>
      <c r="C16" s="257"/>
      <c r="D16" s="257"/>
      <c r="E16" s="257"/>
      <c r="F16" s="257"/>
      <c r="G16" s="257"/>
    </row>
    <row r="17" spans="2:7" x14ac:dyDescent="0.35">
      <c r="B17" s="142" t="s">
        <v>70</v>
      </c>
      <c r="C17" s="259" t="s">
        <v>472</v>
      </c>
      <c r="D17" s="259"/>
      <c r="E17" s="259"/>
      <c r="F17" s="259"/>
      <c r="G17" s="259"/>
    </row>
    <row r="18" spans="2:7" x14ac:dyDescent="0.35">
      <c r="B18" s="142" t="s">
        <v>70</v>
      </c>
      <c r="C18" s="259" t="s">
        <v>473</v>
      </c>
      <c r="D18" s="259"/>
      <c r="E18" s="259"/>
      <c r="F18" s="259"/>
      <c r="G18" s="259"/>
    </row>
    <row r="19" spans="2:7" x14ac:dyDescent="0.35">
      <c r="B19" s="142" t="s">
        <v>70</v>
      </c>
      <c r="C19" s="259" t="s">
        <v>474</v>
      </c>
      <c r="D19" s="259"/>
      <c r="E19" s="259"/>
      <c r="F19" s="259"/>
      <c r="G19" s="259"/>
    </row>
    <row r="20" spans="2:7" x14ac:dyDescent="0.35">
      <c r="B20" s="142" t="s">
        <v>70</v>
      </c>
      <c r="C20" s="259" t="s">
        <v>475</v>
      </c>
      <c r="D20" s="259"/>
      <c r="E20" s="259"/>
      <c r="F20" s="259"/>
      <c r="G20" s="259"/>
    </row>
  </sheetData>
  <mergeCells count="7">
    <mergeCell ref="C19:G19"/>
    <mergeCell ref="C20:G20"/>
    <mergeCell ref="B4:G4"/>
    <mergeCell ref="B10:G10"/>
    <mergeCell ref="B16:G16"/>
    <mergeCell ref="C17:G17"/>
    <mergeCell ref="C18:G18"/>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79AB0-D123-417B-8018-D60B101E0A4E}">
  <dimension ref="A1:H33"/>
  <sheetViews>
    <sheetView zoomScale="77" workbookViewId="0">
      <selection activeCell="L30" sqref="L30"/>
    </sheetView>
  </sheetViews>
  <sheetFormatPr defaultRowHeight="14.5" x14ac:dyDescent="0.35"/>
  <cols>
    <col min="1" max="1" width="21.54296875" customWidth="1"/>
    <col min="2" max="2" width="28.1796875" customWidth="1"/>
    <col min="3" max="3" width="16.90625" customWidth="1"/>
    <col min="4" max="4" width="16" customWidth="1"/>
    <col min="5" max="5" width="18.6328125" customWidth="1"/>
    <col min="6" max="6" width="13.453125" customWidth="1"/>
    <col min="7" max="7" width="15.7265625" customWidth="1"/>
    <col min="8" max="8" width="14.90625" customWidth="1"/>
  </cols>
  <sheetData>
    <row r="1" spans="1:8" ht="43.5" customHeight="1" x14ac:dyDescent="0.35">
      <c r="A1" s="134" t="s">
        <v>513</v>
      </c>
      <c r="B1" s="235"/>
      <c r="C1" s="235"/>
      <c r="D1" s="235"/>
      <c r="E1" s="235"/>
      <c r="F1" s="235"/>
      <c r="G1" s="235"/>
      <c r="H1" s="235"/>
    </row>
    <row r="2" spans="1:8" ht="84.5" customHeight="1" x14ac:dyDescent="0.35">
      <c r="A2" s="145" t="s">
        <v>512</v>
      </c>
      <c r="B2" s="235"/>
      <c r="C2" s="235"/>
      <c r="D2" s="235"/>
      <c r="E2" s="235"/>
      <c r="F2" s="235"/>
      <c r="G2" s="235"/>
      <c r="H2" s="235"/>
    </row>
    <row r="4" spans="1:8" ht="23.5" customHeight="1" x14ac:dyDescent="0.35">
      <c r="B4" s="268" t="s">
        <v>130</v>
      </c>
      <c r="C4" s="268"/>
      <c r="D4" s="268"/>
      <c r="E4" s="268"/>
      <c r="F4" s="268"/>
      <c r="G4" s="268"/>
      <c r="H4" s="268"/>
    </row>
    <row r="5" spans="1:8" ht="23.5" customHeight="1" x14ac:dyDescent="0.35">
      <c r="B5" s="135" t="s">
        <v>511</v>
      </c>
      <c r="C5" s="135" t="s">
        <v>115</v>
      </c>
      <c r="D5" s="135" t="s">
        <v>116</v>
      </c>
      <c r="E5" s="135" t="s">
        <v>117</v>
      </c>
      <c r="F5" s="135" t="s">
        <v>118</v>
      </c>
      <c r="G5" s="135" t="s">
        <v>119</v>
      </c>
      <c r="H5" s="135" t="s">
        <v>510</v>
      </c>
    </row>
    <row r="6" spans="1:8" ht="23.5" customHeight="1" x14ac:dyDescent="0.35">
      <c r="B6" s="148" t="s">
        <v>509</v>
      </c>
      <c r="C6" s="162">
        <v>284093.76</v>
      </c>
      <c r="D6" s="162">
        <v>566921.86</v>
      </c>
      <c r="E6" s="162">
        <v>1323333.8600000001</v>
      </c>
      <c r="F6" s="162">
        <v>1415495.52</v>
      </c>
      <c r="G6" s="162">
        <v>1454738.11</v>
      </c>
      <c r="H6" s="167">
        <v>0.50428727024206899</v>
      </c>
    </row>
    <row r="7" spans="1:8" ht="23.5" customHeight="1" x14ac:dyDescent="0.35">
      <c r="B7" s="168" t="s">
        <v>504</v>
      </c>
      <c r="C7" s="137"/>
      <c r="D7" s="137">
        <v>0.99554492150760399</v>
      </c>
      <c r="E7" s="137">
        <v>1.33424384094133</v>
      </c>
      <c r="F7" s="137">
        <v>6.9643544071334995E-2</v>
      </c>
      <c r="G7" s="137">
        <v>2.7723570612219299E-2</v>
      </c>
      <c r="H7" s="164"/>
    </row>
    <row r="8" spans="1:8" ht="23.5" customHeight="1" x14ac:dyDescent="0.35">
      <c r="B8" s="169" t="s">
        <v>503</v>
      </c>
      <c r="C8" s="160">
        <v>100</v>
      </c>
      <c r="D8" s="160">
        <v>199.55449215076001</v>
      </c>
      <c r="E8" s="160">
        <v>465.80884423508599</v>
      </c>
      <c r="F8" s="160">
        <v>498.24942300739002</v>
      </c>
      <c r="G8" s="160">
        <v>512.06267606863298</v>
      </c>
      <c r="H8" s="165"/>
    </row>
    <row r="9" spans="1:8" ht="31.5" customHeight="1" x14ac:dyDescent="0.35">
      <c r="B9" s="150" t="s">
        <v>508</v>
      </c>
      <c r="C9" s="159">
        <v>-187055.62</v>
      </c>
      <c r="D9" s="159">
        <v>-45392.17</v>
      </c>
      <c r="E9" s="158">
        <v>200426.84</v>
      </c>
      <c r="F9" s="158">
        <v>203062.38</v>
      </c>
      <c r="G9" s="158">
        <v>127242.49</v>
      </c>
      <c r="H9" s="164" t="s">
        <v>506</v>
      </c>
    </row>
    <row r="10" spans="1:8" ht="23.5" customHeight="1" x14ac:dyDescent="0.35">
      <c r="B10" s="169" t="s">
        <v>504</v>
      </c>
      <c r="C10" s="156"/>
      <c r="D10" s="156" t="s">
        <v>506</v>
      </c>
      <c r="E10" s="156" t="s">
        <v>506</v>
      </c>
      <c r="F10" s="156">
        <v>1.3149636046749199E-2</v>
      </c>
      <c r="G10" s="156">
        <v>-0.37338225820065801</v>
      </c>
      <c r="H10" s="165"/>
    </row>
    <row r="11" spans="1:8" ht="26.5" customHeight="1" x14ac:dyDescent="0.35">
      <c r="B11" s="150" t="s">
        <v>507</v>
      </c>
      <c r="C11" s="158"/>
      <c r="D11" s="158"/>
      <c r="E11" s="158">
        <v>165197.10999999999</v>
      </c>
      <c r="F11" s="158">
        <v>200650.2</v>
      </c>
      <c r="G11" s="158">
        <v>209368.29</v>
      </c>
      <c r="H11" s="164" t="s">
        <v>506</v>
      </c>
    </row>
    <row r="12" spans="1:8" ht="23.5" customHeight="1" x14ac:dyDescent="0.35">
      <c r="B12" s="169" t="s">
        <v>504</v>
      </c>
      <c r="C12" s="156"/>
      <c r="D12" s="156" t="s">
        <v>506</v>
      </c>
      <c r="E12" s="156" t="s">
        <v>506</v>
      </c>
      <c r="F12" s="156">
        <v>0.214610836715001</v>
      </c>
      <c r="G12" s="156">
        <v>4.3449196661652902E-2</v>
      </c>
      <c r="H12" s="165"/>
    </row>
    <row r="13" spans="1:8" ht="23.5" customHeight="1" x14ac:dyDescent="0.35">
      <c r="B13" s="150" t="s">
        <v>505</v>
      </c>
      <c r="C13" s="158">
        <v>2797927.79</v>
      </c>
      <c r="D13" s="158">
        <v>3623555.95</v>
      </c>
      <c r="E13" s="158">
        <v>3655584.34</v>
      </c>
      <c r="F13" s="158">
        <v>3295506.92</v>
      </c>
      <c r="G13" s="158">
        <v>3207812.26</v>
      </c>
      <c r="H13" s="166">
        <v>3.4768287057914002E-2</v>
      </c>
    </row>
    <row r="14" spans="1:8" ht="23.5" customHeight="1" x14ac:dyDescent="0.35">
      <c r="B14" s="169" t="s">
        <v>504</v>
      </c>
      <c r="C14" s="156"/>
      <c r="D14" s="156">
        <v>0.29508558546466301</v>
      </c>
      <c r="E14" s="156">
        <v>8.8389389985822301E-3</v>
      </c>
      <c r="F14" s="156">
        <v>-9.8500646274242404E-2</v>
      </c>
      <c r="G14" s="156">
        <v>-2.6610370461610199E-2</v>
      </c>
      <c r="H14" s="165"/>
    </row>
    <row r="15" spans="1:8" ht="23.5" customHeight="1" x14ac:dyDescent="0.35">
      <c r="B15" s="168" t="s">
        <v>503</v>
      </c>
      <c r="C15" s="153">
        <v>100</v>
      </c>
      <c r="D15" s="153">
        <v>129.50855854646599</v>
      </c>
      <c r="E15" s="153">
        <v>130.65327679525299</v>
      </c>
      <c r="F15" s="153">
        <v>117.783844593073</v>
      </c>
      <c r="G15" s="153">
        <v>114.649572854059</v>
      </c>
      <c r="H15" s="164"/>
    </row>
    <row r="17" spans="2:8" ht="15.5" x14ac:dyDescent="0.35">
      <c r="B17" s="269" t="s">
        <v>135</v>
      </c>
      <c r="C17" s="269"/>
      <c r="D17" s="269"/>
      <c r="E17" s="269"/>
      <c r="F17" s="269"/>
      <c r="G17" s="269"/>
      <c r="H17" s="269"/>
    </row>
    <row r="18" spans="2:8" x14ac:dyDescent="0.35">
      <c r="B18" s="135" t="s">
        <v>511</v>
      </c>
      <c r="C18" s="135" t="s">
        <v>115</v>
      </c>
      <c r="D18" s="135" t="s">
        <v>116</v>
      </c>
      <c r="E18" s="135" t="s">
        <v>117</v>
      </c>
      <c r="F18" s="135" t="s">
        <v>118</v>
      </c>
      <c r="G18" s="135" t="s">
        <v>119</v>
      </c>
      <c r="H18" s="135" t="s">
        <v>510</v>
      </c>
    </row>
    <row r="19" spans="2:8" x14ac:dyDescent="0.35">
      <c r="B19" s="163" t="s">
        <v>509</v>
      </c>
      <c r="C19" s="162">
        <v>552514.43999999994</v>
      </c>
      <c r="D19" s="162">
        <v>618556.31999999995</v>
      </c>
      <c r="E19" s="162">
        <v>1145158.2</v>
      </c>
      <c r="F19" s="162">
        <v>1264976.52</v>
      </c>
      <c r="G19" s="162">
        <v>1415203.92</v>
      </c>
      <c r="H19" s="161">
        <v>0.26508249816384799</v>
      </c>
    </row>
    <row r="20" spans="2:8" x14ac:dyDescent="0.35">
      <c r="B20" s="154" t="s">
        <v>504</v>
      </c>
      <c r="C20" s="137"/>
      <c r="D20" s="137">
        <v>0.119529690481936</v>
      </c>
      <c r="E20" s="137">
        <v>0.85134023042558205</v>
      </c>
      <c r="F20" s="137">
        <v>0.104630364608139</v>
      </c>
      <c r="G20" s="137">
        <v>0.118759042262697</v>
      </c>
      <c r="H20" s="152"/>
    </row>
    <row r="21" spans="2:8" x14ac:dyDescent="0.35">
      <c r="B21" s="138" t="s">
        <v>503</v>
      </c>
      <c r="C21" s="160">
        <v>100</v>
      </c>
      <c r="D21" s="160">
        <v>111.95296904819401</v>
      </c>
      <c r="E21" s="160">
        <v>207.26303551451099</v>
      </c>
      <c r="F21" s="160">
        <v>228.94904249018401</v>
      </c>
      <c r="G21" s="160">
        <v>256.13881150327899</v>
      </c>
      <c r="H21" s="155"/>
    </row>
    <row r="22" spans="2:8" ht="34" customHeight="1" x14ac:dyDescent="0.35">
      <c r="B22" s="136" t="s">
        <v>508</v>
      </c>
      <c r="C22" s="159">
        <v>-5454</v>
      </c>
      <c r="D22" s="158">
        <v>42068.519999999902</v>
      </c>
      <c r="E22" s="158">
        <v>157547.88</v>
      </c>
      <c r="F22" s="158">
        <v>159705.24</v>
      </c>
      <c r="G22" s="158">
        <v>170564.76</v>
      </c>
      <c r="H22" s="152" t="s">
        <v>506</v>
      </c>
    </row>
    <row r="23" spans="2:8" x14ac:dyDescent="0.35">
      <c r="B23" s="138" t="s">
        <v>504</v>
      </c>
      <c r="C23" s="156"/>
      <c r="D23" s="156" t="s">
        <v>506</v>
      </c>
      <c r="E23" s="156">
        <v>2.7450302506482398</v>
      </c>
      <c r="F23" s="156">
        <v>1.36933610277713E-2</v>
      </c>
      <c r="G23" s="156">
        <v>6.7997267966912203E-2</v>
      </c>
      <c r="H23" s="155"/>
    </row>
    <row r="24" spans="2:8" ht="27.5" customHeight="1" x14ac:dyDescent="0.35">
      <c r="B24" s="136" t="s">
        <v>507</v>
      </c>
      <c r="C24" s="159">
        <v>-66975.12</v>
      </c>
      <c r="D24" s="159">
        <v>-80258.64</v>
      </c>
      <c r="E24" s="158">
        <v>118654.8</v>
      </c>
      <c r="F24" s="158">
        <v>119842.56</v>
      </c>
      <c r="G24" s="158">
        <v>131235.35999999999</v>
      </c>
      <c r="H24" s="152" t="s">
        <v>506</v>
      </c>
    </row>
    <row r="25" spans="2:8" x14ac:dyDescent="0.35">
      <c r="B25" s="138" t="s">
        <v>504</v>
      </c>
      <c r="C25" s="156"/>
      <c r="D25" s="156" t="s">
        <v>506</v>
      </c>
      <c r="E25" s="156" t="s">
        <v>506</v>
      </c>
      <c r="F25" s="156">
        <v>1.00102145045965E-2</v>
      </c>
      <c r="G25" s="156">
        <v>9.5064724919093804E-2</v>
      </c>
      <c r="H25" s="155"/>
    </row>
    <row r="26" spans="2:8" ht="32" customHeight="1" x14ac:dyDescent="0.35">
      <c r="B26" s="136" t="s">
        <v>505</v>
      </c>
      <c r="C26" s="158">
        <v>2032887.62</v>
      </c>
      <c r="D26" s="158">
        <v>1873485.36</v>
      </c>
      <c r="E26" s="158">
        <v>1834555.92</v>
      </c>
      <c r="F26" s="158">
        <v>1842215.76</v>
      </c>
      <c r="G26" s="158">
        <v>1872794.52</v>
      </c>
      <c r="H26" s="157">
        <v>-2.0297559953062601E-2</v>
      </c>
    </row>
    <row r="27" spans="2:8" x14ac:dyDescent="0.35">
      <c r="B27" s="138" t="s">
        <v>504</v>
      </c>
      <c r="C27" s="156"/>
      <c r="D27" s="156">
        <v>-7.8411742209340607E-2</v>
      </c>
      <c r="E27" s="156">
        <v>-2.0779153566484299E-2</v>
      </c>
      <c r="F27" s="156">
        <v>4.1753101753366504E-3</v>
      </c>
      <c r="G27" s="156">
        <v>1.6598902617139699E-2</v>
      </c>
      <c r="H27" s="155"/>
    </row>
    <row r="28" spans="2:8" ht="27" customHeight="1" x14ac:dyDescent="0.35">
      <c r="B28" s="154" t="s">
        <v>503</v>
      </c>
      <c r="C28" s="153">
        <v>100</v>
      </c>
      <c r="D28" s="153">
        <v>92.158825779065893</v>
      </c>
      <c r="E28" s="153">
        <v>90.243843385695897</v>
      </c>
      <c r="F28" s="153">
        <v>90.620639423245606</v>
      </c>
      <c r="G28" s="153">
        <v>92.124842592134996</v>
      </c>
      <c r="H28" s="152"/>
    </row>
    <row r="30" spans="2:8" ht="15.5" x14ac:dyDescent="0.35">
      <c r="B30" s="257" t="s">
        <v>502</v>
      </c>
      <c r="C30" s="257"/>
      <c r="D30" s="257"/>
      <c r="E30" s="257"/>
      <c r="F30" s="257"/>
      <c r="G30" s="257"/>
      <c r="H30" s="257"/>
    </row>
    <row r="31" spans="2:8" x14ac:dyDescent="0.35">
      <c r="B31" s="151" t="s">
        <v>70</v>
      </c>
      <c r="C31" s="259" t="s">
        <v>501</v>
      </c>
      <c r="D31" s="259"/>
      <c r="E31" s="259"/>
      <c r="F31" s="259"/>
      <c r="G31" s="259"/>
      <c r="H31" s="259"/>
    </row>
    <row r="32" spans="2:8" x14ac:dyDescent="0.35">
      <c r="B32" s="151" t="s">
        <v>70</v>
      </c>
      <c r="C32" s="259" t="s">
        <v>500</v>
      </c>
      <c r="D32" s="259"/>
      <c r="E32" s="259"/>
      <c r="F32" s="259"/>
      <c r="G32" s="259"/>
      <c r="H32" s="259"/>
    </row>
    <row r="33" spans="2:8" x14ac:dyDescent="0.35">
      <c r="B33" s="151" t="s">
        <v>70</v>
      </c>
      <c r="C33" s="259" t="s">
        <v>499</v>
      </c>
      <c r="D33" s="259"/>
      <c r="E33" s="259"/>
      <c r="F33" s="259"/>
      <c r="G33" s="259"/>
      <c r="H33" s="259"/>
    </row>
  </sheetData>
  <mergeCells count="8">
    <mergeCell ref="C31:H31"/>
    <mergeCell ref="C32:H32"/>
    <mergeCell ref="C33:H33"/>
    <mergeCell ref="B1:H1"/>
    <mergeCell ref="B2:H2"/>
    <mergeCell ref="B4:H4"/>
    <mergeCell ref="B17:H17"/>
    <mergeCell ref="B30:H30"/>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3BB7-57B1-40F2-8FE4-01CDC5465EFD}">
  <dimension ref="A1:C21"/>
  <sheetViews>
    <sheetView workbookViewId="0">
      <selection activeCell="A2" sqref="A2"/>
    </sheetView>
  </sheetViews>
  <sheetFormatPr defaultRowHeight="14.5" x14ac:dyDescent="0.35"/>
  <cols>
    <col min="1" max="1" width="24.08984375" customWidth="1"/>
    <col min="2" max="2" width="25.7265625" customWidth="1"/>
    <col min="3" max="3" width="65.36328125" customWidth="1"/>
  </cols>
  <sheetData>
    <row r="1" spans="1:3" ht="45" customHeight="1" x14ac:dyDescent="0.35">
      <c r="A1" s="134" t="s">
        <v>498</v>
      </c>
      <c r="B1" s="235"/>
      <c r="C1" s="235"/>
    </row>
    <row r="2" spans="1:3" ht="52" customHeight="1" x14ac:dyDescent="0.35">
      <c r="A2" s="145" t="s">
        <v>497</v>
      </c>
      <c r="B2" s="235"/>
      <c r="C2" s="235"/>
    </row>
    <row r="4" spans="1:3" ht="15.5" x14ac:dyDescent="0.35">
      <c r="B4" s="257" t="s">
        <v>496</v>
      </c>
      <c r="C4" s="257"/>
    </row>
    <row r="5" spans="1:3" x14ac:dyDescent="0.35">
      <c r="B5" s="135" t="s">
        <v>414</v>
      </c>
      <c r="C5" s="135" t="s">
        <v>495</v>
      </c>
    </row>
    <row r="6" spans="1:3" x14ac:dyDescent="0.35">
      <c r="B6" s="150" t="s">
        <v>416</v>
      </c>
      <c r="C6" s="149" t="s">
        <v>494</v>
      </c>
    </row>
    <row r="7" spans="1:3" x14ac:dyDescent="0.35">
      <c r="B7" s="148" t="s">
        <v>418</v>
      </c>
      <c r="C7" s="147" t="s">
        <v>493</v>
      </c>
    </row>
    <row r="8" spans="1:3" ht="34.5" customHeight="1" x14ac:dyDescent="0.35">
      <c r="B8" s="150" t="s">
        <v>492</v>
      </c>
      <c r="C8" s="149" t="s">
        <v>491</v>
      </c>
    </row>
    <row r="9" spans="1:3" ht="34" customHeight="1" x14ac:dyDescent="0.35">
      <c r="B9" s="148" t="s">
        <v>490</v>
      </c>
      <c r="C9" s="147" t="s">
        <v>489</v>
      </c>
    </row>
    <row r="11" spans="1:3" ht="15.5" x14ac:dyDescent="0.35">
      <c r="B11" s="257" t="s">
        <v>488</v>
      </c>
      <c r="C11" s="257"/>
    </row>
    <row r="12" spans="1:3" ht="52" customHeight="1" x14ac:dyDescent="0.35">
      <c r="B12" s="146" t="s">
        <v>70</v>
      </c>
      <c r="C12" s="143" t="s">
        <v>487</v>
      </c>
    </row>
    <row r="13" spans="1:3" ht="45" customHeight="1" x14ac:dyDescent="0.35">
      <c r="B13" s="146" t="s">
        <v>70</v>
      </c>
      <c r="C13" s="143" t="s">
        <v>486</v>
      </c>
    </row>
    <row r="14" spans="1:3" ht="52" customHeight="1" x14ac:dyDescent="0.35">
      <c r="B14" s="146" t="s">
        <v>70</v>
      </c>
      <c r="C14" s="143" t="s">
        <v>485</v>
      </c>
    </row>
    <row r="15" spans="1:3" ht="33.5" customHeight="1" x14ac:dyDescent="0.35">
      <c r="B15" s="146" t="s">
        <v>70</v>
      </c>
      <c r="C15" s="143" t="s">
        <v>484</v>
      </c>
    </row>
    <row r="16" spans="1:3" ht="42.5" customHeight="1" x14ac:dyDescent="0.35">
      <c r="B16" s="146" t="s">
        <v>70</v>
      </c>
      <c r="C16" s="143" t="s">
        <v>483</v>
      </c>
    </row>
    <row r="17" spans="2:3" ht="58" customHeight="1" x14ac:dyDescent="0.35">
      <c r="B17" s="146" t="s">
        <v>70</v>
      </c>
      <c r="C17" s="143" t="s">
        <v>482</v>
      </c>
    </row>
    <row r="18" spans="2:3" ht="52" customHeight="1" x14ac:dyDescent="0.35">
      <c r="B18" s="146" t="s">
        <v>70</v>
      </c>
      <c r="C18" s="143" t="s">
        <v>481</v>
      </c>
    </row>
    <row r="19" spans="2:3" ht="52" customHeight="1" x14ac:dyDescent="0.35">
      <c r="B19" s="146" t="s">
        <v>70</v>
      </c>
      <c r="C19" s="143" t="s">
        <v>480</v>
      </c>
    </row>
    <row r="20" spans="2:3" ht="34.5" customHeight="1" x14ac:dyDescent="0.35">
      <c r="B20" s="146" t="s">
        <v>70</v>
      </c>
      <c r="C20" s="143" t="s">
        <v>479</v>
      </c>
    </row>
    <row r="21" spans="2:3" ht="40.5" customHeight="1" x14ac:dyDescent="0.35">
      <c r="B21" s="146" t="s">
        <v>70</v>
      </c>
      <c r="C21" s="143" t="s">
        <v>478</v>
      </c>
    </row>
  </sheetData>
  <mergeCells count="4">
    <mergeCell ref="B1:C1"/>
    <mergeCell ref="B2:C2"/>
    <mergeCell ref="B4:C4"/>
    <mergeCell ref="B11:C1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D8087-0447-4554-904B-CF84CDACB06F}">
  <dimension ref="A2:F11"/>
  <sheetViews>
    <sheetView workbookViewId="0">
      <selection activeCell="A19" sqref="A19"/>
    </sheetView>
  </sheetViews>
  <sheetFormatPr defaultRowHeight="14.5" x14ac:dyDescent="0.35"/>
  <cols>
    <col min="1" max="1" width="18.7265625" customWidth="1"/>
    <col min="2" max="2" width="20.1796875" customWidth="1"/>
    <col min="3" max="3" width="18.90625" customWidth="1"/>
    <col min="4" max="4" width="19.1796875" customWidth="1"/>
    <col min="5" max="5" width="16.81640625" customWidth="1"/>
    <col min="6" max="6" width="17.81640625" customWidth="1"/>
    <col min="7" max="7" width="15.08984375" customWidth="1"/>
  </cols>
  <sheetData>
    <row r="2" spans="1:6" ht="18" x14ac:dyDescent="0.35">
      <c r="A2" s="187" t="s">
        <v>528</v>
      </c>
    </row>
    <row r="3" spans="1:6" x14ac:dyDescent="0.35">
      <c r="A3" s="271" t="s">
        <v>529</v>
      </c>
      <c r="B3" s="271"/>
      <c r="C3" s="271"/>
      <c r="D3" s="271"/>
      <c r="E3" s="271"/>
    </row>
    <row r="4" spans="1:6" x14ac:dyDescent="0.35">
      <c r="A4" s="270" t="s">
        <v>3</v>
      </c>
      <c r="B4" s="270"/>
      <c r="C4" s="270"/>
      <c r="D4" s="270"/>
      <c r="E4" s="270"/>
    </row>
    <row r="6" spans="1:6" x14ac:dyDescent="0.35">
      <c r="A6" s="270" t="s">
        <v>530</v>
      </c>
      <c r="B6" s="270"/>
      <c r="C6" s="270"/>
      <c r="D6" s="270"/>
    </row>
    <row r="7" spans="1:6" x14ac:dyDescent="0.35">
      <c r="A7" s="270" t="s">
        <v>531</v>
      </c>
      <c r="B7" s="270"/>
      <c r="C7" s="270"/>
      <c r="D7" s="270"/>
    </row>
    <row r="8" spans="1:6" x14ac:dyDescent="0.35">
      <c r="A8" s="270" t="s">
        <v>532</v>
      </c>
      <c r="B8" s="270"/>
      <c r="C8" s="270"/>
      <c r="D8" s="270"/>
    </row>
    <row r="9" spans="1:6" x14ac:dyDescent="0.35">
      <c r="A9" s="212" t="s">
        <v>533</v>
      </c>
      <c r="B9" s="212"/>
      <c r="C9" s="212"/>
      <c r="D9" s="212"/>
      <c r="E9" s="212"/>
    </row>
    <row r="10" spans="1:6" x14ac:dyDescent="0.35">
      <c r="A10" s="270" t="s">
        <v>534</v>
      </c>
      <c r="B10" s="270"/>
      <c r="C10" s="270"/>
      <c r="D10" s="270"/>
      <c r="E10" s="270"/>
      <c r="F10" s="270"/>
    </row>
    <row r="11" spans="1:6" x14ac:dyDescent="0.35">
      <c r="A11" s="270" t="s">
        <v>535</v>
      </c>
      <c r="B11" s="270"/>
      <c r="C11" s="270"/>
      <c r="D11" s="270"/>
      <c r="E11" s="270"/>
      <c r="F11" s="270"/>
    </row>
  </sheetData>
  <mergeCells count="7">
    <mergeCell ref="A10:F10"/>
    <mergeCell ref="A11:F11"/>
    <mergeCell ref="A3:E3"/>
    <mergeCell ref="A4:E4"/>
    <mergeCell ref="A6:D6"/>
    <mergeCell ref="A7:D7"/>
    <mergeCell ref="A8:D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B2D7A-0946-4185-9318-F62A96FB0C7D}">
  <dimension ref="A1:D127"/>
  <sheetViews>
    <sheetView zoomScaleNormal="100" workbookViewId="0">
      <pane xSplit="1" ySplit="4" topLeftCell="B5" activePane="bottomRight" state="frozen"/>
      <selection pane="topRight" activeCell="B1" sqref="B1"/>
      <selection pane="bottomLeft" activeCell="A5" sqref="A5"/>
      <selection pane="bottomRight" activeCell="A101" sqref="A101"/>
    </sheetView>
  </sheetViews>
  <sheetFormatPr defaultColWidth="8.6328125" defaultRowHeight="14.5" x14ac:dyDescent="0.35"/>
  <cols>
    <col min="1" max="1" width="46" customWidth="1"/>
    <col min="2" max="4" width="16" customWidth="1"/>
  </cols>
  <sheetData>
    <row r="1" spans="1:4" ht="21.75" customHeight="1" x14ac:dyDescent="0.35">
      <c r="A1" s="273" t="s">
        <v>590</v>
      </c>
      <c r="B1" s="273"/>
      <c r="C1" s="273"/>
      <c r="D1" s="273"/>
    </row>
    <row r="2" spans="1:4" x14ac:dyDescent="0.35">
      <c r="A2" s="274" t="s">
        <v>589</v>
      </c>
      <c r="B2" s="274"/>
      <c r="C2" s="274"/>
      <c r="D2" s="274"/>
    </row>
    <row r="4" spans="1:4" x14ac:dyDescent="0.35">
      <c r="A4" s="188" t="s">
        <v>588</v>
      </c>
      <c r="B4" s="188" t="s">
        <v>587</v>
      </c>
      <c r="C4" s="188" t="s">
        <v>586</v>
      </c>
      <c r="D4" s="188" t="s">
        <v>585</v>
      </c>
    </row>
    <row r="5" spans="1:4" x14ac:dyDescent="0.35">
      <c r="A5" s="275" t="s">
        <v>584</v>
      </c>
      <c r="B5" s="275"/>
      <c r="C5" s="275"/>
      <c r="D5" s="275"/>
    </row>
    <row r="6" spans="1:4" x14ac:dyDescent="0.35">
      <c r="A6" s="189" t="s">
        <v>583</v>
      </c>
      <c r="B6" s="190">
        <v>2032</v>
      </c>
      <c r="C6" s="190">
        <v>3037.1</v>
      </c>
      <c r="D6" s="190">
        <v>2964.8</v>
      </c>
    </row>
    <row r="7" spans="1:4" x14ac:dyDescent="0.35">
      <c r="A7" s="191" t="s">
        <v>582</v>
      </c>
      <c r="B7" s="192"/>
      <c r="C7" s="192"/>
      <c r="D7" s="192"/>
    </row>
    <row r="8" spans="1:4" x14ac:dyDescent="0.35">
      <c r="A8" s="193" t="s">
        <v>581</v>
      </c>
      <c r="B8" s="190">
        <v>1895</v>
      </c>
      <c r="C8" s="190">
        <v>2109.6</v>
      </c>
      <c r="D8" s="190">
        <v>2308.1999999999998</v>
      </c>
    </row>
    <row r="9" spans="1:4" x14ac:dyDescent="0.35">
      <c r="A9" s="193" t="s">
        <v>580</v>
      </c>
      <c r="B9" s="190">
        <v>88</v>
      </c>
      <c r="C9" s="190">
        <v>76.2</v>
      </c>
      <c r="D9" s="190">
        <v>72.8</v>
      </c>
    </row>
    <row r="10" spans="1:4" x14ac:dyDescent="0.35">
      <c r="A10" s="193" t="s">
        <v>579</v>
      </c>
      <c r="B10" s="190">
        <v>568</v>
      </c>
      <c r="C10" s="190">
        <v>424.5</v>
      </c>
      <c r="D10" s="190">
        <v>395.5</v>
      </c>
    </row>
    <row r="11" spans="1:4" x14ac:dyDescent="0.35">
      <c r="A11" s="193" t="s">
        <v>578</v>
      </c>
      <c r="B11" s="190">
        <v>-198</v>
      </c>
      <c r="C11" s="190">
        <v>-631.70000000000005</v>
      </c>
      <c r="D11" s="190">
        <v>-492</v>
      </c>
    </row>
    <row r="12" spans="1:4" x14ac:dyDescent="0.35">
      <c r="A12" s="193" t="s">
        <v>577</v>
      </c>
      <c r="B12" s="190">
        <v>-125</v>
      </c>
      <c r="C12" s="190">
        <v>-943.6</v>
      </c>
      <c r="D12" s="190">
        <v>-1755.5</v>
      </c>
    </row>
    <row r="13" spans="1:4" x14ac:dyDescent="0.35">
      <c r="A13" s="183" t="s">
        <v>576</v>
      </c>
      <c r="B13" s="194">
        <f>B6+B7+B8+B9+B10+B11</f>
        <v>4385</v>
      </c>
      <c r="C13" s="194">
        <f>C6+C7+C8+C9+C10+C11</f>
        <v>5015.7</v>
      </c>
      <c r="D13" s="194">
        <f>D6+D7+D8+D9+D10+D11</f>
        <v>5249.3</v>
      </c>
    </row>
    <row r="14" spans="1:4" x14ac:dyDescent="0.35">
      <c r="A14" s="191" t="s">
        <v>575</v>
      </c>
      <c r="B14" s="192"/>
      <c r="C14" s="192"/>
      <c r="D14" s="192"/>
    </row>
    <row r="15" spans="1:4" x14ac:dyDescent="0.35">
      <c r="A15" s="193" t="s">
        <v>574</v>
      </c>
      <c r="B15" s="190">
        <v>280</v>
      </c>
      <c r="C15" s="190">
        <v>117.8</v>
      </c>
      <c r="D15" s="190">
        <v>70.2</v>
      </c>
    </row>
    <row r="16" spans="1:4" x14ac:dyDescent="0.35">
      <c r="A16" s="193" t="s">
        <v>573</v>
      </c>
      <c r="B16" s="190">
        <v>420</v>
      </c>
      <c r="C16" s="190">
        <v>81.8</v>
      </c>
      <c r="D16" s="190">
        <v>-180</v>
      </c>
    </row>
    <row r="17" spans="1:4" x14ac:dyDescent="0.35">
      <c r="A17" s="193" t="s">
        <v>572</v>
      </c>
      <c r="B17" s="190">
        <v>110</v>
      </c>
      <c r="C17" s="190">
        <v>161.69999999999999</v>
      </c>
      <c r="D17" s="190">
        <v>232.6</v>
      </c>
    </row>
    <row r="18" spans="1:4" x14ac:dyDescent="0.35">
      <c r="A18" s="193" t="s">
        <v>571</v>
      </c>
      <c r="B18" s="190">
        <v>-185</v>
      </c>
      <c r="C18" s="190">
        <v>-177.7</v>
      </c>
      <c r="D18" s="190">
        <v>168.8</v>
      </c>
    </row>
    <row r="19" spans="1:4" x14ac:dyDescent="0.35">
      <c r="A19" s="193" t="s">
        <v>570</v>
      </c>
      <c r="B19" s="190">
        <v>95</v>
      </c>
      <c r="C19" s="190">
        <v>-126.6</v>
      </c>
      <c r="D19" s="190">
        <v>57.2</v>
      </c>
    </row>
    <row r="20" spans="1:4" x14ac:dyDescent="0.35">
      <c r="A20" s="183" t="s">
        <v>569</v>
      </c>
      <c r="B20" s="194">
        <f>B12+B14+B15+B16+B17+B18</f>
        <v>500</v>
      </c>
      <c r="C20" s="194">
        <f>C12+C14+C15+C16+C17+C18</f>
        <v>-760.00000000000023</v>
      </c>
      <c r="D20" s="194">
        <f>D12+D14+D15+D16+D17+D18</f>
        <v>-1463.9</v>
      </c>
    </row>
    <row r="21" spans="1:4" x14ac:dyDescent="0.35">
      <c r="A21" s="193" t="s">
        <v>568</v>
      </c>
      <c r="B21" s="190">
        <v>-10.7</v>
      </c>
      <c r="C21" s="190">
        <v>-10.7</v>
      </c>
      <c r="D21" s="190">
        <v>-11.3</v>
      </c>
    </row>
    <row r="22" spans="1:4" x14ac:dyDescent="0.35">
      <c r="A22" s="193" t="s">
        <v>567</v>
      </c>
      <c r="B22" s="190">
        <v>0</v>
      </c>
      <c r="C22" s="190">
        <v>-25.4</v>
      </c>
      <c r="D22" s="190">
        <v>0</v>
      </c>
    </row>
    <row r="23" spans="1:4" x14ac:dyDescent="0.35">
      <c r="A23" s="186" t="s">
        <v>566</v>
      </c>
      <c r="B23" s="195">
        <v>4234</v>
      </c>
      <c r="C23" s="195">
        <v>5042.1000000000004</v>
      </c>
      <c r="D23" s="195">
        <v>4707.7</v>
      </c>
    </row>
    <row r="25" spans="1:4" x14ac:dyDescent="0.35">
      <c r="A25" s="275" t="s">
        <v>565</v>
      </c>
      <c r="B25" s="275"/>
      <c r="C25" s="275"/>
      <c r="D25" s="275"/>
    </row>
    <row r="26" spans="1:4" x14ac:dyDescent="0.35">
      <c r="A26" s="193" t="s">
        <v>564</v>
      </c>
      <c r="B26" s="190">
        <v>-1512</v>
      </c>
      <c r="C26" s="190">
        <v>-1231.3</v>
      </c>
      <c r="D26" s="190">
        <v>-1768</v>
      </c>
    </row>
    <row r="27" spans="1:4" x14ac:dyDescent="0.35">
      <c r="A27" s="193" t="s">
        <v>563</v>
      </c>
      <c r="B27" s="190">
        <v>-82</v>
      </c>
      <c r="C27" s="190">
        <v>-96</v>
      </c>
      <c r="D27" s="190">
        <v>-105.7</v>
      </c>
    </row>
    <row r="28" spans="1:4" x14ac:dyDescent="0.35">
      <c r="A28" s="193" t="s">
        <v>562</v>
      </c>
      <c r="B28" s="190">
        <v>124</v>
      </c>
      <c r="C28" s="190">
        <v>96.4</v>
      </c>
      <c r="D28" s="190">
        <v>0.9</v>
      </c>
    </row>
    <row r="29" spans="1:4" x14ac:dyDescent="0.35">
      <c r="A29" s="193" t="s">
        <v>561</v>
      </c>
      <c r="B29" s="190">
        <v>-360</v>
      </c>
      <c r="C29" s="190">
        <v>-3</v>
      </c>
      <c r="D29" s="190">
        <v>-1006.8</v>
      </c>
    </row>
    <row r="30" spans="1:4" x14ac:dyDescent="0.35">
      <c r="A30" s="193" t="s">
        <v>560</v>
      </c>
      <c r="B30" s="190">
        <v>-580</v>
      </c>
      <c r="C30" s="190">
        <v>-805.2</v>
      </c>
      <c r="D30" s="190">
        <v>-973.2</v>
      </c>
    </row>
    <row r="31" spans="1:4" x14ac:dyDescent="0.35">
      <c r="A31" s="193" t="s">
        <v>559</v>
      </c>
      <c r="B31" s="190">
        <v>120</v>
      </c>
      <c r="C31" s="190">
        <v>617</v>
      </c>
      <c r="D31" s="190">
        <v>480.8</v>
      </c>
    </row>
    <row r="32" spans="1:4" x14ac:dyDescent="0.35">
      <c r="A32" s="193" t="s">
        <v>558</v>
      </c>
      <c r="B32" s="190">
        <v>-45</v>
      </c>
      <c r="C32" s="190">
        <v>-112.2</v>
      </c>
      <c r="D32" s="190">
        <v>-2.7</v>
      </c>
    </row>
    <row r="33" spans="1:4" x14ac:dyDescent="0.35">
      <c r="A33" s="193" t="s">
        <v>557</v>
      </c>
      <c r="B33" s="190">
        <v>30</v>
      </c>
      <c r="C33" s="190">
        <v>44.1</v>
      </c>
      <c r="D33" s="190">
        <v>50</v>
      </c>
    </row>
    <row r="34" spans="1:4" x14ac:dyDescent="0.35">
      <c r="A34" s="193" t="s">
        <v>556</v>
      </c>
      <c r="B34" s="190">
        <v>15</v>
      </c>
      <c r="C34" s="190">
        <v>53.9</v>
      </c>
      <c r="D34" s="190">
        <v>23</v>
      </c>
    </row>
    <row r="35" spans="1:4" x14ac:dyDescent="0.35">
      <c r="A35" s="186" t="s">
        <v>555</v>
      </c>
      <c r="B35" s="195">
        <v>-2290</v>
      </c>
      <c r="C35" s="195">
        <v>-1436.2</v>
      </c>
      <c r="D35" s="195">
        <v>-3301.7</v>
      </c>
    </row>
    <row r="37" spans="1:4" x14ac:dyDescent="0.35">
      <c r="A37" s="275" t="s">
        <v>554</v>
      </c>
      <c r="B37" s="275"/>
      <c r="C37" s="275"/>
      <c r="D37" s="275"/>
    </row>
    <row r="38" spans="1:4" x14ac:dyDescent="0.35">
      <c r="A38" s="193" t="s">
        <v>553</v>
      </c>
      <c r="B38" s="190">
        <v>-596</v>
      </c>
      <c r="C38" s="190">
        <v>-1130.2</v>
      </c>
      <c r="D38" s="190">
        <v>-1428.8</v>
      </c>
    </row>
    <row r="39" spans="1:4" x14ac:dyDescent="0.35">
      <c r="A39" s="193" t="s">
        <v>552</v>
      </c>
      <c r="B39" s="190">
        <v>-16</v>
      </c>
      <c r="C39" s="190">
        <v>-20.7</v>
      </c>
      <c r="D39" s="190">
        <v>-21.4</v>
      </c>
    </row>
    <row r="40" spans="1:4" x14ac:dyDescent="0.35">
      <c r="A40" s="193" t="s">
        <v>551</v>
      </c>
      <c r="B40" s="190">
        <v>-391</v>
      </c>
      <c r="C40" s="190">
        <v>-285.3</v>
      </c>
      <c r="D40" s="190">
        <v>-264.5</v>
      </c>
    </row>
    <row r="41" spans="1:4" x14ac:dyDescent="0.35">
      <c r="A41" s="193" t="s">
        <v>550</v>
      </c>
      <c r="B41" s="190">
        <v>820</v>
      </c>
      <c r="C41" s="190">
        <v>417.8</v>
      </c>
      <c r="D41" s="190">
        <v>901.7</v>
      </c>
    </row>
    <row r="42" spans="1:4" x14ac:dyDescent="0.35">
      <c r="A42" s="193" t="s">
        <v>549</v>
      </c>
      <c r="B42" s="190">
        <v>-1350</v>
      </c>
      <c r="C42" s="190">
        <v>-1267.0999999999999</v>
      </c>
      <c r="D42" s="190">
        <v>-736.4</v>
      </c>
    </row>
    <row r="43" spans="1:4" x14ac:dyDescent="0.35">
      <c r="A43" s="193" t="s">
        <v>548</v>
      </c>
      <c r="B43" s="190">
        <v>-790</v>
      </c>
      <c r="C43" s="190">
        <v>-739.4</v>
      </c>
      <c r="D43" s="190">
        <v>-697.4</v>
      </c>
    </row>
    <row r="44" spans="1:4" x14ac:dyDescent="0.35">
      <c r="A44" s="193" t="s">
        <v>547</v>
      </c>
      <c r="B44" s="190">
        <v>-3180</v>
      </c>
      <c r="C44" s="190">
        <v>-5745.5</v>
      </c>
      <c r="D44" s="190">
        <v>-2044.6</v>
      </c>
    </row>
    <row r="45" spans="1:4" x14ac:dyDescent="0.35">
      <c r="A45" s="193" t="s">
        <v>546</v>
      </c>
      <c r="B45" s="190">
        <v>-12</v>
      </c>
      <c r="C45" s="190">
        <v>-7.7</v>
      </c>
      <c r="D45" s="190">
        <v>-35.1</v>
      </c>
    </row>
    <row r="46" spans="1:4" x14ac:dyDescent="0.35">
      <c r="A46" s="186" t="s">
        <v>545</v>
      </c>
      <c r="B46" s="195">
        <v>-5515</v>
      </c>
      <c r="C46" s="195">
        <v>-8779.1</v>
      </c>
      <c r="D46" s="195">
        <v>-4326.5</v>
      </c>
    </row>
    <row r="48" spans="1:4" x14ac:dyDescent="0.35">
      <c r="A48" s="216" t="s">
        <v>544</v>
      </c>
      <c r="B48" s="216"/>
      <c r="C48" s="216"/>
      <c r="D48" s="216"/>
    </row>
    <row r="49" spans="1:4" x14ac:dyDescent="0.35">
      <c r="A49" s="196" t="s">
        <v>543</v>
      </c>
      <c r="B49" s="197">
        <v>4234</v>
      </c>
      <c r="C49" s="197">
        <v>5042.1000000000004</v>
      </c>
      <c r="D49" s="197">
        <v>4707.7</v>
      </c>
    </row>
    <row r="50" spans="1:4" x14ac:dyDescent="0.35">
      <c r="A50" s="196" t="s">
        <v>542</v>
      </c>
      <c r="B50" s="198">
        <v>-2290</v>
      </c>
      <c r="C50" s="198">
        <v>-1436.2</v>
      </c>
      <c r="D50" s="198">
        <v>-3301.7</v>
      </c>
    </row>
    <row r="51" spans="1:4" x14ac:dyDescent="0.35">
      <c r="A51" s="196" t="s">
        <v>541</v>
      </c>
      <c r="B51" s="199">
        <v>-5515</v>
      </c>
      <c r="C51" s="199">
        <v>-8779.1</v>
      </c>
      <c r="D51" s="199">
        <v>-4326.5</v>
      </c>
    </row>
    <row r="52" spans="1:4" x14ac:dyDescent="0.35">
      <c r="A52" s="186" t="s">
        <v>540</v>
      </c>
      <c r="B52" s="195">
        <f>B23+B35+B46</f>
        <v>-3571</v>
      </c>
      <c r="C52" s="195">
        <f>C23+C35+C46</f>
        <v>-5173.2</v>
      </c>
      <c r="D52" s="195">
        <f>D23+D35+D46</f>
        <v>-2920.5</v>
      </c>
    </row>
    <row r="53" spans="1:4" x14ac:dyDescent="0.35">
      <c r="A53" s="189" t="s">
        <v>539</v>
      </c>
      <c r="B53" s="190">
        <v>13272</v>
      </c>
      <c r="C53" s="190">
        <v>16327.6</v>
      </c>
      <c r="D53" s="190">
        <v>11256</v>
      </c>
    </row>
    <row r="54" spans="1:4" x14ac:dyDescent="0.35">
      <c r="A54" s="189" t="s">
        <v>538</v>
      </c>
      <c r="B54" s="190">
        <v>-18</v>
      </c>
      <c r="C54" s="190">
        <v>101.6</v>
      </c>
      <c r="D54" s="190">
        <v>-78.400000000000006</v>
      </c>
    </row>
    <row r="55" spans="1:4" x14ac:dyDescent="0.35">
      <c r="A55" s="186" t="s">
        <v>537</v>
      </c>
      <c r="B55" s="195">
        <v>5703</v>
      </c>
      <c r="C55" s="195">
        <v>11256</v>
      </c>
      <c r="D55" s="195">
        <v>8257.1</v>
      </c>
    </row>
    <row r="57" spans="1:4" x14ac:dyDescent="0.35">
      <c r="A57" s="200" t="s">
        <v>536</v>
      </c>
    </row>
    <row r="59" spans="1:4" x14ac:dyDescent="0.35">
      <c r="A59" s="213" t="s">
        <v>655</v>
      </c>
      <c r="B59" s="213"/>
      <c r="C59" s="213"/>
      <c r="D59" s="213"/>
    </row>
    <row r="60" spans="1:4" x14ac:dyDescent="0.35">
      <c r="A60" s="285" t="s">
        <v>441</v>
      </c>
      <c r="B60" s="285" t="s">
        <v>587</v>
      </c>
      <c r="C60" s="285" t="s">
        <v>586</v>
      </c>
      <c r="D60" s="285" t="s">
        <v>585</v>
      </c>
    </row>
    <row r="61" spans="1:4" x14ac:dyDescent="0.35">
      <c r="A61" s="272" t="s">
        <v>656</v>
      </c>
      <c r="B61" s="272"/>
      <c r="C61" s="272"/>
      <c r="D61" s="272"/>
    </row>
    <row r="62" spans="1:4" x14ac:dyDescent="0.35">
      <c r="A62" s="286" t="s">
        <v>657</v>
      </c>
      <c r="B62" s="287">
        <v>4234</v>
      </c>
      <c r="C62" s="287">
        <v>5042.1000000000004</v>
      </c>
      <c r="D62" s="287">
        <v>4707.7</v>
      </c>
    </row>
    <row r="63" spans="1:4" x14ac:dyDescent="0.35">
      <c r="A63" s="286" t="s">
        <v>658</v>
      </c>
      <c r="B63" s="287">
        <v>2600</v>
      </c>
      <c r="C63" s="287">
        <v>3461.6</v>
      </c>
      <c r="D63" s="287">
        <v>3360.3</v>
      </c>
    </row>
    <row r="64" spans="1:4" x14ac:dyDescent="0.35">
      <c r="A64" s="288" t="s">
        <v>659</v>
      </c>
      <c r="B64" s="289">
        <v>1.62846153846154</v>
      </c>
      <c r="C64" s="289">
        <v>1.45658077189739</v>
      </c>
      <c r="D64" s="289">
        <v>1.4009761033241099</v>
      </c>
    </row>
    <row r="65" spans="1:4" ht="36.5" customHeight="1" x14ac:dyDescent="0.35">
      <c r="A65" s="215" t="s">
        <v>660</v>
      </c>
      <c r="B65" s="215"/>
      <c r="C65" s="215"/>
      <c r="D65" s="215"/>
    </row>
    <row r="66" spans="1:4" ht="43" customHeight="1" x14ac:dyDescent="0.35"/>
    <row r="67" spans="1:4" x14ac:dyDescent="0.35">
      <c r="A67" s="272" t="s">
        <v>661</v>
      </c>
      <c r="B67" s="272"/>
      <c r="C67" s="272"/>
      <c r="D67" s="272"/>
    </row>
    <row r="68" spans="1:4" x14ac:dyDescent="0.35">
      <c r="A68" s="286" t="s">
        <v>657</v>
      </c>
      <c r="B68" s="287">
        <v>4234</v>
      </c>
      <c r="C68" s="287">
        <v>5042.1000000000004</v>
      </c>
      <c r="D68" s="287">
        <v>4707.7</v>
      </c>
    </row>
    <row r="69" spans="1:4" x14ac:dyDescent="0.35">
      <c r="A69" s="286" t="s">
        <v>662</v>
      </c>
      <c r="B69" s="287">
        <v>391</v>
      </c>
      <c r="C69" s="287">
        <v>285.3</v>
      </c>
      <c r="D69" s="287">
        <v>264.5</v>
      </c>
    </row>
    <row r="70" spans="1:4" x14ac:dyDescent="0.35">
      <c r="A70" s="286" t="s">
        <v>663</v>
      </c>
      <c r="B70" s="287">
        <v>1350</v>
      </c>
      <c r="C70" s="287">
        <v>1267.0999999999999</v>
      </c>
      <c r="D70" s="287">
        <v>736.4</v>
      </c>
    </row>
    <row r="71" spans="1:4" x14ac:dyDescent="0.35">
      <c r="A71" s="286" t="s">
        <v>664</v>
      </c>
      <c r="B71" s="287">
        <v>790</v>
      </c>
      <c r="C71" s="287">
        <v>739.4</v>
      </c>
      <c r="D71" s="287">
        <v>697.4</v>
      </c>
    </row>
    <row r="72" spans="1:4" x14ac:dyDescent="0.35">
      <c r="A72" s="286" t="s">
        <v>665</v>
      </c>
      <c r="B72" s="287">
        <v>2531</v>
      </c>
      <c r="C72" s="287">
        <v>2291.8000000000002</v>
      </c>
      <c r="D72" s="287">
        <v>1698.3</v>
      </c>
    </row>
    <row r="73" spans="1:4" x14ac:dyDescent="0.35">
      <c r="A73" s="288" t="s">
        <v>659</v>
      </c>
      <c r="B73" s="289">
        <v>1.6728565784275</v>
      </c>
      <c r="C73" s="289">
        <v>2.20006108735492</v>
      </c>
      <c r="D73" s="289">
        <v>2.77200730141907</v>
      </c>
    </row>
    <row r="74" spans="1:4" ht="43" customHeight="1" x14ac:dyDescent="0.35">
      <c r="A74" s="215" t="s">
        <v>666</v>
      </c>
      <c r="B74" s="215"/>
      <c r="C74" s="215"/>
      <c r="D74" s="215"/>
    </row>
    <row r="75" spans="1:4" ht="41" customHeight="1" x14ac:dyDescent="0.35"/>
    <row r="76" spans="1:4" x14ac:dyDescent="0.35">
      <c r="A76" s="272" t="s">
        <v>667</v>
      </c>
      <c r="B76" s="272"/>
      <c r="C76" s="272"/>
      <c r="D76" s="272"/>
    </row>
    <row r="77" spans="1:4" x14ac:dyDescent="0.35">
      <c r="A77" s="286" t="s">
        <v>668</v>
      </c>
      <c r="B77" s="287">
        <v>4625</v>
      </c>
      <c r="C77" s="287">
        <v>5327.4</v>
      </c>
      <c r="D77" s="287">
        <v>4972.2</v>
      </c>
    </row>
    <row r="78" spans="1:4" x14ac:dyDescent="0.35">
      <c r="A78" s="286" t="s">
        <v>669</v>
      </c>
      <c r="B78" s="287">
        <v>391</v>
      </c>
      <c r="C78" s="287">
        <v>285.3</v>
      </c>
      <c r="D78" s="287">
        <v>264.5</v>
      </c>
    </row>
    <row r="79" spans="1:4" x14ac:dyDescent="0.35">
      <c r="A79" s="288" t="s">
        <v>659</v>
      </c>
      <c r="B79" s="289">
        <v>11.8286445012788</v>
      </c>
      <c r="C79" s="289">
        <v>18.6729758149317</v>
      </c>
      <c r="D79" s="289">
        <v>18.798487712665398</v>
      </c>
    </row>
    <row r="80" spans="1:4" ht="35.5" customHeight="1" x14ac:dyDescent="0.35">
      <c r="A80" s="215" t="s">
        <v>670</v>
      </c>
      <c r="B80" s="215"/>
      <c r="C80" s="215"/>
      <c r="D80" s="215"/>
    </row>
    <row r="81" spans="1:4" ht="51" customHeight="1" x14ac:dyDescent="0.35"/>
    <row r="82" spans="1:4" x14ac:dyDescent="0.35">
      <c r="A82" s="272" t="s">
        <v>671</v>
      </c>
      <c r="B82" s="272"/>
      <c r="C82" s="272"/>
      <c r="D82" s="272"/>
    </row>
    <row r="83" spans="1:4" x14ac:dyDescent="0.35">
      <c r="A83" s="286" t="s">
        <v>657</v>
      </c>
      <c r="B83" s="287">
        <v>4234</v>
      </c>
      <c r="C83" s="287">
        <v>5042.1000000000004</v>
      </c>
      <c r="D83" s="287">
        <v>4707.7</v>
      </c>
    </row>
    <row r="84" spans="1:4" x14ac:dyDescent="0.35">
      <c r="A84" s="286" t="s">
        <v>658</v>
      </c>
      <c r="B84" s="287">
        <v>2600</v>
      </c>
      <c r="C84" s="287">
        <v>3461.6</v>
      </c>
      <c r="D84" s="287">
        <v>3360.3</v>
      </c>
    </row>
    <row r="85" spans="1:4" x14ac:dyDescent="0.35">
      <c r="A85" s="286" t="s">
        <v>672</v>
      </c>
      <c r="B85" s="287">
        <v>1983</v>
      </c>
      <c r="C85" s="287">
        <v>2185.8000000000002</v>
      </c>
      <c r="D85" s="287">
        <v>2381</v>
      </c>
    </row>
    <row r="86" spans="1:4" x14ac:dyDescent="0.35">
      <c r="A86" s="286" t="s">
        <v>673</v>
      </c>
      <c r="B86" s="287">
        <v>4583</v>
      </c>
      <c r="C86" s="287">
        <v>5647.4</v>
      </c>
      <c r="D86" s="287">
        <v>5741.3</v>
      </c>
    </row>
    <row r="87" spans="1:4" x14ac:dyDescent="0.35">
      <c r="A87" s="288" t="s">
        <v>659</v>
      </c>
      <c r="B87" s="289">
        <v>0.92384900720052399</v>
      </c>
      <c r="C87" s="289">
        <v>0.892817933916493</v>
      </c>
      <c r="D87" s="289">
        <v>0.81997108668768404</v>
      </c>
    </row>
    <row r="88" spans="1:4" ht="40.5" customHeight="1" x14ac:dyDescent="0.35">
      <c r="A88" s="215" t="s">
        <v>674</v>
      </c>
      <c r="B88" s="215"/>
      <c r="C88" s="215"/>
      <c r="D88" s="215"/>
    </row>
    <row r="89" spans="1:4" ht="52.5" customHeight="1" x14ac:dyDescent="0.35"/>
    <row r="90" spans="1:4" x14ac:dyDescent="0.35">
      <c r="A90" s="272" t="s">
        <v>675</v>
      </c>
      <c r="B90" s="272"/>
      <c r="C90" s="272"/>
      <c r="D90" s="272"/>
    </row>
    <row r="91" spans="1:4" x14ac:dyDescent="0.35">
      <c r="A91" s="286" t="s">
        <v>676</v>
      </c>
      <c r="B91" s="287">
        <v>1512</v>
      </c>
      <c r="C91" s="287">
        <v>1231.3</v>
      </c>
      <c r="D91" s="287">
        <v>1768</v>
      </c>
    </row>
    <row r="92" spans="1:4" x14ac:dyDescent="0.35">
      <c r="A92" s="286" t="s">
        <v>657</v>
      </c>
      <c r="B92" s="287">
        <v>4234</v>
      </c>
      <c r="C92" s="287">
        <v>5042.1000000000004</v>
      </c>
      <c r="D92" s="287">
        <v>4707.7</v>
      </c>
    </row>
    <row r="93" spans="1:4" x14ac:dyDescent="0.35">
      <c r="A93" s="288" t="s">
        <v>659</v>
      </c>
      <c r="B93" s="289">
        <v>0.35710911667453898</v>
      </c>
      <c r="C93" s="289">
        <v>0.24420380397056801</v>
      </c>
      <c r="D93" s="289">
        <v>0.37555494190368999</v>
      </c>
    </row>
    <row r="94" spans="1:4" ht="42" customHeight="1" x14ac:dyDescent="0.35">
      <c r="A94" s="215" t="s">
        <v>677</v>
      </c>
      <c r="B94" s="215"/>
      <c r="C94" s="215"/>
      <c r="D94" s="215"/>
    </row>
    <row r="95" spans="1:4" ht="49" customHeight="1" x14ac:dyDescent="0.35"/>
    <row r="96" spans="1:4" x14ac:dyDescent="0.35">
      <c r="A96" s="272" t="s">
        <v>703</v>
      </c>
      <c r="B96" s="272"/>
      <c r="C96" s="272"/>
      <c r="D96" s="272"/>
    </row>
    <row r="97" spans="1:4" x14ac:dyDescent="0.35">
      <c r="A97" s="286" t="s">
        <v>704</v>
      </c>
      <c r="B97" s="287">
        <v>4234</v>
      </c>
      <c r="C97" s="287">
        <v>5042.1000000000004</v>
      </c>
      <c r="D97" s="287">
        <v>4707.7</v>
      </c>
    </row>
    <row r="98" spans="1:4" x14ac:dyDescent="0.35">
      <c r="A98" s="286" t="s">
        <v>705</v>
      </c>
      <c r="B98" s="287">
        <v>17775</v>
      </c>
      <c r="C98" s="287">
        <v>19022</v>
      </c>
      <c r="D98" s="287">
        <v>19557</v>
      </c>
    </row>
    <row r="99" spans="1:4" x14ac:dyDescent="0.35">
      <c r="A99" s="288" t="s">
        <v>706</v>
      </c>
      <c r="B99" s="289">
        <v>0.238199718706048</v>
      </c>
      <c r="C99" s="289">
        <v>0.26506676479865399</v>
      </c>
      <c r="D99" s="289">
        <v>0.24071687886690199</v>
      </c>
    </row>
    <row r="100" spans="1:4" ht="40" customHeight="1" x14ac:dyDescent="0.35">
      <c r="A100" s="215" t="s">
        <v>707</v>
      </c>
      <c r="B100" s="215"/>
      <c r="C100" s="215"/>
      <c r="D100" s="215"/>
    </row>
    <row r="101" spans="1:4" ht="49" customHeight="1" x14ac:dyDescent="0.35"/>
    <row r="102" spans="1:4" x14ac:dyDescent="0.35">
      <c r="A102" s="272" t="s">
        <v>708</v>
      </c>
      <c r="B102" s="272"/>
      <c r="C102" s="272"/>
      <c r="D102" s="272"/>
    </row>
    <row r="103" spans="1:4" x14ac:dyDescent="0.35">
      <c r="A103" s="286" t="s">
        <v>704</v>
      </c>
      <c r="B103" s="287">
        <v>4234</v>
      </c>
      <c r="C103" s="287">
        <v>5042.1000000000004</v>
      </c>
      <c r="D103" s="287">
        <v>4707.7</v>
      </c>
    </row>
    <row r="104" spans="1:4" x14ac:dyDescent="0.35">
      <c r="A104" s="286" t="s">
        <v>709</v>
      </c>
      <c r="B104" s="287">
        <v>35600</v>
      </c>
      <c r="C104" s="287">
        <v>38400</v>
      </c>
      <c r="D104" s="287">
        <v>40500</v>
      </c>
    </row>
    <row r="105" spans="1:4" x14ac:dyDescent="0.35">
      <c r="A105" s="288" t="s">
        <v>710</v>
      </c>
      <c r="B105" s="289">
        <v>0.11893258426966299</v>
      </c>
      <c r="C105" s="289">
        <v>0.13130468749999999</v>
      </c>
      <c r="D105" s="289">
        <v>0.11623950617284</v>
      </c>
    </row>
    <row r="106" spans="1:4" ht="56" customHeight="1" x14ac:dyDescent="0.35">
      <c r="A106" s="215" t="s">
        <v>711</v>
      </c>
      <c r="B106" s="215"/>
      <c r="C106" s="215"/>
      <c r="D106" s="215"/>
    </row>
    <row r="107" spans="1:4" ht="49" customHeight="1" x14ac:dyDescent="0.35"/>
    <row r="108" spans="1:4" x14ac:dyDescent="0.35">
      <c r="A108" s="272" t="s">
        <v>712</v>
      </c>
      <c r="B108" s="272"/>
      <c r="C108" s="272"/>
      <c r="D108" s="272"/>
    </row>
    <row r="109" spans="1:4" x14ac:dyDescent="0.35">
      <c r="A109" s="286" t="s">
        <v>704</v>
      </c>
      <c r="B109" s="287">
        <v>4234</v>
      </c>
      <c r="C109" s="287">
        <v>5042.1000000000004</v>
      </c>
      <c r="D109" s="287">
        <v>4707.7</v>
      </c>
    </row>
    <row r="110" spans="1:4" x14ac:dyDescent="0.35">
      <c r="A110" s="286" t="s">
        <v>713</v>
      </c>
      <c r="B110" s="287">
        <v>1512</v>
      </c>
      <c r="C110" s="287">
        <v>1231.3</v>
      </c>
      <c r="D110" s="287">
        <v>1768</v>
      </c>
    </row>
    <row r="111" spans="1:4" x14ac:dyDescent="0.35">
      <c r="A111" s="288" t="s">
        <v>714</v>
      </c>
      <c r="B111" s="289">
        <v>2.8002645502645498</v>
      </c>
      <c r="C111" s="289">
        <v>4.0949403069926102</v>
      </c>
      <c r="D111" s="289">
        <v>2.6627262443438902</v>
      </c>
    </row>
    <row r="112" spans="1:4" ht="56.5" customHeight="1" x14ac:dyDescent="0.35">
      <c r="A112" s="215" t="s">
        <v>715</v>
      </c>
      <c r="B112" s="215"/>
      <c r="C112" s="215"/>
      <c r="D112" s="215"/>
    </row>
    <row r="113" spans="1:4" ht="49" customHeight="1" x14ac:dyDescent="0.35"/>
    <row r="114" spans="1:4" x14ac:dyDescent="0.35">
      <c r="A114" s="272" t="s">
        <v>716</v>
      </c>
      <c r="B114" s="272"/>
      <c r="C114" s="272"/>
      <c r="D114" s="272"/>
    </row>
    <row r="115" spans="1:4" x14ac:dyDescent="0.35">
      <c r="A115" s="286" t="s">
        <v>704</v>
      </c>
      <c r="B115" s="287">
        <v>4234</v>
      </c>
      <c r="C115" s="287">
        <v>5042.1000000000004</v>
      </c>
      <c r="D115" s="287">
        <v>4707.7</v>
      </c>
    </row>
    <row r="116" spans="1:4" x14ac:dyDescent="0.35">
      <c r="A116" s="290" t="s">
        <v>717</v>
      </c>
      <c r="B116" s="287">
        <v>1512</v>
      </c>
      <c r="C116" s="287">
        <v>1231.3</v>
      </c>
      <c r="D116" s="287">
        <v>1768</v>
      </c>
    </row>
    <row r="117" spans="1:4" x14ac:dyDescent="0.35">
      <c r="A117" s="290" t="s">
        <v>718</v>
      </c>
      <c r="B117" s="287">
        <v>2140</v>
      </c>
      <c r="C117" s="287">
        <v>2006.5</v>
      </c>
      <c r="D117" s="287">
        <v>1433.8</v>
      </c>
    </row>
    <row r="118" spans="1:4" x14ac:dyDescent="0.35">
      <c r="A118" s="290" t="s">
        <v>719</v>
      </c>
      <c r="B118" s="287">
        <v>612</v>
      </c>
      <c r="C118" s="287">
        <v>1150.9000000000001</v>
      </c>
      <c r="D118" s="287">
        <v>1450.2</v>
      </c>
    </row>
    <row r="119" spans="1:4" x14ac:dyDescent="0.35">
      <c r="A119" s="291" t="s">
        <v>720</v>
      </c>
      <c r="B119" s="292">
        <v>4264</v>
      </c>
      <c r="C119" s="292">
        <v>4388.7</v>
      </c>
      <c r="D119" s="292">
        <v>4652</v>
      </c>
    </row>
    <row r="120" spans="1:4" x14ac:dyDescent="0.35">
      <c r="A120" s="288" t="s">
        <v>721</v>
      </c>
      <c r="B120" s="289">
        <v>0.99296435272045003</v>
      </c>
      <c r="C120" s="289">
        <v>1.1488823569622</v>
      </c>
      <c r="D120" s="289">
        <v>1.01197334479794</v>
      </c>
    </row>
    <row r="121" spans="1:4" ht="49" customHeight="1" x14ac:dyDescent="0.35">
      <c r="A121" s="215" t="s">
        <v>722</v>
      </c>
      <c r="B121" s="215"/>
      <c r="C121" s="215"/>
      <c r="D121" s="215"/>
    </row>
    <row r="122" spans="1:4" ht="39" customHeight="1" x14ac:dyDescent="0.35"/>
    <row r="123" spans="1:4" x14ac:dyDescent="0.35">
      <c r="A123" s="272" t="s">
        <v>723</v>
      </c>
      <c r="B123" s="272"/>
      <c r="C123" s="272"/>
      <c r="D123" s="272"/>
    </row>
    <row r="124" spans="1:4" x14ac:dyDescent="0.35">
      <c r="A124" s="286" t="s">
        <v>724</v>
      </c>
      <c r="B124" s="287">
        <v>820</v>
      </c>
      <c r="C124" s="287">
        <v>417.8</v>
      </c>
      <c r="D124" s="287">
        <v>901.7</v>
      </c>
    </row>
    <row r="125" spans="1:4" x14ac:dyDescent="0.35">
      <c r="A125" s="286" t="s">
        <v>704</v>
      </c>
      <c r="B125" s="287">
        <v>4234</v>
      </c>
      <c r="C125" s="287">
        <v>5042.1000000000004</v>
      </c>
      <c r="D125" s="287">
        <v>4707.7</v>
      </c>
    </row>
    <row r="126" spans="1:4" x14ac:dyDescent="0.35">
      <c r="A126" s="288" t="s">
        <v>725</v>
      </c>
      <c r="B126" s="289">
        <v>0.19367028814359899</v>
      </c>
      <c r="C126" s="289">
        <v>8.2862299438725903E-2</v>
      </c>
      <c r="D126" s="289">
        <v>0.191537268729953</v>
      </c>
    </row>
    <row r="127" spans="1:4" ht="50.5" customHeight="1" x14ac:dyDescent="0.35">
      <c r="A127" s="215" t="s">
        <v>726</v>
      </c>
      <c r="B127" s="215"/>
      <c r="C127" s="215"/>
      <c r="D127" s="215"/>
    </row>
  </sheetData>
  <mergeCells count="27">
    <mergeCell ref="A96:D96"/>
    <mergeCell ref="A74:D74"/>
    <mergeCell ref="A76:D76"/>
    <mergeCell ref="A80:D80"/>
    <mergeCell ref="A82:D82"/>
    <mergeCell ref="A88:D88"/>
    <mergeCell ref="A114:D114"/>
    <mergeCell ref="A121:D121"/>
    <mergeCell ref="A123:D123"/>
    <mergeCell ref="A127:D127"/>
    <mergeCell ref="A100:D100"/>
    <mergeCell ref="A102:D102"/>
    <mergeCell ref="A106:D106"/>
    <mergeCell ref="A108:D108"/>
    <mergeCell ref="A112:D112"/>
    <mergeCell ref="A48:D48"/>
    <mergeCell ref="A1:D1"/>
    <mergeCell ref="A2:D2"/>
    <mergeCell ref="A5:D5"/>
    <mergeCell ref="A25:D25"/>
    <mergeCell ref="A37:D37"/>
    <mergeCell ref="A90:D90"/>
    <mergeCell ref="A94:D94"/>
    <mergeCell ref="A59:D59"/>
    <mergeCell ref="A61:D61"/>
    <mergeCell ref="A65:D65"/>
    <mergeCell ref="A67:D67"/>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5ACBD-3B1A-4170-B678-9E72505FA61E}">
  <dimension ref="A1:D123"/>
  <sheetViews>
    <sheetView zoomScaleNormal="100" workbookViewId="0">
      <pane xSplit="1" ySplit="4" topLeftCell="B32" activePane="bottomRight" state="frozen"/>
      <selection pane="topRight" activeCell="B1" sqref="B1"/>
      <selection pane="bottomLeft" activeCell="A5" sqref="A5"/>
      <selection pane="bottomRight" activeCell="A118" sqref="A118"/>
    </sheetView>
  </sheetViews>
  <sheetFormatPr defaultColWidth="8.6328125" defaultRowHeight="14.5" x14ac:dyDescent="0.35"/>
  <cols>
    <col min="1" max="1" width="46" customWidth="1"/>
    <col min="2" max="4" width="16" customWidth="1"/>
  </cols>
  <sheetData>
    <row r="1" spans="1:4" ht="21.75" customHeight="1" x14ac:dyDescent="0.35">
      <c r="A1" s="217" t="s">
        <v>616</v>
      </c>
      <c r="B1" s="217"/>
      <c r="C1" s="217"/>
      <c r="D1" s="217"/>
    </row>
    <row r="2" spans="1:4" x14ac:dyDescent="0.35">
      <c r="A2" s="218" t="s">
        <v>615</v>
      </c>
      <c r="B2" s="218"/>
      <c r="C2" s="218"/>
      <c r="D2" s="218"/>
    </row>
    <row r="4" spans="1:4" x14ac:dyDescent="0.35">
      <c r="A4" s="188" t="s">
        <v>588</v>
      </c>
      <c r="B4" s="188" t="s">
        <v>117</v>
      </c>
      <c r="C4" s="188" t="s">
        <v>118</v>
      </c>
      <c r="D4" s="188" t="s">
        <v>119</v>
      </c>
    </row>
    <row r="5" spans="1:4" x14ac:dyDescent="0.35">
      <c r="A5" s="219" t="s">
        <v>584</v>
      </c>
      <c r="B5" s="219"/>
      <c r="C5" s="219"/>
      <c r="D5" s="219"/>
    </row>
    <row r="6" spans="1:4" x14ac:dyDescent="0.35">
      <c r="A6" s="189" t="s">
        <v>50</v>
      </c>
      <c r="B6" s="190">
        <v>13024</v>
      </c>
      <c r="C6" s="190">
        <v>13928</v>
      </c>
      <c r="D6" s="190">
        <v>14458</v>
      </c>
    </row>
    <row r="7" spans="1:4" x14ac:dyDescent="0.35">
      <c r="A7" s="191" t="s">
        <v>582</v>
      </c>
      <c r="B7" s="192"/>
      <c r="C7" s="192"/>
      <c r="D7" s="192"/>
    </row>
    <row r="8" spans="1:4" x14ac:dyDescent="0.35">
      <c r="A8" s="193" t="s">
        <v>614</v>
      </c>
      <c r="B8" s="190">
        <v>8250</v>
      </c>
      <c r="C8" s="190">
        <v>7676</v>
      </c>
      <c r="D8" s="190">
        <v>7658</v>
      </c>
    </row>
    <row r="9" spans="1:4" x14ac:dyDescent="0.35">
      <c r="A9" s="193" t="s">
        <v>613</v>
      </c>
      <c r="B9" s="190">
        <v>4200</v>
      </c>
      <c r="C9" s="190">
        <v>3787</v>
      </c>
      <c r="D9" s="190">
        <v>3253</v>
      </c>
    </row>
    <row r="10" spans="1:4" x14ac:dyDescent="0.35">
      <c r="A10" s="193" t="s">
        <v>580</v>
      </c>
      <c r="B10" s="190">
        <v>540</v>
      </c>
      <c r="C10" s="190">
        <v>596</v>
      </c>
      <c r="D10" s="190">
        <v>659</v>
      </c>
    </row>
    <row r="11" spans="1:4" x14ac:dyDescent="0.35">
      <c r="A11" s="193" t="s">
        <v>577</v>
      </c>
      <c r="B11" s="190">
        <v>-745</v>
      </c>
      <c r="C11" s="190">
        <v>-1302</v>
      </c>
      <c r="D11" s="190">
        <v>-753</v>
      </c>
    </row>
    <row r="12" spans="1:4" x14ac:dyDescent="0.35">
      <c r="A12" s="183" t="s">
        <v>576</v>
      </c>
      <c r="B12" s="194">
        <f>B6+B8+B9+B10+B11</f>
        <v>25269</v>
      </c>
      <c r="C12" s="194">
        <f>C6+C8+C9+C10+C11</f>
        <v>24685</v>
      </c>
      <c r="D12" s="194">
        <f>D6+D8+D9+D10+D11</f>
        <v>25275</v>
      </c>
    </row>
    <row r="13" spans="1:4" x14ac:dyDescent="0.35">
      <c r="A13" s="191" t="s">
        <v>575</v>
      </c>
      <c r="B13" s="192"/>
      <c r="C13" s="192"/>
      <c r="D13" s="192"/>
    </row>
    <row r="14" spans="1:4" x14ac:dyDescent="0.35">
      <c r="A14" s="193" t="s">
        <v>612</v>
      </c>
      <c r="B14" s="190">
        <v>-180</v>
      </c>
      <c r="C14" s="190">
        <v>-419</v>
      </c>
      <c r="D14" s="190">
        <v>-478</v>
      </c>
    </row>
    <row r="15" spans="1:4" x14ac:dyDescent="0.35">
      <c r="A15" s="193" t="s">
        <v>611</v>
      </c>
      <c r="B15" s="190">
        <v>-850</v>
      </c>
      <c r="C15" s="190">
        <v>-974</v>
      </c>
      <c r="D15" s="190">
        <v>-1345</v>
      </c>
    </row>
    <row r="16" spans="1:4" x14ac:dyDescent="0.35">
      <c r="A16" s="193" t="s">
        <v>610</v>
      </c>
      <c r="B16" s="190">
        <v>3200</v>
      </c>
      <c r="C16" s="190">
        <v>1803</v>
      </c>
      <c r="D16" s="190">
        <v>2907</v>
      </c>
    </row>
    <row r="17" spans="1:4" x14ac:dyDescent="0.35">
      <c r="A17" s="193" t="s">
        <v>609</v>
      </c>
      <c r="B17" s="190">
        <v>1950</v>
      </c>
      <c r="C17" s="190">
        <v>3087</v>
      </c>
      <c r="D17" s="190">
        <v>3233</v>
      </c>
    </row>
    <row r="18" spans="1:4" x14ac:dyDescent="0.35">
      <c r="A18" s="193" t="s">
        <v>608</v>
      </c>
      <c r="B18" s="190">
        <v>-380</v>
      </c>
      <c r="C18" s="190">
        <v>75</v>
      </c>
      <c r="D18" s="190">
        <v>-247</v>
      </c>
    </row>
    <row r="19" spans="1:4" x14ac:dyDescent="0.35">
      <c r="A19" s="183" t="s">
        <v>569</v>
      </c>
      <c r="B19" s="194">
        <f>B12+B14+B15+B16+B17+B18</f>
        <v>29009</v>
      </c>
      <c r="C19" s="194">
        <f>C12+C14+C15+C16+C17+C18</f>
        <v>28257</v>
      </c>
      <c r="D19" s="194">
        <f>D12+D14+D15+D16+D17+D18</f>
        <v>29345</v>
      </c>
    </row>
    <row r="20" spans="1:4" x14ac:dyDescent="0.35">
      <c r="A20" s="193" t="s">
        <v>607</v>
      </c>
      <c r="B20" s="190">
        <v>620</v>
      </c>
      <c r="C20" s="190">
        <v>540</v>
      </c>
      <c r="D20" s="190">
        <v>346</v>
      </c>
    </row>
    <row r="21" spans="1:4" x14ac:dyDescent="0.35">
      <c r="A21" s="193" t="s">
        <v>606</v>
      </c>
      <c r="B21" s="190">
        <v>-3600</v>
      </c>
      <c r="C21" s="190">
        <v>-3246</v>
      </c>
      <c r="D21" s="190">
        <v>-2661</v>
      </c>
    </row>
    <row r="22" spans="1:4" x14ac:dyDescent="0.35">
      <c r="A22" s="193" t="s">
        <v>605</v>
      </c>
      <c r="B22" s="190">
        <v>-800</v>
      </c>
      <c r="C22" s="190">
        <v>-2010</v>
      </c>
      <c r="D22" s="190">
        <v>-1449</v>
      </c>
    </row>
    <row r="23" spans="1:4" x14ac:dyDescent="0.35">
      <c r="A23" s="186" t="s">
        <v>566</v>
      </c>
      <c r="B23" s="195">
        <v>17800</v>
      </c>
      <c r="C23" s="195">
        <v>23541</v>
      </c>
      <c r="D23" s="195">
        <v>25381</v>
      </c>
    </row>
    <row r="25" spans="1:4" x14ac:dyDescent="0.35">
      <c r="A25" s="219" t="s">
        <v>565</v>
      </c>
      <c r="B25" s="219"/>
      <c r="C25" s="219"/>
      <c r="D25" s="219"/>
    </row>
    <row r="26" spans="1:4" x14ac:dyDescent="0.35">
      <c r="A26" s="193" t="s">
        <v>604</v>
      </c>
      <c r="B26" s="190">
        <v>-8900</v>
      </c>
      <c r="C26" s="190">
        <v>-9207</v>
      </c>
      <c r="D26" s="190">
        <v>-9830</v>
      </c>
    </row>
    <row r="27" spans="1:4" x14ac:dyDescent="0.35">
      <c r="A27" s="193" t="s">
        <v>603</v>
      </c>
      <c r="B27" s="190">
        <v>380</v>
      </c>
      <c r="C27" s="190">
        <v>190</v>
      </c>
      <c r="D27" s="190">
        <v>389</v>
      </c>
    </row>
    <row r="28" spans="1:4" x14ac:dyDescent="0.35">
      <c r="A28" s="193" t="s">
        <v>602</v>
      </c>
      <c r="B28" s="190">
        <v>-1800</v>
      </c>
      <c r="C28" s="190">
        <v>2848</v>
      </c>
      <c r="D28" s="190">
        <v>1451</v>
      </c>
    </row>
    <row r="29" spans="1:4" x14ac:dyDescent="0.35">
      <c r="A29" s="193" t="s">
        <v>601</v>
      </c>
      <c r="B29" s="190">
        <v>280</v>
      </c>
      <c r="C29" s="190">
        <v>164</v>
      </c>
      <c r="D29" s="190">
        <v>153</v>
      </c>
    </row>
    <row r="30" spans="1:4" x14ac:dyDescent="0.35">
      <c r="A30" s="193" t="s">
        <v>600</v>
      </c>
      <c r="B30" s="190">
        <v>110</v>
      </c>
      <c r="C30" s="190">
        <v>93</v>
      </c>
      <c r="D30" s="190">
        <v>376</v>
      </c>
    </row>
    <row r="31" spans="1:4" x14ac:dyDescent="0.35">
      <c r="A31" s="193" t="s">
        <v>599</v>
      </c>
      <c r="B31" s="190">
        <v>50</v>
      </c>
      <c r="C31" s="190">
        <v>-170</v>
      </c>
      <c r="D31" s="190">
        <v>17</v>
      </c>
    </row>
    <row r="32" spans="1:4" x14ac:dyDescent="0.35">
      <c r="A32" s="186" t="s">
        <v>555</v>
      </c>
      <c r="B32" s="195">
        <v>-9880</v>
      </c>
      <c r="C32" s="195">
        <v>-6082</v>
      </c>
      <c r="D32" s="195">
        <v>-7444</v>
      </c>
    </row>
    <row r="34" spans="1:4" x14ac:dyDescent="0.35">
      <c r="A34" s="219" t="s">
        <v>554</v>
      </c>
      <c r="B34" s="219"/>
      <c r="C34" s="219"/>
      <c r="D34" s="219"/>
    </row>
    <row r="35" spans="1:4" x14ac:dyDescent="0.35">
      <c r="A35" s="193" t="s">
        <v>598</v>
      </c>
      <c r="B35" s="190">
        <v>18500</v>
      </c>
      <c r="C35" s="190">
        <v>13112</v>
      </c>
      <c r="D35" s="190">
        <v>8722</v>
      </c>
    </row>
    <row r="36" spans="1:4" x14ac:dyDescent="0.35">
      <c r="A36" s="193" t="s">
        <v>597</v>
      </c>
      <c r="B36" s="190">
        <v>-14800</v>
      </c>
      <c r="C36" s="190">
        <v>-11812</v>
      </c>
      <c r="D36" s="190">
        <v>-19683</v>
      </c>
    </row>
    <row r="37" spans="1:4" x14ac:dyDescent="0.35">
      <c r="A37" s="193" t="s">
        <v>596</v>
      </c>
      <c r="B37" s="190">
        <v>0</v>
      </c>
      <c r="C37" s="190">
        <v>-7029</v>
      </c>
      <c r="D37" s="190">
        <v>0</v>
      </c>
    </row>
    <row r="38" spans="1:4" x14ac:dyDescent="0.35">
      <c r="A38" s="193" t="s">
        <v>595</v>
      </c>
      <c r="B38" s="190">
        <v>0</v>
      </c>
      <c r="C38" s="190">
        <v>-9750</v>
      </c>
      <c r="D38" s="190">
        <v>0</v>
      </c>
    </row>
    <row r="39" spans="1:4" x14ac:dyDescent="0.35">
      <c r="A39" s="193" t="s">
        <v>594</v>
      </c>
      <c r="B39" s="190">
        <v>-2768</v>
      </c>
      <c r="C39" s="190">
        <v>-4056</v>
      </c>
      <c r="D39" s="190">
        <v>-4491</v>
      </c>
    </row>
    <row r="40" spans="1:4" x14ac:dyDescent="0.35">
      <c r="A40" s="193" t="s">
        <v>593</v>
      </c>
      <c r="B40" s="190">
        <v>-471</v>
      </c>
      <c r="C40" s="190">
        <v>-471</v>
      </c>
      <c r="D40" s="190">
        <v>0</v>
      </c>
    </row>
    <row r="41" spans="1:4" x14ac:dyDescent="0.35">
      <c r="A41" s="193" t="s">
        <v>592</v>
      </c>
      <c r="B41" s="190">
        <v>0</v>
      </c>
      <c r="C41" s="190">
        <v>172</v>
      </c>
      <c r="D41" s="190">
        <v>0</v>
      </c>
    </row>
    <row r="42" spans="1:4" x14ac:dyDescent="0.35">
      <c r="A42" s="186" t="s">
        <v>545</v>
      </c>
      <c r="B42" s="195">
        <v>461</v>
      </c>
      <c r="C42" s="195">
        <v>-19834</v>
      </c>
      <c r="D42" s="195">
        <v>-15452</v>
      </c>
    </row>
    <row r="44" spans="1:4" x14ac:dyDescent="0.35">
      <c r="A44" s="216" t="s">
        <v>544</v>
      </c>
      <c r="B44" s="216"/>
      <c r="C44" s="216"/>
      <c r="D44" s="216"/>
    </row>
    <row r="45" spans="1:4" x14ac:dyDescent="0.35">
      <c r="A45" s="196" t="s">
        <v>543</v>
      </c>
      <c r="B45" s="199">
        <v>17800</v>
      </c>
      <c r="C45" s="199">
        <v>23541</v>
      </c>
      <c r="D45" s="199">
        <v>25381</v>
      </c>
    </row>
    <row r="46" spans="1:4" x14ac:dyDescent="0.35">
      <c r="A46" s="196" t="s">
        <v>542</v>
      </c>
      <c r="B46" s="198">
        <v>-9880</v>
      </c>
      <c r="C46" s="198">
        <v>-6082</v>
      </c>
      <c r="D46" s="198">
        <v>-7444</v>
      </c>
    </row>
    <row r="47" spans="1:4" x14ac:dyDescent="0.35">
      <c r="A47" s="196" t="s">
        <v>541</v>
      </c>
      <c r="B47" s="197">
        <v>461</v>
      </c>
      <c r="C47" s="197">
        <v>-19834</v>
      </c>
      <c r="D47" s="197">
        <v>-15452</v>
      </c>
    </row>
    <row r="48" spans="1:4" x14ac:dyDescent="0.35">
      <c r="A48" s="186" t="s">
        <v>540</v>
      </c>
      <c r="B48" s="195">
        <f>B23+B32+B42</f>
        <v>8381</v>
      </c>
      <c r="C48" s="195">
        <f>C23+C32+C42</f>
        <v>-2375</v>
      </c>
      <c r="D48" s="195">
        <f>D23+D32+D42</f>
        <v>2485</v>
      </c>
    </row>
    <row r="49" spans="1:4" x14ac:dyDescent="0.35">
      <c r="A49" s="189" t="s">
        <v>539</v>
      </c>
      <c r="B49" s="190">
        <v>7894</v>
      </c>
      <c r="C49" s="190">
        <v>7894</v>
      </c>
      <c r="D49" s="190">
        <v>5444</v>
      </c>
    </row>
    <row r="50" spans="1:4" x14ac:dyDescent="0.35">
      <c r="A50" s="189" t="s">
        <v>538</v>
      </c>
      <c r="B50" s="190">
        <v>-75</v>
      </c>
      <c r="C50" s="190">
        <v>-75</v>
      </c>
      <c r="D50" s="190">
        <v>61</v>
      </c>
    </row>
    <row r="51" spans="1:4" x14ac:dyDescent="0.35">
      <c r="A51" s="186" t="s">
        <v>537</v>
      </c>
      <c r="B51" s="195">
        <v>8381</v>
      </c>
      <c r="C51" s="195">
        <v>5444</v>
      </c>
      <c r="D51" s="195">
        <v>7990</v>
      </c>
    </row>
    <row r="53" spans="1:4" x14ac:dyDescent="0.35">
      <c r="A53" s="200" t="s">
        <v>591</v>
      </c>
    </row>
    <row r="55" spans="1:4" x14ac:dyDescent="0.35">
      <c r="A55" s="213" t="s">
        <v>678</v>
      </c>
      <c r="B55" s="213"/>
      <c r="C55" s="213"/>
      <c r="D55" s="213"/>
    </row>
    <row r="56" spans="1:4" x14ac:dyDescent="0.35">
      <c r="A56" s="294" t="s">
        <v>441</v>
      </c>
      <c r="B56" s="294" t="s">
        <v>117</v>
      </c>
      <c r="C56" s="294" t="s">
        <v>118</v>
      </c>
      <c r="D56" s="294" t="s">
        <v>119</v>
      </c>
    </row>
    <row r="57" spans="1:4" x14ac:dyDescent="0.35">
      <c r="A57" s="214" t="s">
        <v>656</v>
      </c>
      <c r="B57" s="214"/>
      <c r="C57" s="214"/>
      <c r="D57" s="214"/>
    </row>
    <row r="58" spans="1:4" x14ac:dyDescent="0.35">
      <c r="A58" s="295" t="s">
        <v>657</v>
      </c>
      <c r="B58" s="296">
        <v>17800</v>
      </c>
      <c r="C58" s="296">
        <v>23541</v>
      </c>
      <c r="D58" s="296">
        <v>25381</v>
      </c>
    </row>
    <row r="59" spans="1:4" x14ac:dyDescent="0.35">
      <c r="A59" s="295" t="s">
        <v>658</v>
      </c>
      <c r="B59" s="296">
        <v>16624</v>
      </c>
      <c r="C59" s="296">
        <v>17174</v>
      </c>
      <c r="D59" s="296">
        <v>17119</v>
      </c>
    </row>
    <row r="60" spans="1:4" x14ac:dyDescent="0.35">
      <c r="A60" s="297" t="s">
        <v>659</v>
      </c>
      <c r="B60" s="298">
        <v>1.07074109720886</v>
      </c>
      <c r="C60" s="298">
        <v>1.37073483172237</v>
      </c>
      <c r="D60" s="298">
        <v>1.4826216484607799</v>
      </c>
    </row>
    <row r="61" spans="1:4" ht="38" customHeight="1" x14ac:dyDescent="0.35">
      <c r="A61" s="215" t="s">
        <v>660</v>
      </c>
      <c r="B61" s="215"/>
      <c r="C61" s="215"/>
      <c r="D61" s="215"/>
    </row>
    <row r="62" spans="1:4" ht="47" customHeight="1" x14ac:dyDescent="0.35">
      <c r="A62" s="284"/>
      <c r="B62" s="284"/>
      <c r="C62" s="284"/>
      <c r="D62" s="284"/>
    </row>
    <row r="63" spans="1:4" x14ac:dyDescent="0.35">
      <c r="A63" s="214" t="s">
        <v>661</v>
      </c>
      <c r="B63" s="214"/>
      <c r="C63" s="214"/>
      <c r="D63" s="214"/>
    </row>
    <row r="64" spans="1:4" x14ac:dyDescent="0.35">
      <c r="A64" s="295" t="s">
        <v>657</v>
      </c>
      <c r="B64" s="296">
        <v>17800</v>
      </c>
      <c r="C64" s="296">
        <v>23541</v>
      </c>
      <c r="D64" s="296">
        <v>25381</v>
      </c>
    </row>
    <row r="65" spans="1:4" x14ac:dyDescent="0.35">
      <c r="A65" s="295" t="s">
        <v>662</v>
      </c>
      <c r="B65" s="296">
        <v>3600</v>
      </c>
      <c r="C65" s="296">
        <v>3246</v>
      </c>
      <c r="D65" s="296">
        <v>2661</v>
      </c>
    </row>
    <row r="66" spans="1:4" x14ac:dyDescent="0.35">
      <c r="A66" s="295" t="s">
        <v>663</v>
      </c>
      <c r="B66" s="296">
        <v>14800</v>
      </c>
      <c r="C66" s="296">
        <v>11812</v>
      </c>
      <c r="D66" s="296">
        <v>19683</v>
      </c>
    </row>
    <row r="67" spans="1:4" x14ac:dyDescent="0.35">
      <c r="A67" s="295" t="s">
        <v>664</v>
      </c>
      <c r="B67" s="296">
        <v>0</v>
      </c>
      <c r="C67" s="296">
        <v>0</v>
      </c>
      <c r="D67" s="296">
        <v>0</v>
      </c>
    </row>
    <row r="68" spans="1:4" x14ac:dyDescent="0.35">
      <c r="A68" s="295" t="s">
        <v>665</v>
      </c>
      <c r="B68" s="296">
        <v>18400</v>
      </c>
      <c r="C68" s="296">
        <v>15058</v>
      </c>
      <c r="D68" s="296">
        <v>22344</v>
      </c>
    </row>
    <row r="69" spans="1:4" x14ac:dyDescent="0.35">
      <c r="A69" s="297" t="s">
        <v>659</v>
      </c>
      <c r="B69" s="298">
        <v>0.96739130434782605</v>
      </c>
      <c r="C69" s="298">
        <v>1.5633550272280501</v>
      </c>
      <c r="D69" s="298">
        <v>1.1359201575366999</v>
      </c>
    </row>
    <row r="70" spans="1:4" ht="40" customHeight="1" x14ac:dyDescent="0.35">
      <c r="A70" s="215" t="s">
        <v>666</v>
      </c>
      <c r="B70" s="215"/>
      <c r="C70" s="215"/>
      <c r="D70" s="215"/>
    </row>
    <row r="71" spans="1:4" ht="53" customHeight="1" x14ac:dyDescent="0.35">
      <c r="A71" s="284"/>
      <c r="B71" s="284"/>
      <c r="C71" s="284"/>
      <c r="D71" s="284"/>
    </row>
    <row r="72" spans="1:4" x14ac:dyDescent="0.35">
      <c r="A72" s="214" t="s">
        <v>667</v>
      </c>
      <c r="B72" s="214"/>
      <c r="C72" s="214"/>
      <c r="D72" s="214"/>
    </row>
    <row r="73" spans="1:4" x14ac:dyDescent="0.35">
      <c r="A73" s="295" t="s">
        <v>668</v>
      </c>
      <c r="B73" s="296">
        <v>21400</v>
      </c>
      <c r="C73" s="296">
        <v>26787</v>
      </c>
      <c r="D73" s="296">
        <v>28042</v>
      </c>
    </row>
    <row r="74" spans="1:4" x14ac:dyDescent="0.35">
      <c r="A74" s="295" t="s">
        <v>669</v>
      </c>
      <c r="B74" s="296">
        <v>3600</v>
      </c>
      <c r="C74" s="296">
        <v>3246</v>
      </c>
      <c r="D74" s="296">
        <v>2661</v>
      </c>
    </row>
    <row r="75" spans="1:4" x14ac:dyDescent="0.35">
      <c r="A75" s="297" t="s">
        <v>659</v>
      </c>
      <c r="B75" s="298">
        <v>5.94444444444445</v>
      </c>
      <c r="C75" s="298">
        <v>8.2523105360443605</v>
      </c>
      <c r="D75" s="298">
        <v>10.5381435550545</v>
      </c>
    </row>
    <row r="76" spans="1:4" ht="41" customHeight="1" x14ac:dyDescent="0.35">
      <c r="A76" s="215" t="s">
        <v>670</v>
      </c>
      <c r="B76" s="215"/>
      <c r="C76" s="215"/>
      <c r="D76" s="215"/>
    </row>
    <row r="77" spans="1:4" ht="52.5" customHeight="1" x14ac:dyDescent="0.35">
      <c r="A77" s="284"/>
      <c r="B77" s="284"/>
      <c r="C77" s="284"/>
      <c r="D77" s="284"/>
    </row>
    <row r="78" spans="1:4" x14ac:dyDescent="0.35">
      <c r="A78" s="214" t="s">
        <v>671</v>
      </c>
      <c r="B78" s="214"/>
      <c r="C78" s="214"/>
      <c r="D78" s="214"/>
    </row>
    <row r="79" spans="1:4" x14ac:dyDescent="0.35">
      <c r="A79" s="295" t="s">
        <v>657</v>
      </c>
      <c r="B79" s="296">
        <v>17800</v>
      </c>
      <c r="C79" s="296">
        <v>23541</v>
      </c>
      <c r="D79" s="296">
        <v>25381</v>
      </c>
    </row>
    <row r="80" spans="1:4" x14ac:dyDescent="0.35">
      <c r="A80" s="295" t="s">
        <v>658</v>
      </c>
      <c r="B80" s="296">
        <v>16624</v>
      </c>
      <c r="C80" s="296">
        <v>17174</v>
      </c>
      <c r="D80" s="296">
        <v>17119</v>
      </c>
    </row>
    <row r="81" spans="1:4" x14ac:dyDescent="0.35">
      <c r="A81" s="295" t="s">
        <v>672</v>
      </c>
      <c r="B81" s="296">
        <v>12990</v>
      </c>
      <c r="C81" s="296">
        <v>12059</v>
      </c>
      <c r="D81" s="296">
        <v>11570</v>
      </c>
    </row>
    <row r="82" spans="1:4" x14ac:dyDescent="0.35">
      <c r="A82" s="295" t="s">
        <v>673</v>
      </c>
      <c r="B82" s="296">
        <v>29614</v>
      </c>
      <c r="C82" s="296">
        <v>29233</v>
      </c>
      <c r="D82" s="296">
        <v>28689</v>
      </c>
    </row>
    <row r="83" spans="1:4" x14ac:dyDescent="0.35">
      <c r="A83" s="297" t="s">
        <v>659</v>
      </c>
      <c r="B83" s="298">
        <v>0.60106706287566702</v>
      </c>
      <c r="C83" s="298">
        <v>0.80528854376902803</v>
      </c>
      <c r="D83" s="298">
        <v>0.884694482205723</v>
      </c>
    </row>
    <row r="84" spans="1:4" ht="46" customHeight="1" x14ac:dyDescent="0.35">
      <c r="A84" s="215" t="s">
        <v>674</v>
      </c>
      <c r="B84" s="215"/>
      <c r="C84" s="215"/>
      <c r="D84" s="215"/>
    </row>
    <row r="85" spans="1:4" ht="53.5" customHeight="1" x14ac:dyDescent="0.35">
      <c r="A85" s="284"/>
      <c r="B85" s="284"/>
      <c r="C85" s="284"/>
      <c r="D85" s="284"/>
    </row>
    <row r="86" spans="1:4" x14ac:dyDescent="0.35">
      <c r="A86" s="214" t="s">
        <v>675</v>
      </c>
      <c r="B86" s="214"/>
      <c r="C86" s="214"/>
      <c r="D86" s="214"/>
    </row>
    <row r="87" spans="1:4" x14ac:dyDescent="0.35">
      <c r="A87" s="295" t="s">
        <v>676</v>
      </c>
      <c r="B87" s="296">
        <v>8900</v>
      </c>
      <c r="C87" s="296">
        <v>9207</v>
      </c>
      <c r="D87" s="296">
        <v>9830</v>
      </c>
    </row>
    <row r="88" spans="1:4" x14ac:dyDescent="0.35">
      <c r="A88" s="295" t="s">
        <v>657</v>
      </c>
      <c r="B88" s="296">
        <v>17800</v>
      </c>
      <c r="C88" s="296">
        <v>23541</v>
      </c>
      <c r="D88" s="296">
        <v>25381</v>
      </c>
    </row>
    <row r="89" spans="1:4" x14ac:dyDescent="0.35">
      <c r="A89" s="297" t="s">
        <v>659</v>
      </c>
      <c r="B89" s="298">
        <v>0.5</v>
      </c>
      <c r="C89" s="298">
        <v>0.391104880846183</v>
      </c>
      <c r="D89" s="298">
        <v>0.38729758480753301</v>
      </c>
    </row>
    <row r="90" spans="1:4" ht="43.5" customHeight="1" x14ac:dyDescent="0.35">
      <c r="A90" s="215" t="s">
        <v>677</v>
      </c>
      <c r="B90" s="215"/>
      <c r="C90" s="215"/>
      <c r="D90" s="215"/>
    </row>
    <row r="91" spans="1:4" ht="44.5" customHeight="1" x14ac:dyDescent="0.35">
      <c r="A91" s="284"/>
      <c r="B91" s="284"/>
      <c r="C91" s="284"/>
      <c r="D91" s="284"/>
    </row>
    <row r="92" spans="1:4" x14ac:dyDescent="0.35">
      <c r="A92" s="214" t="s">
        <v>703</v>
      </c>
      <c r="B92" s="214"/>
      <c r="C92" s="214"/>
      <c r="D92" s="214"/>
    </row>
    <row r="93" spans="1:4" x14ac:dyDescent="0.35">
      <c r="A93" s="295" t="s">
        <v>657</v>
      </c>
      <c r="B93" s="296">
        <v>17800</v>
      </c>
      <c r="C93" s="296">
        <v>23541</v>
      </c>
      <c r="D93" s="296">
        <v>25381</v>
      </c>
    </row>
    <row r="94" spans="1:4" x14ac:dyDescent="0.35">
      <c r="A94" s="295" t="s">
        <v>727</v>
      </c>
      <c r="B94" s="296">
        <v>107500</v>
      </c>
      <c r="C94" s="296">
        <v>119800</v>
      </c>
      <c r="D94" s="296">
        <v>128000</v>
      </c>
    </row>
    <row r="95" spans="1:4" x14ac:dyDescent="0.35">
      <c r="A95" s="297" t="s">
        <v>706</v>
      </c>
      <c r="B95" s="298">
        <v>0.16558139534883701</v>
      </c>
      <c r="C95" s="298">
        <v>0.196502504173623</v>
      </c>
      <c r="D95" s="298">
        <v>0.1982890625</v>
      </c>
    </row>
    <row r="96" spans="1:4" ht="37" customHeight="1" x14ac:dyDescent="0.35">
      <c r="A96" s="215" t="s">
        <v>707</v>
      </c>
      <c r="B96" s="215"/>
      <c r="C96" s="215"/>
      <c r="D96" s="215"/>
    </row>
    <row r="97" spans="1:4" ht="55.5" customHeight="1" x14ac:dyDescent="0.35">
      <c r="A97" s="284"/>
      <c r="B97" s="284"/>
      <c r="C97" s="284"/>
      <c r="D97" s="284"/>
    </row>
    <row r="98" spans="1:4" x14ac:dyDescent="0.35">
      <c r="A98" s="214" t="s">
        <v>708</v>
      </c>
      <c r="B98" s="214"/>
      <c r="C98" s="214"/>
      <c r="D98" s="214"/>
    </row>
    <row r="99" spans="1:4" x14ac:dyDescent="0.35">
      <c r="A99" s="295" t="s">
        <v>657</v>
      </c>
      <c r="B99" s="296">
        <v>17800</v>
      </c>
      <c r="C99" s="296">
        <v>23541</v>
      </c>
      <c r="D99" s="296">
        <v>25381</v>
      </c>
    </row>
    <row r="100" spans="1:4" x14ac:dyDescent="0.35">
      <c r="A100" s="295" t="s">
        <v>728</v>
      </c>
      <c r="B100" s="296">
        <v>192000</v>
      </c>
      <c r="C100" s="296">
        <v>202000</v>
      </c>
      <c r="D100" s="296">
        <v>214000</v>
      </c>
    </row>
    <row r="101" spans="1:4" x14ac:dyDescent="0.35">
      <c r="A101" s="297" t="s">
        <v>710</v>
      </c>
      <c r="B101" s="298">
        <v>9.2708333333333295E-2</v>
      </c>
      <c r="C101" s="298">
        <v>0.116539603960396</v>
      </c>
      <c r="D101" s="298">
        <v>0.118602803738318</v>
      </c>
    </row>
    <row r="102" spans="1:4" ht="50.5" customHeight="1" x14ac:dyDescent="0.35">
      <c r="A102" s="215" t="s">
        <v>711</v>
      </c>
      <c r="B102" s="215"/>
      <c r="C102" s="215"/>
      <c r="D102" s="215"/>
    </row>
    <row r="103" spans="1:4" ht="42" customHeight="1" x14ac:dyDescent="0.35">
      <c r="A103" s="284"/>
      <c r="B103" s="284"/>
      <c r="C103" s="284"/>
      <c r="D103" s="284"/>
    </row>
    <row r="104" spans="1:4" x14ac:dyDescent="0.35">
      <c r="A104" s="214" t="s">
        <v>712</v>
      </c>
      <c r="B104" s="214"/>
      <c r="C104" s="214"/>
      <c r="D104" s="214"/>
    </row>
    <row r="105" spans="1:4" x14ac:dyDescent="0.35">
      <c r="A105" s="295" t="s">
        <v>657</v>
      </c>
      <c r="B105" s="296">
        <v>17800</v>
      </c>
      <c r="C105" s="296">
        <v>23541</v>
      </c>
      <c r="D105" s="296">
        <v>25381</v>
      </c>
    </row>
    <row r="106" spans="1:4" x14ac:dyDescent="0.35">
      <c r="A106" s="295" t="s">
        <v>676</v>
      </c>
      <c r="B106" s="296">
        <v>8900</v>
      </c>
      <c r="C106" s="296">
        <v>9207</v>
      </c>
      <c r="D106" s="296">
        <v>9830</v>
      </c>
    </row>
    <row r="107" spans="1:4" x14ac:dyDescent="0.35">
      <c r="A107" s="297" t="s">
        <v>714</v>
      </c>
      <c r="B107" s="298">
        <v>2</v>
      </c>
      <c r="C107" s="298">
        <v>2.5568589116976201</v>
      </c>
      <c r="D107" s="298">
        <v>2.5819938962360101</v>
      </c>
    </row>
    <row r="108" spans="1:4" ht="48" customHeight="1" x14ac:dyDescent="0.35">
      <c r="A108" s="215" t="s">
        <v>715</v>
      </c>
      <c r="B108" s="215"/>
      <c r="C108" s="215"/>
      <c r="D108" s="215"/>
    </row>
    <row r="109" spans="1:4" ht="42" customHeight="1" x14ac:dyDescent="0.35">
      <c r="A109" s="284"/>
      <c r="B109" s="284"/>
      <c r="C109" s="284"/>
      <c r="D109" s="284"/>
    </row>
    <row r="110" spans="1:4" x14ac:dyDescent="0.35">
      <c r="A110" s="214" t="s">
        <v>716</v>
      </c>
      <c r="B110" s="214"/>
      <c r="C110" s="214"/>
      <c r="D110" s="214"/>
    </row>
    <row r="111" spans="1:4" x14ac:dyDescent="0.35">
      <c r="A111" s="295" t="s">
        <v>657</v>
      </c>
      <c r="B111" s="296">
        <v>17800</v>
      </c>
      <c r="C111" s="296">
        <v>23541</v>
      </c>
      <c r="D111" s="296">
        <v>25381</v>
      </c>
    </row>
    <row r="112" spans="1:4" x14ac:dyDescent="0.35">
      <c r="A112" s="299" t="s">
        <v>729</v>
      </c>
      <c r="B112" s="296">
        <v>8900</v>
      </c>
      <c r="C112" s="296">
        <v>9207</v>
      </c>
      <c r="D112" s="296">
        <v>9830</v>
      </c>
    </row>
    <row r="113" spans="1:4" x14ac:dyDescent="0.35">
      <c r="A113" s="299" t="s">
        <v>730</v>
      </c>
      <c r="B113" s="296">
        <v>14800</v>
      </c>
      <c r="C113" s="296">
        <v>11812</v>
      </c>
      <c r="D113" s="296">
        <v>19683</v>
      </c>
    </row>
    <row r="114" spans="1:4" x14ac:dyDescent="0.35">
      <c r="A114" s="299" t="s">
        <v>731</v>
      </c>
      <c r="B114" s="296">
        <v>3239</v>
      </c>
      <c r="C114" s="296">
        <v>4527</v>
      </c>
      <c r="D114" s="296">
        <v>4491</v>
      </c>
    </row>
    <row r="115" spans="1:4" x14ac:dyDescent="0.35">
      <c r="A115" s="300" t="s">
        <v>732</v>
      </c>
      <c r="B115" s="301">
        <v>26939</v>
      </c>
      <c r="C115" s="301">
        <v>25546</v>
      </c>
      <c r="D115" s="301">
        <v>34004</v>
      </c>
    </row>
    <row r="116" spans="1:4" x14ac:dyDescent="0.35">
      <c r="A116" s="297" t="s">
        <v>721</v>
      </c>
      <c r="B116" s="298">
        <v>0.66075206949033005</v>
      </c>
      <c r="C116" s="298">
        <v>0.92151413137086002</v>
      </c>
      <c r="D116" s="298">
        <v>0.74641218680155297</v>
      </c>
    </row>
    <row r="117" spans="1:4" ht="35" customHeight="1" x14ac:dyDescent="0.35">
      <c r="A117" s="215" t="s">
        <v>722</v>
      </c>
      <c r="B117" s="215"/>
      <c r="C117" s="215"/>
      <c r="D117" s="215"/>
    </row>
    <row r="118" spans="1:4" ht="43.5" customHeight="1" x14ac:dyDescent="0.35">
      <c r="A118" s="284"/>
      <c r="B118" s="284"/>
      <c r="C118" s="284"/>
      <c r="D118" s="284"/>
    </row>
    <row r="119" spans="1:4" x14ac:dyDescent="0.35">
      <c r="A119" s="214" t="s">
        <v>723</v>
      </c>
      <c r="B119" s="214"/>
      <c r="C119" s="214"/>
      <c r="D119" s="214"/>
    </row>
    <row r="120" spans="1:4" x14ac:dyDescent="0.35">
      <c r="A120" s="295" t="s">
        <v>733</v>
      </c>
      <c r="B120" s="296">
        <v>18500</v>
      </c>
      <c r="C120" s="296">
        <v>13112</v>
      </c>
      <c r="D120" s="296">
        <v>8722</v>
      </c>
    </row>
    <row r="121" spans="1:4" x14ac:dyDescent="0.35">
      <c r="A121" s="295" t="s">
        <v>657</v>
      </c>
      <c r="B121" s="296">
        <v>17800</v>
      </c>
      <c r="C121" s="296">
        <v>23541</v>
      </c>
      <c r="D121" s="296">
        <v>25381</v>
      </c>
    </row>
    <row r="122" spans="1:4" x14ac:dyDescent="0.35">
      <c r="A122" s="297" t="s">
        <v>725</v>
      </c>
      <c r="B122" s="298">
        <v>1.0393258426966301</v>
      </c>
      <c r="C122" s="298">
        <v>0.55698568455035902</v>
      </c>
      <c r="D122" s="298">
        <v>0.34364288247114</v>
      </c>
    </row>
    <row r="123" spans="1:4" ht="49.5" customHeight="1" x14ac:dyDescent="0.35">
      <c r="A123" s="215" t="s">
        <v>726</v>
      </c>
      <c r="B123" s="215"/>
      <c r="C123" s="215"/>
      <c r="D123" s="215"/>
    </row>
  </sheetData>
  <mergeCells count="27">
    <mergeCell ref="A92:D92"/>
    <mergeCell ref="A70:D70"/>
    <mergeCell ref="A72:D72"/>
    <mergeCell ref="A76:D76"/>
    <mergeCell ref="A78:D78"/>
    <mergeCell ref="A84:D84"/>
    <mergeCell ref="A110:D110"/>
    <mergeCell ref="A117:D117"/>
    <mergeCell ref="A119:D119"/>
    <mergeCell ref="A123:D123"/>
    <mergeCell ref="A96:D96"/>
    <mergeCell ref="A98:D98"/>
    <mergeCell ref="A102:D102"/>
    <mergeCell ref="A104:D104"/>
    <mergeCell ref="A108:D108"/>
    <mergeCell ref="A44:D44"/>
    <mergeCell ref="A1:D1"/>
    <mergeCell ref="A2:D2"/>
    <mergeCell ref="A5:D5"/>
    <mergeCell ref="A25:D25"/>
    <mergeCell ref="A34:D34"/>
    <mergeCell ref="A86:D86"/>
    <mergeCell ref="A90:D90"/>
    <mergeCell ref="A55:D55"/>
    <mergeCell ref="A57:D57"/>
    <mergeCell ref="A61:D61"/>
    <mergeCell ref="A63:D63"/>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5B53E-2CB8-491F-A7B5-1418C8DF4569}">
  <dimension ref="A1:G65"/>
  <sheetViews>
    <sheetView topLeftCell="A50" zoomScaleNormal="100" workbookViewId="0">
      <selection activeCell="B67" sqref="B67"/>
    </sheetView>
  </sheetViews>
  <sheetFormatPr defaultColWidth="8.6328125" defaultRowHeight="14.5" x14ac:dyDescent="0.35"/>
  <cols>
    <col min="1" max="1" width="40" customWidth="1"/>
    <col min="2" max="7" width="16" customWidth="1"/>
  </cols>
  <sheetData>
    <row r="1" spans="1:7" ht="21.75" customHeight="1" x14ac:dyDescent="0.35">
      <c r="A1" s="278" t="s">
        <v>631</v>
      </c>
      <c r="B1" s="278"/>
      <c r="C1" s="278"/>
      <c r="D1" s="278"/>
      <c r="E1" s="278"/>
      <c r="F1" s="278"/>
      <c r="G1" s="278"/>
    </row>
    <row r="2" spans="1:7" x14ac:dyDescent="0.35">
      <c r="A2" s="279" t="s">
        <v>630</v>
      </c>
      <c r="B2" s="279"/>
      <c r="C2" s="279"/>
      <c r="D2" s="279"/>
      <c r="E2" s="279"/>
      <c r="F2" s="279"/>
      <c r="G2" s="279"/>
    </row>
    <row r="3" spans="1:7" x14ac:dyDescent="0.35">
      <c r="B3" s="280" t="s">
        <v>629</v>
      </c>
      <c r="C3" s="280"/>
      <c r="D3" s="280"/>
      <c r="E3" s="281" t="s">
        <v>628</v>
      </c>
      <c r="F3" s="281"/>
      <c r="G3" s="281"/>
    </row>
    <row r="4" spans="1:7" x14ac:dyDescent="0.35">
      <c r="A4" s="188" t="s">
        <v>114</v>
      </c>
      <c r="B4" s="185" t="s">
        <v>587</v>
      </c>
      <c r="C4" s="185" t="s">
        <v>586</v>
      </c>
      <c r="D4" s="185" t="s">
        <v>585</v>
      </c>
      <c r="E4" s="184" t="s">
        <v>117</v>
      </c>
      <c r="F4" s="184" t="s">
        <v>118</v>
      </c>
      <c r="G4" s="184" t="s">
        <v>119</v>
      </c>
    </row>
    <row r="5" spans="1:7" x14ac:dyDescent="0.35">
      <c r="A5" s="183" t="s">
        <v>627</v>
      </c>
      <c r="B5" s="201">
        <v>315221</v>
      </c>
      <c r="C5" s="201">
        <v>375384</v>
      </c>
      <c r="D5" s="201">
        <v>350488</v>
      </c>
      <c r="E5" s="202">
        <v>215736</v>
      </c>
      <c r="F5" s="202">
        <v>285317</v>
      </c>
      <c r="G5" s="202">
        <v>307618</v>
      </c>
    </row>
    <row r="6" spans="1:7" x14ac:dyDescent="0.35">
      <c r="A6" s="183" t="s">
        <v>626</v>
      </c>
      <c r="B6" s="201">
        <v>-170490</v>
      </c>
      <c r="C6" s="201">
        <v>-106925</v>
      </c>
      <c r="D6" s="201">
        <v>-245812</v>
      </c>
      <c r="E6" s="202">
        <v>-119746</v>
      </c>
      <c r="F6" s="202">
        <v>-73714</v>
      </c>
      <c r="G6" s="202">
        <v>-90221</v>
      </c>
    </row>
    <row r="7" spans="1:7" x14ac:dyDescent="0.35">
      <c r="A7" s="183" t="s">
        <v>625</v>
      </c>
      <c r="B7" s="201">
        <v>-410592</v>
      </c>
      <c r="C7" s="201">
        <v>-653604</v>
      </c>
      <c r="D7" s="201">
        <v>-322108</v>
      </c>
      <c r="E7" s="202">
        <v>5587</v>
      </c>
      <c r="F7" s="202">
        <v>-240388</v>
      </c>
      <c r="G7" s="202">
        <v>-187278</v>
      </c>
    </row>
    <row r="8" spans="1:7" x14ac:dyDescent="0.35">
      <c r="A8" s="183" t="s">
        <v>624</v>
      </c>
      <c r="B8" s="201">
        <v>-116961</v>
      </c>
      <c r="C8" s="201">
        <v>-385145</v>
      </c>
      <c r="D8" s="201">
        <v>-217431</v>
      </c>
      <c r="E8" s="202">
        <v>101578</v>
      </c>
      <c r="F8" s="202">
        <v>-28785</v>
      </c>
      <c r="G8" s="202">
        <v>30118</v>
      </c>
    </row>
    <row r="9" spans="1:7" x14ac:dyDescent="0.35">
      <c r="A9" s="183" t="s">
        <v>623</v>
      </c>
      <c r="B9" s="201">
        <v>424588</v>
      </c>
      <c r="C9" s="201">
        <v>838009</v>
      </c>
      <c r="D9" s="201">
        <v>614741</v>
      </c>
      <c r="E9" s="202">
        <v>101578</v>
      </c>
      <c r="F9" s="202">
        <v>65981</v>
      </c>
      <c r="G9" s="202">
        <v>96839</v>
      </c>
    </row>
    <row r="10" spans="1:7" x14ac:dyDescent="0.35">
      <c r="A10" s="183" t="s">
        <v>622</v>
      </c>
      <c r="B10" s="201">
        <v>-112568</v>
      </c>
      <c r="C10" s="201">
        <v>-91670</v>
      </c>
      <c r="D10" s="201">
        <v>-131628</v>
      </c>
      <c r="E10" s="202">
        <v>-107868</v>
      </c>
      <c r="F10" s="202">
        <v>-111589</v>
      </c>
      <c r="G10" s="202">
        <v>-119140</v>
      </c>
    </row>
    <row r="11" spans="1:7" x14ac:dyDescent="0.35">
      <c r="A11" s="183" t="s">
        <v>621</v>
      </c>
      <c r="B11" s="201">
        <v>-44372</v>
      </c>
      <c r="C11" s="201">
        <v>-84143</v>
      </c>
      <c r="D11" s="201">
        <v>-106374</v>
      </c>
      <c r="E11" s="202">
        <v>-33548</v>
      </c>
      <c r="F11" s="202">
        <v>-49159</v>
      </c>
      <c r="G11" s="202">
        <v>-54431</v>
      </c>
    </row>
    <row r="13" spans="1:7" x14ac:dyDescent="0.35">
      <c r="A13" s="191" t="s">
        <v>620</v>
      </c>
      <c r="B13" s="203"/>
      <c r="C13" s="203"/>
      <c r="D13" s="203"/>
      <c r="E13" s="203"/>
      <c r="F13" s="203"/>
      <c r="G13" s="203"/>
    </row>
    <row r="14" spans="1:7" x14ac:dyDescent="0.35">
      <c r="A14" s="204" t="s">
        <v>619</v>
      </c>
      <c r="B14" s="205">
        <v>2.8</v>
      </c>
      <c r="C14" s="205">
        <v>4.09</v>
      </c>
      <c r="D14" s="205">
        <v>2.66</v>
      </c>
      <c r="E14" s="206"/>
      <c r="F14" s="206"/>
      <c r="G14" s="206"/>
    </row>
    <row r="15" spans="1:7" x14ac:dyDescent="0.35">
      <c r="A15" s="207" t="s">
        <v>618</v>
      </c>
      <c r="B15" s="208"/>
      <c r="C15" s="208"/>
      <c r="D15" s="208"/>
      <c r="E15" s="209">
        <v>1.8</v>
      </c>
      <c r="F15" s="209">
        <v>2.56</v>
      </c>
      <c r="G15" s="209">
        <v>2.58</v>
      </c>
    </row>
    <row r="17" spans="1:7" x14ac:dyDescent="0.35">
      <c r="A17" s="200" t="s">
        <v>617</v>
      </c>
    </row>
    <row r="19" spans="1:7" x14ac:dyDescent="0.35">
      <c r="A19" s="213" t="s">
        <v>679</v>
      </c>
      <c r="B19" s="213"/>
      <c r="C19" s="213"/>
      <c r="D19" s="213"/>
      <c r="E19" s="213"/>
      <c r="F19" s="213"/>
      <c r="G19" s="213"/>
    </row>
    <row r="20" spans="1:7" x14ac:dyDescent="0.35">
      <c r="A20" s="303" t="s">
        <v>441</v>
      </c>
      <c r="B20" s="304" t="s">
        <v>680</v>
      </c>
      <c r="C20" s="304" t="s">
        <v>681</v>
      </c>
      <c r="D20" s="304" t="s">
        <v>682</v>
      </c>
      <c r="E20" s="305" t="s">
        <v>683</v>
      </c>
      <c r="F20" s="305" t="s">
        <v>684</v>
      </c>
      <c r="G20" s="305" t="s">
        <v>685</v>
      </c>
    </row>
    <row r="21" spans="1:7" ht="42.5" customHeight="1" x14ac:dyDescent="0.35">
      <c r="A21" s="306" t="s">
        <v>686</v>
      </c>
      <c r="B21" s="307">
        <v>1.62846153846154</v>
      </c>
      <c r="C21" s="307">
        <v>1.45658077189739</v>
      </c>
      <c r="D21" s="308">
        <v>1.4009761033241099</v>
      </c>
      <c r="E21" s="308">
        <v>1.07074109720886</v>
      </c>
      <c r="F21" s="308">
        <v>1.37073483172237</v>
      </c>
      <c r="G21" s="307">
        <v>1.4826216484607799</v>
      </c>
    </row>
    <row r="22" spans="1:7" ht="43.5" customHeight="1" x14ac:dyDescent="0.35">
      <c r="A22" s="306" t="s">
        <v>687</v>
      </c>
      <c r="B22" s="307">
        <v>1.6728565784275</v>
      </c>
      <c r="C22" s="307">
        <v>2.20006108735492</v>
      </c>
      <c r="D22" s="307">
        <v>2.77200730141907</v>
      </c>
      <c r="E22" s="308">
        <v>0.96739130434782605</v>
      </c>
      <c r="F22" s="308">
        <v>1.5633550272280501</v>
      </c>
      <c r="G22" s="308">
        <v>1.1359201575366999</v>
      </c>
    </row>
    <row r="23" spans="1:7" ht="47" customHeight="1" x14ac:dyDescent="0.35">
      <c r="A23" s="306" t="s">
        <v>688</v>
      </c>
      <c r="B23" s="307">
        <v>11.8286445012788</v>
      </c>
      <c r="C23" s="307">
        <v>18.6729758149317</v>
      </c>
      <c r="D23" s="307">
        <v>18.798487712665398</v>
      </c>
      <c r="E23" s="308">
        <v>5.94444444444445</v>
      </c>
      <c r="F23" s="308">
        <v>8.2523105360443605</v>
      </c>
      <c r="G23" s="308">
        <v>10.5381435550545</v>
      </c>
    </row>
    <row r="24" spans="1:7" ht="48" customHeight="1" x14ac:dyDescent="0.35">
      <c r="A24" s="306" t="s">
        <v>689</v>
      </c>
      <c r="B24" s="307">
        <v>0.92384900720052399</v>
      </c>
      <c r="C24" s="307">
        <v>0.892817933916493</v>
      </c>
      <c r="D24" s="308">
        <v>0.81997108668768404</v>
      </c>
      <c r="E24" s="308">
        <v>0.60106706287566702</v>
      </c>
      <c r="F24" s="308">
        <v>0.80528854376902803</v>
      </c>
      <c r="G24" s="307">
        <v>0.884694482205723</v>
      </c>
    </row>
    <row r="25" spans="1:7" ht="44.5" customHeight="1" x14ac:dyDescent="0.35">
      <c r="A25" s="306" t="s">
        <v>690</v>
      </c>
      <c r="B25" s="307">
        <v>0.35710911667453898</v>
      </c>
      <c r="C25" s="307">
        <v>0.24420380397056801</v>
      </c>
      <c r="D25" s="307">
        <v>0.37555494190368999</v>
      </c>
      <c r="E25" s="308">
        <v>0.5</v>
      </c>
      <c r="F25" s="308">
        <v>0.391104880846183</v>
      </c>
      <c r="G25" s="308">
        <v>0.38729758480753301</v>
      </c>
    </row>
    <row r="26" spans="1:7" x14ac:dyDescent="0.35">
      <c r="A26" s="293"/>
      <c r="B26" s="293"/>
      <c r="C26" s="293"/>
      <c r="D26" s="293"/>
      <c r="E26" s="293"/>
      <c r="F26" s="293"/>
      <c r="G26" s="293"/>
    </row>
    <row r="27" spans="1:7" x14ac:dyDescent="0.35">
      <c r="A27" s="277" t="s">
        <v>691</v>
      </c>
      <c r="B27" s="277"/>
      <c r="C27" s="277"/>
      <c r="D27" s="277"/>
      <c r="E27" s="277"/>
      <c r="F27" s="277"/>
      <c r="G27" s="277"/>
    </row>
    <row r="28" spans="1:7" x14ac:dyDescent="0.35">
      <c r="A28" s="293"/>
      <c r="B28" s="293"/>
      <c r="C28" s="293"/>
      <c r="D28" s="293"/>
      <c r="E28" s="293"/>
      <c r="F28" s="293"/>
      <c r="G28" s="293"/>
    </row>
    <row r="29" spans="1:7" x14ac:dyDescent="0.35">
      <c r="A29" s="213" t="s">
        <v>692</v>
      </c>
      <c r="B29" s="213"/>
      <c r="C29" s="213"/>
      <c r="D29" s="213"/>
      <c r="E29" s="213"/>
      <c r="F29" s="213"/>
      <c r="G29" s="213"/>
    </row>
    <row r="30" spans="1:7" ht="57.5" customHeight="1" x14ac:dyDescent="0.35">
      <c r="A30" s="309" t="s">
        <v>693</v>
      </c>
      <c r="B30" s="276" t="s">
        <v>694</v>
      </c>
      <c r="C30" s="276"/>
      <c r="D30" s="276"/>
      <c r="E30" s="276"/>
      <c r="F30" s="276"/>
      <c r="G30" s="276"/>
    </row>
    <row r="31" spans="1:7" ht="57.5" customHeight="1" x14ac:dyDescent="0.35">
      <c r="A31" s="309" t="s">
        <v>695</v>
      </c>
      <c r="B31" s="276" t="s">
        <v>696</v>
      </c>
      <c r="C31" s="276"/>
      <c r="D31" s="276"/>
      <c r="E31" s="276"/>
      <c r="F31" s="276"/>
      <c r="G31" s="276"/>
    </row>
    <row r="32" spans="1:7" ht="57.5" customHeight="1" x14ac:dyDescent="0.35">
      <c r="A32" s="309" t="s">
        <v>697</v>
      </c>
      <c r="B32" s="276" t="s">
        <v>698</v>
      </c>
      <c r="C32" s="276"/>
      <c r="D32" s="276"/>
      <c r="E32" s="276"/>
      <c r="F32" s="276"/>
      <c r="G32" s="276"/>
    </row>
    <row r="33" spans="1:7" ht="57.5" customHeight="1" x14ac:dyDescent="0.35">
      <c r="A33" s="309" t="s">
        <v>699</v>
      </c>
      <c r="B33" s="276" t="s">
        <v>700</v>
      </c>
      <c r="C33" s="276"/>
      <c r="D33" s="276"/>
      <c r="E33" s="276"/>
      <c r="F33" s="276"/>
      <c r="G33" s="276"/>
    </row>
    <row r="34" spans="1:7" ht="57.5" customHeight="1" x14ac:dyDescent="0.35">
      <c r="A34" s="309" t="s">
        <v>701</v>
      </c>
      <c r="B34" s="276" t="s">
        <v>702</v>
      </c>
      <c r="C34" s="276"/>
      <c r="D34" s="276"/>
      <c r="E34" s="276"/>
      <c r="F34" s="276"/>
      <c r="G34" s="276"/>
    </row>
    <row r="35" spans="1:7" x14ac:dyDescent="0.35">
      <c r="A35" s="293"/>
      <c r="B35" s="293"/>
      <c r="C35" s="293"/>
      <c r="D35" s="293"/>
      <c r="E35" s="293"/>
      <c r="F35" s="293"/>
      <c r="G35" s="293"/>
    </row>
    <row r="36" spans="1:7" x14ac:dyDescent="0.35">
      <c r="A36" s="213" t="s">
        <v>734</v>
      </c>
      <c r="B36" s="213"/>
      <c r="C36" s="213"/>
      <c r="D36" s="213"/>
      <c r="E36" s="213"/>
      <c r="F36" s="213"/>
      <c r="G36" s="213"/>
    </row>
    <row r="37" spans="1:7" x14ac:dyDescent="0.35">
      <c r="A37" s="303" t="s">
        <v>441</v>
      </c>
      <c r="B37" s="304" t="s">
        <v>680</v>
      </c>
      <c r="C37" s="304" t="s">
        <v>681</v>
      </c>
      <c r="D37" s="304" t="s">
        <v>682</v>
      </c>
      <c r="E37" s="305" t="s">
        <v>683</v>
      </c>
      <c r="F37" s="305" t="s">
        <v>684</v>
      </c>
      <c r="G37" s="305" t="s">
        <v>685</v>
      </c>
    </row>
    <row r="38" spans="1:7" ht="51.5" customHeight="1" x14ac:dyDescent="0.35">
      <c r="A38" s="306" t="s">
        <v>735</v>
      </c>
      <c r="B38" s="307">
        <v>0.238199718706048</v>
      </c>
      <c r="C38" s="307">
        <v>0.26506676479865399</v>
      </c>
      <c r="D38" s="307">
        <v>0.24071687886690199</v>
      </c>
      <c r="E38" s="308">
        <v>0.16558139534883701</v>
      </c>
      <c r="F38" s="308">
        <v>0.196502504173623</v>
      </c>
      <c r="G38" s="308">
        <v>0.1982890625</v>
      </c>
    </row>
    <row r="39" spans="1:7" ht="53.5" customHeight="1" x14ac:dyDescent="0.35">
      <c r="A39" s="306" t="s">
        <v>736</v>
      </c>
      <c r="B39" s="307">
        <v>0.11893258426966299</v>
      </c>
      <c r="C39" s="307">
        <v>0.13130468749999999</v>
      </c>
      <c r="D39" s="308">
        <v>0.11623950617284</v>
      </c>
      <c r="E39" s="308">
        <v>9.2708333333333295E-2</v>
      </c>
      <c r="F39" s="308">
        <v>0.116539603960396</v>
      </c>
      <c r="G39" s="307">
        <v>0.118602803738318</v>
      </c>
    </row>
    <row r="40" spans="1:7" ht="48" customHeight="1" x14ac:dyDescent="0.35">
      <c r="A40" s="306" t="s">
        <v>737</v>
      </c>
      <c r="B40" s="307">
        <v>2.8002645502645498</v>
      </c>
      <c r="C40" s="307">
        <v>4.0949403069926102</v>
      </c>
      <c r="D40" s="307">
        <v>2.6627262443438902</v>
      </c>
      <c r="E40" s="308">
        <v>2</v>
      </c>
      <c r="F40" s="308">
        <v>2.5568589116976201</v>
      </c>
      <c r="G40" s="308">
        <v>2.5819938962360101</v>
      </c>
    </row>
    <row r="41" spans="1:7" ht="53" customHeight="1" x14ac:dyDescent="0.35">
      <c r="A41" s="306" t="s">
        <v>738</v>
      </c>
      <c r="B41" s="307">
        <v>0.99296435272045003</v>
      </c>
      <c r="C41" s="307">
        <v>1.1488823569622</v>
      </c>
      <c r="D41" s="307">
        <v>1.01197334479794</v>
      </c>
      <c r="E41" s="308">
        <v>0.66075206949033005</v>
      </c>
      <c r="F41" s="308">
        <v>0.92151413137086002</v>
      </c>
      <c r="G41" s="308">
        <v>0.74641218680155297</v>
      </c>
    </row>
    <row r="42" spans="1:7" ht="54.5" customHeight="1" x14ac:dyDescent="0.35">
      <c r="A42" s="306" t="s">
        <v>739</v>
      </c>
      <c r="B42" s="307">
        <v>0.19367028814359899</v>
      </c>
      <c r="C42" s="307">
        <v>8.2862299438725903E-2</v>
      </c>
      <c r="D42" s="307">
        <v>0.191537268729953</v>
      </c>
      <c r="E42" s="308">
        <v>1.0393258426966301</v>
      </c>
      <c r="F42" s="308">
        <v>0.55698568455035902</v>
      </c>
      <c r="G42" s="308">
        <v>0.34364288247114</v>
      </c>
    </row>
    <row r="43" spans="1:7" x14ac:dyDescent="0.35">
      <c r="A43" s="293"/>
      <c r="B43" s="293"/>
      <c r="C43" s="293"/>
      <c r="D43" s="293"/>
      <c r="E43" s="293"/>
      <c r="F43" s="293"/>
      <c r="G43" s="293"/>
    </row>
    <row r="44" spans="1:7" x14ac:dyDescent="0.35">
      <c r="A44" s="277" t="s">
        <v>740</v>
      </c>
      <c r="B44" s="277"/>
      <c r="C44" s="277"/>
      <c r="D44" s="277"/>
      <c r="E44" s="277"/>
      <c r="F44" s="277"/>
      <c r="G44" s="277"/>
    </row>
    <row r="45" spans="1:7" x14ac:dyDescent="0.35">
      <c r="A45" s="293"/>
      <c r="B45" s="293"/>
      <c r="C45" s="293"/>
      <c r="D45" s="293"/>
      <c r="E45" s="293"/>
      <c r="F45" s="293"/>
      <c r="G45" s="293"/>
    </row>
    <row r="46" spans="1:7" x14ac:dyDescent="0.35">
      <c r="A46" s="213" t="s">
        <v>741</v>
      </c>
      <c r="B46" s="213"/>
      <c r="C46" s="213"/>
      <c r="D46" s="213"/>
      <c r="E46" s="213"/>
      <c r="F46" s="213"/>
      <c r="G46" s="213"/>
    </row>
    <row r="47" spans="1:7" ht="60.5" customHeight="1" x14ac:dyDescent="0.35">
      <c r="A47" s="310" t="s">
        <v>742</v>
      </c>
      <c r="B47" s="276" t="s">
        <v>743</v>
      </c>
      <c r="C47" s="276"/>
      <c r="D47" s="276"/>
      <c r="E47" s="276"/>
      <c r="F47" s="276"/>
      <c r="G47" s="276"/>
    </row>
    <row r="48" spans="1:7" ht="60.5" customHeight="1" x14ac:dyDescent="0.35">
      <c r="A48" s="310" t="s">
        <v>744</v>
      </c>
      <c r="B48" s="276" t="s">
        <v>745</v>
      </c>
      <c r="C48" s="276"/>
      <c r="D48" s="276"/>
      <c r="E48" s="276"/>
      <c r="F48" s="276"/>
      <c r="G48" s="276"/>
    </row>
    <row r="49" spans="1:7" ht="60.5" customHeight="1" x14ac:dyDescent="0.35">
      <c r="A49" s="310" t="s">
        <v>746</v>
      </c>
      <c r="B49" s="276" t="s">
        <v>747</v>
      </c>
      <c r="C49" s="276"/>
      <c r="D49" s="276"/>
      <c r="E49" s="276"/>
      <c r="F49" s="276"/>
      <c r="G49" s="276"/>
    </row>
    <row r="50" spans="1:7" ht="60.5" customHeight="1" x14ac:dyDescent="0.35">
      <c r="A50" s="310" t="s">
        <v>748</v>
      </c>
      <c r="B50" s="276" t="s">
        <v>749</v>
      </c>
      <c r="C50" s="276"/>
      <c r="D50" s="276"/>
      <c r="E50" s="276"/>
      <c r="F50" s="276"/>
      <c r="G50" s="276"/>
    </row>
    <row r="51" spans="1:7" ht="60.5" customHeight="1" x14ac:dyDescent="0.35">
      <c r="A51" s="310" t="s">
        <v>750</v>
      </c>
      <c r="B51" s="276" t="s">
        <v>751</v>
      </c>
      <c r="C51" s="276"/>
      <c r="D51" s="276"/>
      <c r="E51" s="276"/>
      <c r="F51" s="276"/>
      <c r="G51" s="276"/>
    </row>
    <row r="52" spans="1:7" x14ac:dyDescent="0.35">
      <c r="A52" s="293"/>
      <c r="B52" s="293"/>
      <c r="C52" s="293"/>
      <c r="D52" s="293"/>
      <c r="E52" s="293"/>
      <c r="F52" s="293"/>
      <c r="G52" s="293"/>
    </row>
    <row r="53" spans="1:7" x14ac:dyDescent="0.35">
      <c r="A53" s="293"/>
      <c r="B53" s="293"/>
      <c r="C53" s="293"/>
      <c r="D53" s="293"/>
      <c r="E53" s="293"/>
      <c r="F53" s="293"/>
      <c r="G53" s="293"/>
    </row>
    <row r="54" spans="1:7" x14ac:dyDescent="0.35">
      <c r="A54" s="213" t="s">
        <v>752</v>
      </c>
      <c r="B54" s="213"/>
      <c r="C54" s="213"/>
      <c r="D54" s="213"/>
      <c r="E54" s="213"/>
      <c r="F54" s="213"/>
      <c r="G54" s="213"/>
    </row>
    <row r="55" spans="1:7" x14ac:dyDescent="0.35">
      <c r="A55" s="303" t="s">
        <v>441</v>
      </c>
      <c r="B55" s="303" t="s">
        <v>753</v>
      </c>
      <c r="C55" s="304" t="s">
        <v>682</v>
      </c>
      <c r="D55" s="305" t="s">
        <v>685</v>
      </c>
      <c r="E55" s="303" t="s">
        <v>440</v>
      </c>
      <c r="F55" s="315" t="s">
        <v>754</v>
      </c>
      <c r="G55" s="315"/>
    </row>
    <row r="56" spans="1:7" ht="21.5" customHeight="1" x14ac:dyDescent="0.35">
      <c r="A56" s="311" t="s">
        <v>755</v>
      </c>
      <c r="B56" s="316" t="s">
        <v>756</v>
      </c>
      <c r="C56" s="308">
        <v>1.4</v>
      </c>
      <c r="D56" s="312">
        <v>1.48</v>
      </c>
      <c r="E56" s="313" t="s">
        <v>380</v>
      </c>
      <c r="F56" s="302" t="s">
        <v>757</v>
      </c>
      <c r="G56" s="302"/>
    </row>
    <row r="57" spans="1:7" ht="21.5" customHeight="1" x14ac:dyDescent="0.35">
      <c r="A57" s="311" t="s">
        <v>758</v>
      </c>
      <c r="B57" s="316" t="s">
        <v>759</v>
      </c>
      <c r="C57" s="314">
        <v>2.77</v>
      </c>
      <c r="D57" s="308">
        <v>1.1399999999999999</v>
      </c>
      <c r="E57" s="313" t="s">
        <v>164</v>
      </c>
      <c r="F57" s="302" t="s">
        <v>760</v>
      </c>
      <c r="G57" s="302"/>
    </row>
    <row r="58" spans="1:7" ht="21.5" customHeight="1" x14ac:dyDescent="0.35">
      <c r="A58" s="311" t="s">
        <v>761</v>
      </c>
      <c r="B58" s="316" t="s">
        <v>762</v>
      </c>
      <c r="C58" s="314">
        <v>18.8</v>
      </c>
      <c r="D58" s="308">
        <v>10.54</v>
      </c>
      <c r="E58" s="313" t="s">
        <v>164</v>
      </c>
      <c r="F58" s="302" t="s">
        <v>763</v>
      </c>
      <c r="G58" s="302"/>
    </row>
    <row r="59" spans="1:7" ht="21.5" customHeight="1" x14ac:dyDescent="0.35">
      <c r="A59" s="311" t="s">
        <v>764</v>
      </c>
      <c r="B59" s="316" t="s">
        <v>765</v>
      </c>
      <c r="C59" s="308">
        <v>0.82</v>
      </c>
      <c r="D59" s="312">
        <v>0.89</v>
      </c>
      <c r="E59" s="313" t="s">
        <v>380</v>
      </c>
      <c r="F59" s="302" t="s">
        <v>766</v>
      </c>
      <c r="G59" s="302"/>
    </row>
    <row r="60" spans="1:7" ht="21.5" customHeight="1" x14ac:dyDescent="0.35">
      <c r="A60" s="311" t="s">
        <v>767</v>
      </c>
      <c r="B60" s="316" t="s">
        <v>768</v>
      </c>
      <c r="C60" s="314">
        <v>0.38</v>
      </c>
      <c r="D60" s="308">
        <v>0.39</v>
      </c>
      <c r="E60" s="313" t="s">
        <v>164</v>
      </c>
      <c r="F60" s="302" t="s">
        <v>769</v>
      </c>
      <c r="G60" s="302"/>
    </row>
    <row r="61" spans="1:7" ht="21.5" customHeight="1" x14ac:dyDescent="0.35">
      <c r="A61" s="311" t="s">
        <v>770</v>
      </c>
      <c r="B61" s="316" t="s">
        <v>771</v>
      </c>
      <c r="C61" s="314">
        <v>0.24099999999999999</v>
      </c>
      <c r="D61" s="308">
        <v>0.19800000000000001</v>
      </c>
      <c r="E61" s="313" t="s">
        <v>164</v>
      </c>
      <c r="F61" s="302" t="s">
        <v>772</v>
      </c>
      <c r="G61" s="302"/>
    </row>
    <row r="62" spans="1:7" ht="21.5" customHeight="1" x14ac:dyDescent="0.35">
      <c r="A62" s="311" t="s">
        <v>773</v>
      </c>
      <c r="B62" s="316" t="s">
        <v>774</v>
      </c>
      <c r="C62" s="308">
        <v>0.11600000000000001</v>
      </c>
      <c r="D62" s="312">
        <v>0.11899999999999999</v>
      </c>
      <c r="E62" s="313" t="s">
        <v>380</v>
      </c>
      <c r="F62" s="302" t="s">
        <v>775</v>
      </c>
      <c r="G62" s="302"/>
    </row>
    <row r="63" spans="1:7" ht="21.5" customHeight="1" x14ac:dyDescent="0.35">
      <c r="A63" s="311" t="s">
        <v>776</v>
      </c>
      <c r="B63" s="316" t="s">
        <v>777</v>
      </c>
      <c r="C63" s="314">
        <v>2.6629999999999998</v>
      </c>
      <c r="D63" s="308">
        <v>2.5819999999999999</v>
      </c>
      <c r="E63" s="313" t="s">
        <v>164</v>
      </c>
      <c r="F63" s="302" t="s">
        <v>778</v>
      </c>
      <c r="G63" s="302"/>
    </row>
    <row r="64" spans="1:7" ht="21.5" customHeight="1" x14ac:dyDescent="0.35">
      <c r="A64" s="311" t="s">
        <v>779</v>
      </c>
      <c r="B64" s="316" t="s">
        <v>780</v>
      </c>
      <c r="C64" s="314">
        <v>1.012</v>
      </c>
      <c r="D64" s="308">
        <v>0.746</v>
      </c>
      <c r="E64" s="313" t="s">
        <v>164</v>
      </c>
      <c r="F64" s="302" t="s">
        <v>757</v>
      </c>
      <c r="G64" s="302"/>
    </row>
    <row r="65" spans="1:7" ht="21.5" customHeight="1" x14ac:dyDescent="0.35">
      <c r="A65" s="311" t="s">
        <v>781</v>
      </c>
      <c r="B65" s="316" t="s">
        <v>782</v>
      </c>
      <c r="C65" s="314">
        <v>0.192</v>
      </c>
      <c r="D65" s="308">
        <v>0.34399999999999997</v>
      </c>
      <c r="E65" s="313" t="s">
        <v>164</v>
      </c>
      <c r="F65" s="302" t="s">
        <v>783</v>
      </c>
      <c r="G65" s="302"/>
    </row>
  </sheetData>
  <mergeCells count="32">
    <mergeCell ref="A36:G36"/>
    <mergeCell ref="A44:G44"/>
    <mergeCell ref="A27:G27"/>
    <mergeCell ref="A29:G29"/>
    <mergeCell ref="B30:G30"/>
    <mergeCell ref="B31:G31"/>
    <mergeCell ref="B32:G32"/>
    <mergeCell ref="A46:G46"/>
    <mergeCell ref="B47:G47"/>
    <mergeCell ref="B48:G48"/>
    <mergeCell ref="B49:G49"/>
    <mergeCell ref="B50:G50"/>
    <mergeCell ref="B51:G51"/>
    <mergeCell ref="A54:G54"/>
    <mergeCell ref="F55:G55"/>
    <mergeCell ref="F56:G56"/>
    <mergeCell ref="F57:G57"/>
    <mergeCell ref="F63:G63"/>
    <mergeCell ref="F64:G64"/>
    <mergeCell ref="F65:G65"/>
    <mergeCell ref="F58:G58"/>
    <mergeCell ref="F59:G59"/>
    <mergeCell ref="F60:G60"/>
    <mergeCell ref="F61:G61"/>
    <mergeCell ref="F62:G62"/>
    <mergeCell ref="A1:G1"/>
    <mergeCell ref="A2:G2"/>
    <mergeCell ref="B3:D3"/>
    <mergeCell ref="E3:G3"/>
    <mergeCell ref="B33:G33"/>
    <mergeCell ref="A19:G19"/>
    <mergeCell ref="B34:G34"/>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B0BD7-E006-4886-9FA2-026B45042641}">
  <dimension ref="A1:B21"/>
  <sheetViews>
    <sheetView tabSelected="1" zoomScaleNormal="100" workbookViewId="0">
      <selection activeCell="A7" sqref="A7"/>
    </sheetView>
  </sheetViews>
  <sheetFormatPr defaultColWidth="8.6328125" defaultRowHeight="14.5" x14ac:dyDescent="0.35"/>
  <cols>
    <col min="1" max="1" width="19.54296875" customWidth="1"/>
    <col min="2" max="2" width="121.453125" customWidth="1"/>
  </cols>
  <sheetData>
    <row r="1" spans="1:2" ht="21.75" customHeight="1" x14ac:dyDescent="0.35">
      <c r="A1" s="282" t="s">
        <v>654</v>
      </c>
      <c r="B1" s="282"/>
    </row>
    <row r="3" spans="1:2" ht="18" customHeight="1" x14ac:dyDescent="0.35">
      <c r="A3" s="283" t="s">
        <v>653</v>
      </c>
      <c r="B3" s="283"/>
    </row>
    <row r="4" spans="1:2" ht="51.5" customHeight="1" x14ac:dyDescent="0.35">
      <c r="A4" s="210" t="s">
        <v>644</v>
      </c>
      <c r="B4" s="211" t="s">
        <v>652</v>
      </c>
    </row>
    <row r="5" spans="1:2" ht="46.5" customHeight="1" x14ac:dyDescent="0.35">
      <c r="A5" s="210" t="s">
        <v>642</v>
      </c>
      <c r="B5" s="211" t="s">
        <v>651</v>
      </c>
    </row>
    <row r="6" spans="1:2" ht="46" customHeight="1" x14ac:dyDescent="0.35">
      <c r="A6" s="210" t="s">
        <v>640</v>
      </c>
      <c r="B6" s="211" t="s">
        <v>650</v>
      </c>
    </row>
    <row r="8" spans="1:2" ht="18" customHeight="1" x14ac:dyDescent="0.35">
      <c r="A8" s="283" t="s">
        <v>649</v>
      </c>
      <c r="B8" s="283"/>
    </row>
    <row r="9" spans="1:2" ht="66" customHeight="1" x14ac:dyDescent="0.35">
      <c r="A9" s="210" t="s">
        <v>644</v>
      </c>
      <c r="B9" s="211" t="s">
        <v>648</v>
      </c>
    </row>
    <row r="10" spans="1:2" ht="61" customHeight="1" x14ac:dyDescent="0.35">
      <c r="A10" s="210" t="s">
        <v>642</v>
      </c>
      <c r="B10" s="211" t="s">
        <v>647</v>
      </c>
    </row>
    <row r="11" spans="1:2" ht="47" customHeight="1" x14ac:dyDescent="0.35">
      <c r="A11" s="210" t="s">
        <v>640</v>
      </c>
      <c r="B11" s="211" t="s">
        <v>646</v>
      </c>
    </row>
    <row r="13" spans="1:2" ht="18" customHeight="1" x14ac:dyDescent="0.35">
      <c r="A13" s="283" t="s">
        <v>645</v>
      </c>
      <c r="B13" s="283"/>
    </row>
    <row r="14" spans="1:2" ht="59" customHeight="1" x14ac:dyDescent="0.35">
      <c r="A14" s="210" t="s">
        <v>644</v>
      </c>
      <c r="B14" s="211" t="s">
        <v>643</v>
      </c>
    </row>
    <row r="15" spans="1:2" ht="60.5" customHeight="1" x14ac:dyDescent="0.35">
      <c r="A15" s="210" t="s">
        <v>642</v>
      </c>
      <c r="B15" s="211" t="s">
        <v>641</v>
      </c>
    </row>
    <row r="16" spans="1:2" ht="48.5" customHeight="1" x14ac:dyDescent="0.35">
      <c r="A16" s="210" t="s">
        <v>640</v>
      </c>
      <c r="B16" s="211" t="s">
        <v>639</v>
      </c>
    </row>
    <row r="18" spans="1:2" ht="18" customHeight="1" x14ac:dyDescent="0.35">
      <c r="A18" s="283" t="s">
        <v>638</v>
      </c>
      <c r="B18" s="283"/>
    </row>
    <row r="19" spans="1:2" ht="37.5" customHeight="1" x14ac:dyDescent="0.35">
      <c r="A19" s="210" t="s">
        <v>637</v>
      </c>
      <c r="B19" s="211" t="s">
        <v>636</v>
      </c>
    </row>
    <row r="20" spans="1:2" ht="47.5" customHeight="1" x14ac:dyDescent="0.35">
      <c r="A20" s="210" t="s">
        <v>635</v>
      </c>
      <c r="B20" s="211" t="s">
        <v>634</v>
      </c>
    </row>
    <row r="21" spans="1:2" ht="46.5" customHeight="1" x14ac:dyDescent="0.35">
      <c r="A21" s="210" t="s">
        <v>633</v>
      </c>
      <c r="B21" s="211" t="s">
        <v>632</v>
      </c>
    </row>
  </sheetData>
  <mergeCells count="5">
    <mergeCell ref="A1:B1"/>
    <mergeCell ref="A3:B3"/>
    <mergeCell ref="A8:B8"/>
    <mergeCell ref="A13:B13"/>
    <mergeCell ref="A18:B18"/>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Cover</vt:lpstr>
      <vt:lpstr>Executive Summary</vt:lpstr>
      <vt:lpstr>Company Overview</vt:lpstr>
      <vt:lpstr>Financial Statements</vt:lpstr>
      <vt:lpstr>Efficiency Metrics</vt:lpstr>
      <vt:lpstr>Segment Analysis</vt:lpstr>
      <vt:lpstr>Acquisitions &amp; Strategy</vt:lpstr>
      <vt:lpstr>Shareholding &amp; Governance</vt:lpstr>
      <vt:lpstr>Stock Market Analysis</vt:lpstr>
      <vt:lpstr>Charts Data</vt:lpstr>
      <vt:lpstr>Assumptions &amp; Notes</vt:lpstr>
      <vt:lpstr>Part 2</vt:lpstr>
      <vt:lpstr>Profit Ratios</vt:lpstr>
      <vt:lpstr>Extended Ratios</vt:lpstr>
      <vt:lpstr>Expense Analysis</vt:lpstr>
      <vt:lpstr>Growth Trends</vt:lpstr>
      <vt:lpstr>Notes and assumptions Part 2</vt:lpstr>
      <vt:lpstr>Cover_Part 3</vt:lpstr>
      <vt:lpstr>SIA_CFS</vt:lpstr>
      <vt:lpstr>Cathay_CFS</vt:lpstr>
      <vt:lpstr>Comparison_INR</vt:lpstr>
      <vt:lpstr>Analysis_Commentary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Naman Jain</cp:lastModifiedBy>
  <cp:revision>0</cp:revision>
  <dcterms:created xsi:type="dcterms:W3CDTF">2026-06-01T16:48:41Z</dcterms:created>
  <dcterms:modified xsi:type="dcterms:W3CDTF">2026-06-23T14:17:14Z</dcterms:modified>
  <dc:language>en-US</dc:language>
</cp:coreProperties>
</file>