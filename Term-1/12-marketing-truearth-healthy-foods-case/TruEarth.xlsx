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NeT\OneDrive\Desktop\"/>
    </mc:Choice>
  </mc:AlternateContent>
  <xr:revisionPtr revIDLastSave="0" documentId="13_ncr:1_{73D38F90-AD02-47C9-A2D1-726ED100AD5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D31" i="1"/>
  <c r="B31" i="1"/>
  <c r="F21" i="1"/>
  <c r="D21" i="1"/>
  <c r="B21" i="1"/>
  <c r="F19" i="1"/>
  <c r="D19" i="1"/>
  <c r="B19" i="1"/>
  <c r="B15" i="1"/>
  <c r="D15" i="1"/>
  <c r="F15" i="1"/>
  <c r="B23" i="1"/>
  <c r="B25" i="1" s="1"/>
  <c r="B27" i="1" s="1"/>
  <c r="B29" i="1" s="1"/>
  <c r="D23" i="1"/>
  <c r="F23" i="1"/>
  <c r="D25" i="1"/>
  <c r="F25" i="1"/>
  <c r="D27" i="1"/>
  <c r="F27" i="1"/>
  <c r="D29" i="1"/>
  <c r="F29" i="1"/>
</calcChain>
</file>

<file path=xl/sharedStrings.xml><?xml version="1.0" encoding="utf-8"?>
<sst xmlns="http://schemas.openxmlformats.org/spreadsheetml/2006/main" count="18" uniqueCount="18">
  <si>
    <t>Total (N=300)</t>
  </si>
  <si>
    <t>Non-Customers (N=225)</t>
  </si>
  <si>
    <t>TruEarth Customers (N=75)</t>
  </si>
  <si>
    <t>Repeat Purchase Occassions</t>
  </si>
  <si>
    <t>Repeat Transaction Amounts</t>
  </si>
  <si>
    <t>Total Volume</t>
  </si>
  <si>
    <t>Target Households (Million)</t>
  </si>
  <si>
    <t>Trial Households (Million)</t>
  </si>
  <si>
    <t>Definitely would buy (%)</t>
  </si>
  <si>
    <t>Probably would pay (%)</t>
  </si>
  <si>
    <t>Awareness (%)</t>
  </si>
  <si>
    <t>All Commodity Volume (%)</t>
  </si>
  <si>
    <t>Repeat Rate (%)</t>
  </si>
  <si>
    <t>Trial Rate (%)</t>
  </si>
  <si>
    <t>Adjusted Trail Rate (%)</t>
  </si>
  <si>
    <t>Repeat Volume (Million)</t>
  </si>
  <si>
    <t>Trial Purchases (Million)</t>
  </si>
  <si>
    <t>Repeat Purchases (Million)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</si>
</sst>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A4" workbookViewId="0">
      <selection activeCell="H29" sqref="H29"/>
    </sheetView>
  </sheetViews>
  <sheetFormatPr defaultRowHeight="14.5" x14ac:dyDescent="0.35"/>
  <cols>
    <col min="1" max="1" width="24.453125" customWidth="1"/>
    <col min="2" max="2" width="19.90625" customWidth="1"/>
    <col min="3" max="3" width="11.90625" customWidth="1"/>
    <col min="4" max="4" width="21.1796875" customWidth="1"/>
    <col min="5" max="5" width="10.90625" customWidth="1"/>
    <col min="6" max="6" width="25" customWidth="1"/>
  </cols>
  <sheetData>
    <row r="1" spans="1:6" x14ac:dyDescent="0.35">
      <c r="B1" t="s">
        <v>0</v>
      </c>
      <c r="D1" t="s">
        <v>1</v>
      </c>
      <c r="F1" t="s">
        <v>2</v>
      </c>
    </row>
    <row r="3" spans="1:6" x14ac:dyDescent="0.35">
      <c r="A3" t="s">
        <v>8</v>
      </c>
      <c r="B3">
        <v>18</v>
      </c>
      <c r="D3">
        <v>15</v>
      </c>
      <c r="F3">
        <v>26</v>
      </c>
    </row>
    <row r="5" spans="1:6" x14ac:dyDescent="0.35">
      <c r="A5" t="s">
        <v>9</v>
      </c>
      <c r="B5">
        <v>43</v>
      </c>
      <c r="D5">
        <v>39</v>
      </c>
      <c r="F5">
        <v>53</v>
      </c>
    </row>
    <row r="7" spans="1:6" x14ac:dyDescent="0.35">
      <c r="A7" t="s">
        <v>10</v>
      </c>
      <c r="B7">
        <v>50</v>
      </c>
      <c r="D7">
        <v>50</v>
      </c>
      <c r="F7">
        <v>50</v>
      </c>
    </row>
    <row r="9" spans="1:6" x14ac:dyDescent="0.35">
      <c r="A9" t="s">
        <v>11</v>
      </c>
      <c r="B9">
        <v>40</v>
      </c>
      <c r="D9">
        <v>40</v>
      </c>
      <c r="F9">
        <v>40</v>
      </c>
    </row>
    <row r="11" spans="1:6" x14ac:dyDescent="0.35">
      <c r="A11" t="s">
        <v>6</v>
      </c>
      <c r="B11">
        <v>58.8</v>
      </c>
      <c r="D11">
        <v>58.8</v>
      </c>
      <c r="F11">
        <v>58.8</v>
      </c>
    </row>
    <row r="13" spans="1:6" x14ac:dyDescent="0.35">
      <c r="A13" t="s">
        <v>3</v>
      </c>
      <c r="B13">
        <v>2</v>
      </c>
      <c r="D13">
        <v>2</v>
      </c>
      <c r="F13">
        <v>2</v>
      </c>
    </row>
    <row r="15" spans="1:6" x14ac:dyDescent="0.35">
      <c r="A15" t="s">
        <v>4</v>
      </c>
      <c r="B15">
        <f>12.38*B13</f>
        <v>24.76</v>
      </c>
      <c r="D15">
        <f>12.38*D13</f>
        <v>24.76</v>
      </c>
      <c r="F15">
        <f>12.38*F13</f>
        <v>24.76</v>
      </c>
    </row>
    <row r="17" spans="1:6" x14ac:dyDescent="0.35">
      <c r="A17" t="s">
        <v>12</v>
      </c>
      <c r="B17">
        <v>49</v>
      </c>
      <c r="D17">
        <v>49</v>
      </c>
      <c r="F17">
        <v>49</v>
      </c>
    </row>
    <row r="19" spans="1:6" x14ac:dyDescent="0.35">
      <c r="A19" t="s">
        <v>16</v>
      </c>
      <c r="B19">
        <f>B27*12.38</f>
        <v>39.745742400000005</v>
      </c>
      <c r="D19">
        <f>D27*12.38</f>
        <v>34.5045456</v>
      </c>
      <c r="F19">
        <f>F27*12.38</f>
        <v>53.431089600000014</v>
      </c>
    </row>
    <row r="21" spans="1:6" x14ac:dyDescent="0.35">
      <c r="A21" t="s">
        <v>17</v>
      </c>
      <c r="B21">
        <f>B27*B15*(B17/100)</f>
        <v>38.950827552000007</v>
      </c>
      <c r="D21">
        <f>D27*D15*(D17/100)</f>
        <v>33.814454687999998</v>
      </c>
      <c r="F21">
        <f>F27*F15*(F17/100)</f>
        <v>52.362467808000012</v>
      </c>
    </row>
    <row r="23" spans="1:6" x14ac:dyDescent="0.35">
      <c r="A23" t="s">
        <v>13</v>
      </c>
      <c r="B23">
        <f>B3*0.8 + B5*0.3</f>
        <v>27.3</v>
      </c>
      <c r="D23">
        <f>D3*0.8 + D5*0.3</f>
        <v>23.7</v>
      </c>
      <c r="F23">
        <f>F3*0.8 + F5*0.3</f>
        <v>36.700000000000003</v>
      </c>
    </row>
    <row r="25" spans="1:6" x14ac:dyDescent="0.35">
      <c r="A25" t="s">
        <v>14</v>
      </c>
      <c r="B25">
        <f>(B23*B7*B9)/10000</f>
        <v>5.46</v>
      </c>
      <c r="D25">
        <f>(D23*D7*D9)/10000</f>
        <v>4.74</v>
      </c>
      <c r="F25">
        <f>(F23*F7*F9)/10000</f>
        <v>7.3400000000000016</v>
      </c>
    </row>
    <row r="27" spans="1:6" x14ac:dyDescent="0.35">
      <c r="A27" t="s">
        <v>7</v>
      </c>
      <c r="B27">
        <f>(B11*B25)/100</f>
        <v>3.21048</v>
      </c>
      <c r="D27">
        <f>(D11*D25)/100</f>
        <v>2.7871199999999998</v>
      </c>
      <c r="F27">
        <f>(F11*F25)/100</f>
        <v>4.3159200000000011</v>
      </c>
    </row>
    <row r="29" spans="1:6" x14ac:dyDescent="0.35">
      <c r="A29" t="s">
        <v>15</v>
      </c>
      <c r="B29">
        <f>(B27*B15*B17)/100</f>
        <v>38.950827552000007</v>
      </c>
      <c r="D29">
        <f>(D27*D15*D17)/100</f>
        <v>33.814454687999998</v>
      </c>
      <c r="F29">
        <f>(F27*F15*F17)/100</f>
        <v>52.362467808000012</v>
      </c>
    </row>
    <row r="31" spans="1:6" x14ac:dyDescent="0.35">
      <c r="A31" t="s">
        <v>5</v>
      </c>
      <c r="B31">
        <f>B19 + (B21)</f>
        <v>78.696569952000004</v>
      </c>
      <c r="D31">
        <f>D19 + (D21)</f>
        <v>68.319000287999998</v>
      </c>
      <c r="F31">
        <f>F19 + (F21)</f>
        <v>105.79355740800003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2015-06-05T18:17:20Z</dcterms:created>
  <dcterms:modified xsi:type="dcterms:W3CDTF">2026-05-24T19:24:09Z</dcterms:modified>
</cp:coreProperties>
</file>