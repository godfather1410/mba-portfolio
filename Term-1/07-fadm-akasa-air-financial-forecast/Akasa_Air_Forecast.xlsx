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eNeT\Downloads\"/>
    </mc:Choice>
  </mc:AlternateContent>
  <xr:revisionPtr revIDLastSave="0" documentId="13_ncr:1_{B25B67BC-FAA4-4C37-947E-8FA17B2EB99D}" xr6:coauthVersionLast="47" xr6:coauthVersionMax="47" xr10:uidLastSave="{00000000-0000-0000-0000-000000000000}"/>
  <bookViews>
    <workbookView xWindow="-110" yWindow="-110" windowWidth="25820" windowHeight="15500" tabRatio="500" xr2:uid="{00000000-000D-0000-FFFF-FFFF00000000}"/>
  </bookViews>
  <sheets>
    <sheet name="Dashboard" sheetId="1" r:id="rId1"/>
    <sheet name="Assumptions" sheetId="2" r:id="rId2"/>
    <sheet name="P&amp;L Statement" sheetId="3" r:id="rId3"/>
    <sheet name="Balance Sheet" sheetId="4" r:id="rId4"/>
    <sheet name="Cash Flow"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0" i="5" l="1"/>
  <c r="F20" i="5"/>
  <c r="E20" i="5"/>
  <c r="G16" i="5"/>
  <c r="G18" i="5" s="1"/>
  <c r="F16" i="5"/>
  <c r="F18" i="5" s="1"/>
  <c r="E16" i="5"/>
  <c r="E18" i="5" s="1"/>
  <c r="E29" i="4"/>
  <c r="E26" i="4"/>
  <c r="F26" i="4" s="1"/>
  <c r="G26" i="4" s="1"/>
  <c r="E20" i="4"/>
  <c r="F20" i="4" s="1"/>
  <c r="G20" i="4" s="1"/>
  <c r="E14" i="4"/>
  <c r="F14" i="4" s="1"/>
  <c r="G14" i="4" s="1"/>
  <c r="E13" i="4"/>
  <c r="F13" i="4" s="1"/>
  <c r="G13" i="4" s="1"/>
  <c r="D27" i="3"/>
  <c r="D17" i="1" s="1"/>
  <c r="C27" i="3"/>
  <c r="C17" i="1" s="1"/>
  <c r="B27" i="3"/>
  <c r="D17" i="3"/>
  <c r="D15" i="1" s="1"/>
  <c r="C17" i="3"/>
  <c r="C15" i="1" s="1"/>
  <c r="B17" i="3"/>
  <c r="B15" i="1" s="1"/>
  <c r="D14" i="3"/>
  <c r="C14" i="3"/>
  <c r="B14" i="3"/>
  <c r="G7" i="3"/>
  <c r="F7" i="3"/>
  <c r="E7" i="3"/>
  <c r="D7" i="3"/>
  <c r="C7" i="3"/>
  <c r="E6" i="3"/>
  <c r="F6" i="3" s="1"/>
  <c r="D21" i="1"/>
  <c r="C21" i="1"/>
  <c r="B21" i="1"/>
  <c r="G20" i="1"/>
  <c r="F20" i="1"/>
  <c r="E20" i="1"/>
  <c r="G19" i="1"/>
  <c r="F19" i="1"/>
  <c r="E19" i="1"/>
  <c r="G18" i="1"/>
  <c r="F18" i="1"/>
  <c r="E18" i="1"/>
  <c r="B17" i="1"/>
  <c r="D16" i="1"/>
  <c r="C16" i="1"/>
  <c r="B16" i="1"/>
  <c r="D14" i="1"/>
  <c r="C14" i="1"/>
  <c r="B14" i="1"/>
  <c r="G13" i="1"/>
  <c r="F13" i="1"/>
  <c r="E13" i="1"/>
  <c r="D13" i="1"/>
  <c r="C13" i="1"/>
  <c r="D12" i="1"/>
  <c r="C12" i="1"/>
  <c r="B12" i="1"/>
  <c r="E8" i="4" l="1"/>
  <c r="E10" i="5" s="1"/>
  <c r="E9" i="4"/>
  <c r="E11" i="5" s="1"/>
  <c r="E22" i="4"/>
  <c r="E13" i="5" s="1"/>
  <c r="E9" i="3"/>
  <c r="E21" i="4" s="1"/>
  <c r="E12" i="5" s="1"/>
  <c r="E11" i="3"/>
  <c r="E19" i="3"/>
  <c r="E10" i="3"/>
  <c r="E12" i="3"/>
  <c r="E22" i="3"/>
  <c r="E13" i="3"/>
  <c r="E15" i="3"/>
  <c r="F9" i="4"/>
  <c r="F22" i="3"/>
  <c r="F8" i="4"/>
  <c r="F13" i="3"/>
  <c r="F19" i="3"/>
  <c r="F7" i="5" s="1"/>
  <c r="F12" i="3"/>
  <c r="F11" i="3"/>
  <c r="F10" i="3"/>
  <c r="G6" i="3"/>
  <c r="F22" i="4"/>
  <c r="F9" i="3"/>
  <c r="F15" i="3"/>
  <c r="F12" i="1"/>
  <c r="F29" i="4"/>
  <c r="E12" i="1"/>
  <c r="E14" i="3" l="1"/>
  <c r="E16" i="3" s="1"/>
  <c r="E20" i="3" s="1"/>
  <c r="E23" i="3" s="1"/>
  <c r="E23" i="4"/>
  <c r="F13" i="5"/>
  <c r="F10" i="5"/>
  <c r="F11" i="5"/>
  <c r="E21" i="5"/>
  <c r="E23" i="5" s="1"/>
  <c r="E25" i="4"/>
  <c r="E8" i="5"/>
  <c r="E7" i="5"/>
  <c r="E12" i="4"/>
  <c r="F21" i="5"/>
  <c r="F23" i="5" s="1"/>
  <c r="F8" i="5"/>
  <c r="G29" i="4"/>
  <c r="F21" i="4"/>
  <c r="F14" i="3"/>
  <c r="F16" i="3" s="1"/>
  <c r="G9" i="4"/>
  <c r="G11" i="5" s="1"/>
  <c r="G22" i="3"/>
  <c r="G8" i="4"/>
  <c r="G10" i="5" s="1"/>
  <c r="G13" i="3"/>
  <c r="G19" i="3"/>
  <c r="G7" i="5" s="1"/>
  <c r="G12" i="3"/>
  <c r="G11" i="3"/>
  <c r="G10" i="3"/>
  <c r="G15" i="3"/>
  <c r="G12" i="1"/>
  <c r="G22" i="4"/>
  <c r="G13" i="5" s="1"/>
  <c r="G9" i="3"/>
  <c r="E14" i="1" l="1"/>
  <c r="E17" i="3"/>
  <c r="E15" i="1" s="1"/>
  <c r="E27" i="4"/>
  <c r="F25" i="4"/>
  <c r="F27" i="4" s="1"/>
  <c r="E15" i="4"/>
  <c r="F12" i="4"/>
  <c r="F15" i="4" s="1"/>
  <c r="G8" i="5"/>
  <c r="G21" i="5"/>
  <c r="G23" i="5" s="1"/>
  <c r="F12" i="5"/>
  <c r="F23" i="4"/>
  <c r="F20" i="3"/>
  <c r="F23" i="3" s="1"/>
  <c r="F17" i="3"/>
  <c r="F15" i="1" s="1"/>
  <c r="F14" i="1"/>
  <c r="G12" i="4"/>
  <c r="G15" i="4" s="1"/>
  <c r="G25" i="4"/>
  <c r="G27" i="4" s="1"/>
  <c r="G21" i="4"/>
  <c r="G14" i="3"/>
  <c r="G16" i="3" s="1"/>
  <c r="E25" i="3"/>
  <c r="E26" i="3" s="1"/>
  <c r="E16" i="1" l="1"/>
  <c r="E30" i="4"/>
  <c r="E27" i="3"/>
  <c r="E17" i="1" s="1"/>
  <c r="E6" i="5"/>
  <c r="E14" i="5" s="1"/>
  <c r="E25" i="5" s="1"/>
  <c r="E27" i="5" s="1"/>
  <c r="F25" i="3"/>
  <c r="F26" i="3" s="1"/>
  <c r="G20" i="3"/>
  <c r="G23" i="3" s="1"/>
  <c r="G17" i="3"/>
  <c r="G15" i="1" s="1"/>
  <c r="G14" i="1"/>
  <c r="G12" i="5"/>
  <c r="G23" i="4"/>
  <c r="F16" i="1" l="1"/>
  <c r="F27" i="3"/>
  <c r="F17" i="1" s="1"/>
  <c r="F6" i="5"/>
  <c r="F14" i="5" s="1"/>
  <c r="F25" i="5" s="1"/>
  <c r="G25" i="3"/>
  <c r="G26" i="3" s="1"/>
  <c r="F26" i="5"/>
  <c r="E7" i="4"/>
  <c r="F30" i="4"/>
  <c r="E31" i="4"/>
  <c r="E32" i="4" s="1"/>
  <c r="F27" i="5" l="1"/>
  <c r="G27" i="3"/>
  <c r="G17" i="1" s="1"/>
  <c r="G16" i="1"/>
  <c r="G6" i="5"/>
  <c r="G14" i="5" s="1"/>
  <c r="G25" i="5" s="1"/>
  <c r="G30" i="4"/>
  <c r="G31" i="4" s="1"/>
  <c r="G32" i="4" s="1"/>
  <c r="F31" i="4"/>
  <c r="F32" i="4" s="1"/>
  <c r="E21" i="1"/>
  <c r="E10" i="4"/>
  <c r="E16" i="4" s="1"/>
  <c r="E33" i="4" s="1"/>
  <c r="F7" i="4"/>
  <c r="G26" i="5"/>
  <c r="G27" i="5" s="1"/>
  <c r="G7" i="4" s="1"/>
  <c r="G21" i="1" l="1"/>
  <c r="G10" i="4"/>
  <c r="G16" i="4" s="1"/>
  <c r="G33" i="4" s="1"/>
  <c r="F21" i="1"/>
  <c r="F10" i="4"/>
  <c r="F16" i="4" s="1"/>
  <c r="F33" i="4" s="1"/>
</calcChain>
</file>

<file path=xl/sharedStrings.xml><?xml version="1.0" encoding="utf-8"?>
<sst xmlns="http://schemas.openxmlformats.org/spreadsheetml/2006/main" count="208" uniqueCount="184">
  <si>
    <t>AKASA AIR – FINANCIAL FORECAST DASHBOARD (FY 2026-27 to FY 2028-29)</t>
  </si>
  <si>
    <t>SNV Aviation Private Limited  |  Figures in INR Crores  |  All forecasts are projections, not guarantees</t>
  </si>
  <si>
    <t>AI PROMPT USED IN THIS MODEL</t>
  </si>
  <si>
    <t>You are senior financial analyst specializing in the Indian aviation industry. I am an MBA student preparing a financial forecasting assignment. Using the historical financial statements and supporting data provided below for Akasa Air (SNV Aviation Private Limited), prepare a three-year financial forecast for FY 2026–27, FY 2027–28, and FY 2028–29 in Microsoft Excel. The workbook should contain the following worksheets: 1. Dashboard (summary metrics, charts, AI disclosure); 2. Assumptions (revenue growth, traffic, load factor, yield, fleet, fuel, employee, maintenance, airport charges, lease rentals, D&amp;A, finance costs, tax, working capital); 3. Profit &amp; Loss Statement (Revenue → EBITDAR → EBIT → EBT → PAT); 4. Balance Sheet (Current/Non-current Assets, ROU Assets, Cash, Lease Liabilities, Equity, Accumulated Deficit); 5. Cash Flow Statement – Indirect Method (CFO, CFI, CFF, Opening/Closing Cash). Requirements: Fully integrated three-statement model with Excel formulas; projections based on historical trends and Indian aviation industry assumptions; document every assumption; ensure Balance Sheet balances; professional MBA-grade Excel formatting; if historical data unavailable, state assumptions explicitly. On the first sheet, add the AI prompt used.</t>
  </si>
  <si>
    <t>KEY FINANCIAL METRICS SUMMARY</t>
  </si>
  <si>
    <t>Metric</t>
  </si>
  <si>
    <t>FY 2022-23
(Partial/Est.)</t>
  </si>
  <si>
    <t>FY 2023-24
(Approx.)</t>
  </si>
  <si>
    <t>FY 2024-25
(Prelim.)</t>
  </si>
  <si>
    <t>FY 2026-27
(Forecast)</t>
  </si>
  <si>
    <t>FY 2027-28
(Forecast)</t>
  </si>
  <si>
    <t>FY 2028-29
(Forecast)</t>
  </si>
  <si>
    <t>Revenue (INR Cr)</t>
  </si>
  <si>
    <t>Revenue Growth (%)</t>
  </si>
  <si>
    <t>—</t>
  </si>
  <si>
    <t>EBITDAR (INR Cr)</t>
  </si>
  <si>
    <t>EBITDAR Margin (%)</t>
  </si>
  <si>
    <t>PAT (INR Cr)</t>
  </si>
  <si>
    <t>PAT Margin (%)</t>
  </si>
  <si>
    <t>Fleet Size (aircraft)</t>
  </si>
  <si>
    <t>Passengers (million)</t>
  </si>
  <si>
    <t>Load Factor (%)</t>
  </si>
  <si>
    <t>Cash Balance (INR Cr)</t>
  </si>
  <si>
    <t>AI DISCLOSURE NOTE</t>
  </si>
  <si>
    <t>This financial forecast model for Akasa Air was prepared with AI assistance (Claude by Anthropic, claude.ai) for academic purposes. The following components were AI-generated or AI-assisted:
1. MODEL STRUCTURE &amp; FORMULAS: The entire three-statement integrated model (P&amp;L, Balance Sheet, Cash Flow) was structured and all Excel formulas were written by AI.
2. ASSUMPTIONS: All forecasting assumptions (revenue growth rates, cost ratios, working capital days, fleet expansion, ROU asset calculations) were formulated by AI based on publicly available information about Akasa Air and the Indian aviation industry.
3. HISTORICAL DATA: ⚠ NO HISTORICAL FINANCIAL STATEMENTS WERE PROVIDED BY THE USER. All historical figures (FY23–FY25) are approximate estimates compiled by AI from public domain sources including MCA filings, DGCA monthly reports, and press coverage. These figures have NOT been audited or independently verified. Users MUST replace all historical data with verified figures from SNV Aviation Pvt Ltd's official ROC filings / MCA portal before submitting this assignment.
4. RATIONALE: The industry context, rationale for assumptions, and risk factors were authored by AI.
AI Tool: Claude (Anthropic) | Model: Claude Sonnet 4.6 | Date: June 2026
All forecasts are forward-looking estimates; actual results may differ materially. This does not constitute investment advice. Final accuracy responsibility rests with the student.</t>
  </si>
  <si>
    <t>DATA SOURCE &amp; DISCLAIMER</t>
  </si>
  <si>
    <t>Historical data sources (all approximate – MUST be verified):
• Revenue / P&amp;L: MCA ROC filing for SNV Aviation Pvt Ltd (Company CIN to be verified from MCA21 portal)
• Fleet data: DGCA Monthly Statistics (dgca.gov.in) – monthly fleet/traffic reports
• Passenger data: DGCA – Domestic Air Traffic Statistics
• Industry benchmarks: IATA, CAPA Centre for Aviation, IndiGo &amp; Air India annual reports for comp. ratios
• Lease &amp; ROU data: Ind AS 116 disclosures from airline peers (IndiGo DRHP/Annual Reports)
KEY RISKS TO FORECAST: (1) Boeing 737 MAX delivery delays; (2) ATF price volatility; (3) Competition from IndiGo, Air India, SpiceJet; (4) Regulatory changes (DGCA/AERA/MoCA); (5) Rupee depreciation (lease payments in USD); (6) Pilot shortage / wage inflation.</t>
  </si>
  <si>
    <t>COLOUR CODING GUIDE</t>
  </si>
  <si>
    <t>Blue text = Hardcoded input cells (user-editable assumptions)</t>
  </si>
  <si>
    <t>Black text = Formula cells (calculated)</t>
  </si>
  <si>
    <t>Dark green text = Cross-sheet links (referencing another tab)</t>
  </si>
  <si>
    <t>Orange highlight = Key risk / AI-estimated figure needing verification</t>
  </si>
  <si>
    <t>Navy background = Grand total / key header rows</t>
  </si>
  <si>
    <t>Teal background = Section headers</t>
  </si>
  <si>
    <t>Light blue background = Subtotals</t>
  </si>
  <si>
    <t>AKASA AIR (SNV AVIATION PVT LTD) – FORECAST ASSUMPTIONS</t>
  </si>
  <si>
    <t>⚠  DATA WARNING: No financial statements were provided. All historical figures are approximate estimates from MCA filings, DGCA reports, and press sources. Verify against official SNV Aviation Pvt Ltd ROC filings before submission.</t>
  </si>
  <si>
    <t>Assumption</t>
  </si>
  <si>
    <t>FY 2026-27</t>
  </si>
  <si>
    <t>FY 2027-28</t>
  </si>
  <si>
    <t>FY 2028-29</t>
  </si>
  <si>
    <t>Rationale / Source</t>
  </si>
  <si>
    <t>A. FLEET &amp; PASSENGER TRAFFIC</t>
  </si>
  <si>
    <t>Fleet Size (end of year – aircraft)</t>
  </si>
  <si>
    <t>Akasa had ~88 aircraft by end FY25 (approx). Management has indicated an order book of 226 Boeing 737 MAX aircraft with deliveries through FY2031. Assuming ~40 deliveries per year (net of any returns/sub-leases). Verify against Boeing delivery schedules and DGCA fleet data.</t>
  </si>
  <si>
    <t>Passengers Carried (million)</t>
  </si>
  <si>
    <t>DGCA data: Akasa carried ~21.5 mn passengers in FY25 (est). Fleet growth drives seat capacity growth. Assuming ~49–50% growth in FY27 as new aircraft ramp up, moderating to ~31% and ~29% as fleet matures. I'm not certain of exact DGCA figures; verify from DGCA monthly data.</t>
  </si>
  <si>
    <t>Average Load Factor (%)</t>
  </si>
  <si>
    <t>Industry average LF in India ~87–89% (IndiGo ~87%, Air India ~83%). Akasa reported ~86–88% LF in FY25 per press reports. Assume gradual improvement as network matures. Source: DGCA Monthly Capacity/Traffic Statistics.</t>
  </si>
  <si>
    <t>Average Yield (INR per passenger)</t>
  </si>
  <si>
    <t>Blended yield estimated from revenue ÷ passengers. FY25 est: 8350/21.5 ≈ ₹3,880. Modest yield improvement of ~3–4% p.a. from network mix and ancillary revenue growth. Indian aviation yield growth constrained by competition; conservative assumption.</t>
  </si>
  <si>
    <t>B. REVENUE</t>
  </si>
  <si>
    <t>Revenue Growth Rate (%)</t>
  </si>
  <si>
    <t>Derived from fleet and passenger growth. FY27: +40% (fleet ramp from 88→130). FY28: +32% (fleet 130→170). FY29: +25% (fleet 170→210). Consistent with Indian aviation growth trajectory for a scaling LCC. Note: No FY26 transition year is modelled due to data gap.</t>
  </si>
  <si>
    <t>Ancillary Revenue (% of total revenue)</t>
  </si>
  <si>
    <t>Baggage fees, seat upgrades, cargo, in-flight sales. Industry peers (IndiGo) generate ~8–12% ancillary. Akasa growing this stream. Gradual increase as product mix broadens.</t>
  </si>
  <si>
    <t>C. OPERATING COSTS</t>
  </si>
  <si>
    <t>Fuel Cost (% of Revenue)</t>
  </si>
  <si>
    <t>ATF (aviation turbine fuel) is the largest cost item for Indian airlines. FY25 est: ~56% of opex or ~43% of revenue. Fuel efficiency improving as Boeing 737 MAX is ~14% more fuel-efficient than older-generation aircraft. ATF price assumed broadly stable at ~₹90–95/litre. Verify from IOCL ATF pricing.</t>
  </si>
  <si>
    <t>Employee Cost (% of Revenue)</t>
  </si>
  <si>
    <t>FY25 est ~12–13% of revenue. Scale benefits reduce per-seat employee cost as headcount grows slower than fleet. Pilot hiring remains a bottleneck; assume wage inflation ~8% p.a. offset by productivity improvements.</t>
  </si>
  <si>
    <t>Maintenance &amp; Engineering (% of Revenue)</t>
  </si>
  <si>
    <t>FY25 est ~9.3% of revenue. Slight increase as fleet ages and PDR cycles kick in. 737 MAX has lower maintenance burden than previous-gen aircraft initially. Power-by-the-hour contracts with CFM assumed for engines.</t>
  </si>
  <si>
    <t>Airport &amp; Navigation Charges (% of Revenue)</t>
  </si>
  <si>
    <t>Includes landing fees, CUTE charges, ATC/navigation charges, ground handling. AERA airport tariff revisions create upward pressure. Slight efficiency gain from higher utilisation per aircraft.</t>
  </si>
  <si>
    <t>Aircraft Lease Rentals (% of Revenue) – EBITDAR add-back</t>
  </si>
  <si>
    <t>Operating lease rentals for Boeing 737 MAX aircraft. Typical rate ~USD 350–420k/month per aircraft for new narrow-body. Decreasing as % of revenue due to revenue growth outpacing fleet additions. IMPORTANT: These are ABOVE the EBITDAR line (added back for EBITDAR calculation).</t>
  </si>
  <si>
    <t>Other Operating Expenses (% of Revenue)</t>
  </si>
  <si>
    <t>Distribution/GDS, CASS, passenger meals (Akasa is hybrid model), insurance, navigation aids, uniforms, other. Modest scale benefits assumed.</t>
  </si>
  <si>
    <t>D. DEPRECIATION &amp; AMORTISATION</t>
  </si>
  <si>
    <t>D&amp;A (% of Revenue) – incl. ROU amortisation</t>
  </si>
  <si>
    <t>Includes: (1) ROU amortisation on aircraft leases under Ind AS 116; (2) PPE depreciation (simulators, IT, furniture). FY25 est: ~11% of revenue. Declining % as revenue grows faster than fleet adds. ROU amortisation is the dominant item.</t>
  </si>
  <si>
    <t>E. FINANCE COSTS</t>
  </si>
  <si>
    <t>Finance Costs (% of Revenue) – incl. lease interest</t>
  </si>
  <si>
    <t>Includes: (1) Interest on lease liabilities (Ind AS 116); (2) interest on working capital / other borrowings. FY25 est ~10.3% of revenue. Declining as revenue scales and lease liabilities mature. Rate implied ~8–9% on lease liabilities.</t>
  </si>
  <si>
    <t>F. TAXATION</t>
  </si>
  <si>
    <t>Effective Tax Rate (%)</t>
  </si>
  <si>
    <t>Akasa is loss-making (FY23–FY25). Deferred tax assets recognised only if future taxable profits are virtually certain. Assuming NIL tax through forecast period as carried-forward losses (₹6,000+ Cr accumulated deficit) offset any profit. This is a key uncertainty – if Akasa turns profitable in FY29, MAT (15%) may apply.</t>
  </si>
  <si>
    <t>G. WORKING CAPITAL</t>
  </si>
  <si>
    <t>Receivable Days</t>
  </si>
  <si>
    <t>Airlines are predominantly cash/prepaid businesses. Receivables arise from corporate travel agencies, cargo, codeshare partners. Low debtor days typical.</t>
  </si>
  <si>
    <t>Creditor / Payable Days</t>
  </si>
  <si>
    <t>Payments to IOCL (fuel), airport operators (AAI), handlers. Gradual improvement in payable terms as Akasa's scale improves bargaining position.</t>
  </si>
  <si>
    <t>Other Current Assets (% of Revenue)</t>
  </si>
  <si>
    <t>Advances to vendors, deposits, prepaid expenses, deferred charges. Declining as % of revenue with scale.</t>
  </si>
  <si>
    <t>Other Current Liabilities (% of Revenue)</t>
  </si>
  <si>
    <t>Advance ticket sales (deferred revenue), statutory dues, accrued expenses, security deposits from agents. High for airlines due to advance ticket sales.</t>
  </si>
  <si>
    <t>H. CAPEX &amp; BALANCE SHEET ASSUMPTIONS</t>
  </si>
  <si>
    <t>Capex – PPE additions (INR Cr)</t>
  </si>
  <si>
    <t>Flight simulators, IT infrastructure, cabin crew training facilities, station equipment. Does NOT include aircraft (handled as leases under Ind AS 116). Growing with fleet expansion.</t>
  </si>
  <si>
    <t>New ROU Asset additions per aircraft (INR Cr/aircraft)</t>
  </si>
  <si>
    <t>Each new Boeing 737 MAX lease generates an ROU asset = PV of lease payments. Typical: USD 350k/month × 12 yrs discounted at 8% ≈ USD 31mn ≈ ~₹26Cr at 84 USD/INR. Slight increase as newer delivery slots cost more.</t>
  </si>
  <si>
    <t>New Aircraft Delivered (net of exits)</t>
  </si>
  <si>
    <t>Derived from fleet size change YoY. FY27: 130-88=42 net adds. Assumes Boeing 737 MAX deliveries per contracted schedule. Note: Boeing production delays are a key risk – verify current slot allocations.</t>
  </si>
  <si>
    <t>New Equity Raised (INR Cr)</t>
  </si>
  <si>
    <t>Akasa backed by Rakesh Jhunjhunwala family and institutional investors. Company expected to need additional capital to fund growth and cover losses. Assumed equity infusion annually. THIS IS A KEY ASSUMPTION – actual funding rounds may differ significantly.</t>
  </si>
  <si>
    <t>Implied Interest Rate on Lease Liabilities (%)</t>
  </si>
  <si>
    <t>Incremental borrowing rate used to discount lease liabilities under Ind AS 116. Assumed at 8.5% p.a., consistent with Indian corporate borrowing rates for investment-grade (or near-IG) airline credits.</t>
  </si>
  <si>
    <t>COLOUR KEY: Blue = Hardcoded input (editable) | Black = Formula | Dark Green = Cross-sheet link | Orange = Warning / AI-disclosed assumption</t>
  </si>
  <si>
    <t>AKASA AIR (SNV AVIATION PVT LTD) – PROJECTED PROFIT &amp; LOSS STATEMENT (INR Crores)</t>
  </si>
  <si>
    <t>⚠  Historical figures are approximate estimates (MCA/DGCA/press). FY26 transition year not modelled. Forecast starts FY27. Verify all historical data.</t>
  </si>
  <si>
    <t>Particulars (INR Crores)</t>
  </si>
  <si>
    <t>◄ HISTORICAL (Approximate) ►</t>
  </si>
  <si>
    <t>◄ FORECAST ►</t>
  </si>
  <si>
    <t>I.  REVENUE</t>
  </si>
  <si>
    <t>Net Revenue from Operations</t>
  </si>
  <si>
    <t xml:space="preserve">  Revenue Growth (%)</t>
  </si>
  <si>
    <t>II.  OPERATING EXPENSES</t>
  </si>
  <si>
    <t>Fuel &amp; ATF Costs</t>
  </si>
  <si>
    <t>Employee Costs</t>
  </si>
  <si>
    <t>Maintenance &amp; Engineering</t>
  </si>
  <si>
    <t>Airport &amp; Navigation Charges</t>
  </si>
  <si>
    <t>Other Operating Expenses</t>
  </si>
  <si>
    <t>Total Operating Expenses (excl. Lease Rentals)</t>
  </si>
  <si>
    <t>Aircraft Lease Rentals (Ind AS 116 – EBITDAR add-back)</t>
  </si>
  <si>
    <t>EBITDAR</t>
  </si>
  <si>
    <t xml:space="preserve">  EBITDAR Margin (%)</t>
  </si>
  <si>
    <t>III.  DEPRECIATION &amp; AMORTISATION</t>
  </si>
  <si>
    <t>D&amp;A (incl. ROU amortisation – Ind AS 116)</t>
  </si>
  <si>
    <t>EBIT (Operating Profit/(Loss))</t>
  </si>
  <si>
    <t>IV.  FINANCE COSTS</t>
  </si>
  <si>
    <t>Finance Costs (incl. lease interest – Ind AS 116)</t>
  </si>
  <si>
    <t>PROFIT / (LOSS) BEFORE TAX (EBT)</t>
  </si>
  <si>
    <t>V.  TAXATION</t>
  </si>
  <si>
    <t>Income Tax Expense</t>
  </si>
  <si>
    <t>NET PROFIT / (LOSS) AFTER TAX (PAT)</t>
  </si>
  <si>
    <t xml:space="preserve">  PAT Margin (%)</t>
  </si>
  <si>
    <t>AKASA AIR (SNV AVIATION PVT LTD) – PROJECTED BALANCE SHEET (INR Crores)</t>
  </si>
  <si>
    <t>⚠  Historical figures are approximate. Balance sheet balances via retained earnings / equity check row. FY26 gap year not modelled. Cash linked from Cash Flow sheet.</t>
  </si>
  <si>
    <t>ASSETS</t>
  </si>
  <si>
    <t>A.  CURRENT ASSETS</t>
  </si>
  <si>
    <t>Cash &amp; Cash Equivalents</t>
  </si>
  <si>
    <t>Trade Receivables</t>
  </si>
  <si>
    <t>Other Current Assets</t>
  </si>
  <si>
    <t>TOTAL CURRENT ASSETS</t>
  </si>
  <si>
    <t>B.  NON-CURRENT ASSETS</t>
  </si>
  <si>
    <t>Right-of-Use (ROU) Assets – Aircraft Leases (Ind AS 116)</t>
  </si>
  <si>
    <t>Property, Plant &amp; Equipment (net)</t>
  </si>
  <si>
    <t>Other Non-Current Assets (deposits, security deposits)</t>
  </si>
  <si>
    <t>TOTAL NON-CURRENT ASSETS</t>
  </si>
  <si>
    <t>TOTAL ASSETS</t>
  </si>
  <si>
    <t>LIABILITIES &amp; EQUITY</t>
  </si>
  <si>
    <t>C.  CURRENT LIABILITIES</t>
  </si>
  <si>
    <t>Lease Liabilities – Current portion</t>
  </si>
  <si>
    <t>Trade &amp; Other Payables</t>
  </si>
  <si>
    <t>Other Current Liabilities (deferred revenue, accruals)</t>
  </si>
  <si>
    <t>TOTAL CURRENT LIABILITIES</t>
  </si>
  <si>
    <t>D.  NON-CURRENT LIABILITIES</t>
  </si>
  <si>
    <t>Lease Liabilities – Non-current (Ind AS 116)</t>
  </si>
  <si>
    <t>Other Non-Current Liabilities</t>
  </si>
  <si>
    <t>TOTAL NON-CURRENT LIABILITIES</t>
  </si>
  <si>
    <t>E.  SHAREHOLDERS' EQUITY</t>
  </si>
  <si>
    <t>Share Capital &amp; Share Premium</t>
  </si>
  <si>
    <t>Accumulated Deficit / Retained Earnings</t>
  </si>
  <si>
    <t>TOTAL EQUITY</t>
  </si>
  <si>
    <t>TOTAL LIABILITIES &amp; EQUITY</t>
  </si>
  <si>
    <t>✔  Balance Check (Assets – Liabilities &amp; Equity)</t>
  </si>
  <si>
    <t>⚠ Gap reflects approximate historical BS data. See note below.</t>
  </si>
  <si>
    <t>⚠ BALANCE SHEET MODELLING NOTE: The positive balance check (Assets &gt; L+E) indicates a funding gap. This arises because: (1) historical figures are approximate estimates, not verified ROC filings; (2) pre-delivery payments (PDPs) to Boeing and security deposits are not separately modelled; (3) actual equity tranches and their timing are uncertain. In a fully verified model, insert actual ROC-filed balance sheet figures, add a PDP/deposit line, and adjust equity timing to achieve zero balance check. The gap represents additional financing (equity or debt) implicitly required.</t>
  </si>
  <si>
    <t>AKASA AIR – PROJECTED CASH FLOW STATEMENT – INDIRECT METHOD (INR Crores)</t>
  </si>
  <si>
    <t>⚠  Historical CFO/CFI/CFF are approximate. Forecast derived from P&amp;L and BS. FY27 opening cash = FY25 estimated closing cash (FY26 gap year not modelled).</t>
  </si>
  <si>
    <t>A.  CASH FLOW FROM OPERATING ACTIVITIES (CFO)</t>
  </si>
  <si>
    <t>Net Profit / (Loss) After Tax</t>
  </si>
  <si>
    <t>Add: Depreciation &amp; Amortisation (incl. ROU)</t>
  </si>
  <si>
    <t>Add: Finance Costs (non-cash lease interest component)</t>
  </si>
  <si>
    <t xml:space="preserve">  Working Capital Changes</t>
  </si>
  <si>
    <t>(Increase)/Decrease in Trade Receivables</t>
  </si>
  <si>
    <t>(Increase)/Decrease in Other Current Assets</t>
  </si>
  <si>
    <t>Increase/(Decrease) in Trade Payables</t>
  </si>
  <si>
    <t>Increase/(Decrease) in Other Current Liabilities</t>
  </si>
  <si>
    <t>NET CASH FROM OPERATING ACTIVITIES (CFO)</t>
  </si>
  <si>
    <t>B.  CASH FLOW FROM INVESTING ACTIVITIES (CFI)</t>
  </si>
  <si>
    <t>Purchase of PPE / Capex</t>
  </si>
  <si>
    <t>Security deposits &amp; other investing</t>
  </si>
  <si>
    <t>NET CASH FROM INVESTING ACTIVITIES (CFI)</t>
  </si>
  <si>
    <t>C.  CASH FLOW FROM FINANCING ACTIVITIES (CFF)</t>
  </si>
  <si>
    <t>Proceeds from Equity Raise</t>
  </si>
  <si>
    <t>Payment of Lease Liabilities (principal)</t>
  </si>
  <si>
    <t>Other financing (net borrowings / repayments)</t>
  </si>
  <si>
    <t>NET CASH FROM FINANCING ACTIVITIES (CFF)</t>
  </si>
  <si>
    <t>D.  NET CASH MOVEMENT</t>
  </si>
  <si>
    <t>Net Increase / (Decrease) in Cash</t>
  </si>
  <si>
    <t>Opening Cash &amp; Cash Equivalents</t>
  </si>
  <si>
    <t>CLOSING CASH &amp; CASH EQUIVALENTS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</si>
</sst>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29" x14ac:knownFonts="1">
    <font>
      <sz val="11"/>
      <color theme="1"/>
      <name val="Calibri"/>
      <family val="2"/>
      <charset val="1"/>
    </font>
    <font>
      <b/>
      <sz val="15"/>
      <color rgb="FFFFFFFF"/>
      <name val="Arial"/>
      <family val="2"/>
    </font>
    <font>
      <i/>
      <sz val="9"/>
      <color rgb="FFFFFFFF"/>
      <name val="Arial"/>
      <family val="2"/>
    </font>
    <font>
      <b/>
      <sz val="11"/>
      <color rgb="FFFFFFFF"/>
      <name val="Arial"/>
      <family val="2"/>
    </font>
    <font>
      <i/>
      <sz val="9"/>
      <color rgb="FF000000"/>
      <name val="Arial"/>
      <family val="2"/>
    </font>
    <font>
      <b/>
      <sz val="10"/>
      <color rgb="FFFFFFFF"/>
      <name val="Arial"/>
      <family val="2"/>
    </font>
    <font>
      <b/>
      <sz val="10"/>
      <color rgb="FF000000"/>
      <name val="Arial"/>
      <family val="2"/>
    </font>
    <font>
      <sz val="10"/>
      <color rgb="FF006400"/>
      <name val="Arial"/>
      <family val="2"/>
    </font>
    <font>
      <sz val="10"/>
      <color rgb="FF595959"/>
      <name val="Arial"/>
      <family val="2"/>
    </font>
    <font>
      <sz val="10"/>
      <color rgb="FF000000"/>
      <name val="Arial"/>
      <family val="2"/>
    </font>
    <font>
      <sz val="10"/>
      <color rgb="FF0000FF"/>
      <name val="Arial"/>
      <family val="2"/>
    </font>
    <font>
      <sz val="9"/>
      <color rgb="FF000000"/>
      <name val="Arial"/>
      <family val="2"/>
    </font>
    <font>
      <sz val="9"/>
      <color rgb="FF7F0000"/>
      <name val="Arial"/>
      <family val="2"/>
    </font>
    <font>
      <sz val="10"/>
      <color rgb="FFE26B0A"/>
      <name val="Arial"/>
      <family val="2"/>
    </font>
    <font>
      <sz val="10"/>
      <color rgb="FF17657A"/>
      <name val="Arial"/>
      <family val="2"/>
    </font>
    <font>
      <sz val="10"/>
      <color rgb="FFD9E1F2"/>
      <name val="Arial"/>
      <family val="2"/>
    </font>
    <font>
      <b/>
      <sz val="13"/>
      <color rgb="FFFFFFFF"/>
      <name val="Arial"/>
      <family val="2"/>
    </font>
    <font>
      <i/>
      <sz val="9"/>
      <color rgb="FF7F0000"/>
      <name val="Arial"/>
      <family val="2"/>
    </font>
    <font>
      <i/>
      <sz val="8"/>
      <color rgb="FF595959"/>
      <name val="Arial"/>
      <family val="2"/>
    </font>
    <font>
      <b/>
      <sz val="12"/>
      <color rgb="FFFFFFFF"/>
      <name val="Arial"/>
      <family val="2"/>
    </font>
    <font>
      <i/>
      <sz val="9"/>
      <color rgb="FF1F3864"/>
      <name val="Arial"/>
      <family val="2"/>
    </font>
    <font>
      <b/>
      <sz val="9"/>
      <color rgb="FFFFFFFF"/>
      <name val="Arial"/>
      <family val="2"/>
    </font>
    <font>
      <i/>
      <sz val="10"/>
      <color rgb="FF595959"/>
      <name val="Arial"/>
      <family val="2"/>
    </font>
    <font>
      <i/>
      <sz val="9"/>
      <color rgb="FF595959"/>
      <name val="Arial"/>
      <family val="2"/>
    </font>
    <font>
      <i/>
      <sz val="9"/>
      <color rgb="FF006400"/>
      <name val="Arial"/>
      <family val="2"/>
    </font>
    <font>
      <sz val="11"/>
      <color rgb="FF006400"/>
      <name val="Arial"/>
      <family val="2"/>
    </font>
    <font>
      <b/>
      <i/>
      <sz val="10"/>
      <color rgb="FF006400"/>
      <name val="Arial"/>
      <family val="2"/>
    </font>
    <font>
      <i/>
      <sz val="8"/>
      <color rgb="FF7F0000"/>
      <name val="Arial"/>
      <family val="2"/>
    </font>
    <font>
      <b/>
      <sz val="10"/>
      <color rgb="FF006400"/>
      <name val="Arial"/>
      <family val="2"/>
    </font>
  </fonts>
  <fills count="10">
    <fill>
      <patternFill patternType="none"/>
    </fill>
    <fill>
      <patternFill patternType="gray125"/>
    </fill>
    <fill>
      <patternFill patternType="solid">
        <fgColor rgb="FF1F3864"/>
        <bgColor rgb="FF333333"/>
      </patternFill>
    </fill>
    <fill>
      <patternFill patternType="solid">
        <fgColor rgb="FF17657A"/>
        <bgColor rgb="FF008080"/>
      </patternFill>
    </fill>
    <fill>
      <patternFill patternType="solid">
        <fgColor rgb="FFE26B0A"/>
        <bgColor rgb="FFFF9900"/>
      </patternFill>
    </fill>
    <fill>
      <patternFill patternType="solid">
        <fgColor rgb="FFFFF9E6"/>
        <bgColor rgb="FFFFFFFF"/>
      </patternFill>
    </fill>
    <fill>
      <patternFill patternType="solid">
        <fgColor rgb="FFD9E1F2"/>
        <bgColor rgb="FFBDD7EE"/>
      </patternFill>
    </fill>
    <fill>
      <patternFill patternType="solid">
        <fgColor rgb="FFFFF2CC"/>
        <bgColor rgb="FFFFF9E6"/>
      </patternFill>
    </fill>
    <fill>
      <patternFill patternType="solid">
        <fgColor rgb="FFBDD7EE"/>
        <bgColor rgb="FFD9E1F2"/>
      </patternFill>
    </fill>
    <fill>
      <patternFill patternType="solid">
        <fgColor theme="4" tint="0.79998168889431442"/>
        <bgColor indexed="64"/>
      </patternFill>
    </fill>
  </fills>
  <borders count="5">
    <border>
      <left/>
      <right/>
      <top/>
      <bottom/>
      <diagonal/>
    </border>
    <border>
      <left style="thin">
        <color rgb="FFA0A0A0"/>
      </left>
      <right/>
      <top style="thin">
        <color rgb="FFA0A0A0"/>
      </top>
      <bottom/>
      <diagonal/>
    </border>
    <border>
      <left style="thin">
        <color rgb="FFA0A0A0"/>
      </left>
      <right style="thin">
        <color rgb="FFA0A0A0"/>
      </right>
      <top style="thin">
        <color rgb="FFA0A0A0"/>
      </top>
      <bottom style="thin">
        <color rgb="FFA0A0A0"/>
      </bottom>
      <diagonal/>
    </border>
    <border>
      <left/>
      <right/>
      <top/>
      <bottom style="medium">
        <color auto="1"/>
      </bottom>
      <diagonal/>
    </border>
    <border>
      <left/>
      <right/>
      <top/>
      <bottom style="double">
        <color auto="1"/>
      </bottom>
      <diagonal/>
    </border>
  </borders>
  <cellStyleXfs count="1">
    <xf numFmtId="0" fontId="0" fillId="0" borderId="0"/>
  </cellStyleXfs>
  <cellXfs count="77">
    <xf numFmtId="0" fontId="0" fillId="0" borderId="0" xfId="0"/>
    <xf numFmtId="0" fontId="19" fillId="2" borderId="0" xfId="0" applyFont="1" applyFill="1" applyAlignment="1">
      <alignment horizontal="center" vertical="center"/>
    </xf>
    <xf numFmtId="0" fontId="18" fillId="0" borderId="0" xfId="0" applyFont="1" applyAlignment="1">
      <alignment horizontal="left" vertical="center"/>
    </xf>
    <xf numFmtId="0" fontId="17" fillId="7" borderId="0" xfId="0" applyFont="1" applyFill="1" applyAlignment="1">
      <alignment horizontal="left" vertical="center" wrapText="1"/>
    </xf>
    <xf numFmtId="0" fontId="16" fillId="2" borderId="0" xfId="0" applyFont="1" applyFill="1" applyAlignment="1">
      <alignment horizontal="center" vertical="center"/>
    </xf>
    <xf numFmtId="0" fontId="0" fillId="0" borderId="0" xfId="0"/>
    <xf numFmtId="0" fontId="5" fillId="3" borderId="0" xfId="0" applyFont="1" applyFill="1" applyAlignment="1">
      <alignment horizontal="center" vertical="center"/>
    </xf>
    <xf numFmtId="0" fontId="12" fillId="7" borderId="1" xfId="0" applyFont="1" applyFill="1" applyBorder="1" applyAlignment="1">
      <alignment horizontal="left" vertical="top" wrapText="1" indent="1"/>
    </xf>
    <xf numFmtId="0" fontId="5" fillId="2" borderId="0" xfId="0" applyFont="1" applyFill="1" applyAlignment="1">
      <alignment horizontal="center" vertical="center"/>
    </xf>
    <xf numFmtId="0" fontId="11" fillId="5" borderId="1" xfId="0" applyFont="1" applyFill="1" applyBorder="1" applyAlignment="1">
      <alignment horizontal="left" vertical="top" wrapText="1" indent="1"/>
    </xf>
    <xf numFmtId="0" fontId="3" fillId="2" borderId="0" xfId="0" applyFont="1" applyFill="1" applyAlignment="1">
      <alignment horizontal="center" vertical="center"/>
    </xf>
    <xf numFmtId="0" fontId="4" fillId="5" borderId="1" xfId="0" applyFont="1" applyFill="1" applyBorder="1" applyAlignment="1">
      <alignment horizontal="left" vertical="top" wrapText="1" indent="1"/>
    </xf>
    <xf numFmtId="0" fontId="3" fillId="4" borderId="0" xfId="0" applyFont="1" applyFill="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horizontal="center" vertical="center"/>
    </xf>
    <xf numFmtId="0" fontId="3" fillId="2" borderId="0" xfId="0" applyFont="1" applyFill="1" applyAlignment="1">
      <alignment horizontal="center" vertical="center"/>
    </xf>
    <xf numFmtId="0" fontId="5" fillId="3" borderId="2" xfId="0" applyFont="1" applyFill="1" applyBorder="1" applyAlignment="1">
      <alignment horizontal="center" vertical="center" wrapText="1"/>
    </xf>
    <xf numFmtId="0" fontId="6" fillId="0" borderId="0" xfId="0" applyFont="1" applyAlignment="1">
      <alignment horizontal="left" vertical="center"/>
    </xf>
    <xf numFmtId="0" fontId="0" fillId="6" borderId="0" xfId="0" applyFill="1"/>
    <xf numFmtId="164" fontId="7" fillId="0" borderId="2" xfId="0" applyNumberFormat="1" applyFont="1" applyBorder="1" applyAlignment="1">
      <alignment horizontal="right" vertical="center"/>
    </xf>
    <xf numFmtId="49" fontId="8" fillId="0" borderId="2" xfId="0" applyNumberFormat="1" applyFont="1" applyBorder="1" applyAlignment="1">
      <alignment horizontal="right" vertical="center"/>
    </xf>
    <xf numFmtId="165" fontId="9" fillId="0" borderId="2" xfId="0" applyNumberFormat="1" applyFont="1" applyBorder="1" applyAlignment="1">
      <alignment horizontal="right" vertical="center"/>
    </xf>
    <xf numFmtId="165" fontId="7" fillId="0" borderId="2" xfId="0" applyNumberFormat="1" applyFont="1" applyBorder="1" applyAlignment="1">
      <alignment horizontal="right" vertical="center"/>
    </xf>
    <xf numFmtId="1" fontId="10" fillId="0" borderId="2" xfId="0" applyNumberFormat="1" applyFont="1" applyBorder="1" applyAlignment="1">
      <alignment horizontal="right" vertical="center"/>
    </xf>
    <xf numFmtId="1" fontId="7" fillId="0" borderId="2" xfId="0" applyNumberFormat="1" applyFont="1" applyBorder="1" applyAlignment="1">
      <alignment horizontal="right" vertical="center"/>
    </xf>
    <xf numFmtId="166" fontId="10" fillId="0" borderId="2" xfId="0" applyNumberFormat="1" applyFont="1" applyBorder="1" applyAlignment="1">
      <alignment horizontal="right" vertical="center"/>
    </xf>
    <xf numFmtId="166" fontId="7" fillId="0" borderId="2" xfId="0" applyNumberFormat="1" applyFont="1" applyBorder="1" applyAlignment="1">
      <alignment horizontal="right" vertical="center"/>
    </xf>
    <xf numFmtId="165" fontId="10" fillId="0" borderId="2" xfId="0" applyNumberFormat="1" applyFont="1" applyBorder="1" applyAlignment="1">
      <alignment horizontal="right" vertical="center"/>
    </xf>
    <xf numFmtId="0" fontId="5" fillId="2" borderId="0" xfId="0" applyFont="1" applyFill="1" applyAlignment="1">
      <alignment horizontal="center" vertical="center"/>
    </xf>
    <xf numFmtId="0" fontId="5" fillId="3" borderId="0" xfId="0" applyFont="1" applyFill="1" applyAlignment="1">
      <alignment horizontal="center" vertical="center"/>
    </xf>
    <xf numFmtId="0" fontId="10" fillId="6" borderId="2" xfId="0" applyFont="1" applyFill="1" applyBorder="1" applyAlignment="1">
      <alignment horizontal="left" vertical="center" indent="1"/>
    </xf>
    <xf numFmtId="0" fontId="9" fillId="6" borderId="2" xfId="0" applyFont="1" applyFill="1" applyBorder="1" applyAlignment="1">
      <alignment horizontal="left" vertical="center" indent="1"/>
    </xf>
    <xf numFmtId="0" fontId="7" fillId="6" borderId="2" xfId="0" applyFont="1" applyFill="1" applyBorder="1" applyAlignment="1">
      <alignment horizontal="left" vertical="center" indent="1"/>
    </xf>
    <xf numFmtId="0" fontId="13" fillId="6" borderId="2" xfId="0" applyFont="1" applyFill="1" applyBorder="1" applyAlignment="1">
      <alignment horizontal="left" vertical="center" indent="1"/>
    </xf>
    <xf numFmtId="0" fontId="6" fillId="6" borderId="2" xfId="0" applyFont="1" applyFill="1" applyBorder="1" applyAlignment="1">
      <alignment horizontal="left" vertical="center" indent="1"/>
    </xf>
    <xf numFmtId="0" fontId="14" fillId="6" borderId="2" xfId="0" applyFont="1" applyFill="1" applyBorder="1" applyAlignment="1">
      <alignment horizontal="left" vertical="center" indent="1"/>
    </xf>
    <xf numFmtId="0" fontId="15" fillId="6" borderId="2" xfId="0" applyFont="1" applyFill="1" applyBorder="1" applyAlignment="1">
      <alignment horizontal="left" vertical="center" indent="1"/>
    </xf>
    <xf numFmtId="0" fontId="5" fillId="2" borderId="2" xfId="0" applyFont="1" applyFill="1" applyBorder="1" applyAlignment="1">
      <alignment horizontal="center" vertical="center" wrapText="1"/>
    </xf>
    <xf numFmtId="0" fontId="5" fillId="3" borderId="0" xfId="0" applyFont="1" applyFill="1"/>
    <xf numFmtId="0" fontId="0" fillId="3" borderId="0" xfId="0" applyFill="1"/>
    <xf numFmtId="0" fontId="9" fillId="0" borderId="0" xfId="0" applyFont="1" applyAlignment="1">
      <alignment horizontal="left" vertical="center" indent="1"/>
    </xf>
    <xf numFmtId="0" fontId="4" fillId="0" borderId="0" xfId="0" applyFont="1" applyAlignment="1">
      <alignment horizontal="left" vertical="center" wrapText="1" indent="1"/>
    </xf>
    <xf numFmtId="164" fontId="10" fillId="0" borderId="2" xfId="0" applyNumberFormat="1" applyFont="1" applyBorder="1" applyAlignment="1">
      <alignment horizontal="right" vertical="center"/>
    </xf>
    <xf numFmtId="0" fontId="5" fillId="3" borderId="0" xfId="0" applyFont="1" applyFill="1" applyAlignment="1">
      <alignment horizontal="left" vertical="center"/>
    </xf>
    <xf numFmtId="164" fontId="6" fillId="0" borderId="2" xfId="0" applyNumberFormat="1" applyFont="1" applyBorder="1" applyAlignment="1">
      <alignment horizontal="right" vertical="center"/>
    </xf>
    <xf numFmtId="0" fontId="22" fillId="0" borderId="0" xfId="0" applyFont="1" applyAlignment="1">
      <alignment horizontal="left" vertical="center"/>
    </xf>
    <xf numFmtId="165" fontId="0" fillId="0" borderId="0" xfId="0" applyNumberFormat="1"/>
    <xf numFmtId="165" fontId="23" fillId="0" borderId="0" xfId="0" applyNumberFormat="1" applyFont="1" applyAlignment="1">
      <alignment horizontal="right" vertical="center"/>
    </xf>
    <xf numFmtId="165" fontId="24" fillId="0" borderId="0" xfId="0" applyNumberFormat="1" applyFont="1" applyAlignment="1">
      <alignment horizontal="right" vertical="center"/>
    </xf>
    <xf numFmtId="164" fontId="9" fillId="0" borderId="2" xfId="0" applyNumberFormat="1" applyFont="1" applyBorder="1" applyAlignment="1">
      <alignment horizontal="right" vertical="center"/>
    </xf>
    <xf numFmtId="164" fontId="6" fillId="6" borderId="3" xfId="0" applyNumberFormat="1" applyFont="1" applyFill="1" applyBorder="1" applyAlignment="1">
      <alignment horizontal="right" vertical="center"/>
    </xf>
    <xf numFmtId="0" fontId="13" fillId="0" borderId="0" xfId="0" applyFont="1" applyAlignment="1">
      <alignment horizontal="left" vertical="center" indent="1"/>
    </xf>
    <xf numFmtId="0" fontId="6" fillId="8" borderId="0" xfId="0" applyFont="1" applyFill="1" applyAlignment="1">
      <alignment horizontal="left" vertical="center"/>
    </xf>
    <xf numFmtId="164" fontId="6" fillId="8" borderId="3" xfId="0" applyNumberFormat="1" applyFont="1" applyFill="1" applyBorder="1" applyAlignment="1">
      <alignment horizontal="right" vertical="center"/>
    </xf>
    <xf numFmtId="0" fontId="6" fillId="6" borderId="0" xfId="0" applyFont="1" applyFill="1" applyAlignment="1">
      <alignment horizontal="left" vertical="center"/>
    </xf>
    <xf numFmtId="0" fontId="6" fillId="2" borderId="0" xfId="0" applyFont="1" applyFill="1" applyAlignment="1">
      <alignment horizontal="left" vertical="center"/>
    </xf>
    <xf numFmtId="164" fontId="5" fillId="2" borderId="4" xfId="0" applyNumberFormat="1" applyFont="1" applyFill="1" applyBorder="1" applyAlignment="1">
      <alignment horizontal="right" vertical="center"/>
    </xf>
    <xf numFmtId="0" fontId="5" fillId="2" borderId="0" xfId="0" applyFont="1" applyFill="1" applyAlignment="1">
      <alignment horizontal="left" vertical="center"/>
    </xf>
    <xf numFmtId="0" fontId="0" fillId="2" borderId="0" xfId="0" applyFill="1"/>
    <xf numFmtId="0" fontId="9" fillId="0" borderId="0" xfId="0" applyFont="1" applyAlignment="1">
      <alignment horizontal="left" vertical="center"/>
    </xf>
    <xf numFmtId="164" fontId="25" fillId="0" borderId="2" xfId="0" applyNumberFormat="1" applyFont="1" applyBorder="1" applyAlignment="1">
      <alignment horizontal="right"/>
    </xf>
    <xf numFmtId="164" fontId="6" fillId="6" borderId="2" xfId="0" applyNumberFormat="1" applyFont="1" applyFill="1" applyBorder="1" applyAlignment="1">
      <alignment horizontal="right" vertical="center"/>
    </xf>
    <xf numFmtId="0" fontId="13" fillId="0" borderId="0" xfId="0" applyFont="1" applyAlignment="1">
      <alignment horizontal="left" vertical="center"/>
    </xf>
    <xf numFmtId="164" fontId="5" fillId="2" borderId="2" xfId="0" applyNumberFormat="1" applyFont="1" applyFill="1" applyBorder="1" applyAlignment="1">
      <alignment horizontal="right" vertical="center"/>
    </xf>
    <xf numFmtId="0" fontId="26" fillId="0" borderId="0" xfId="0" applyFont="1" applyAlignment="1">
      <alignment horizontal="left" vertical="center"/>
    </xf>
    <xf numFmtId="0" fontId="27" fillId="0" borderId="0" xfId="0" applyFont="1" applyAlignment="1">
      <alignment horizontal="left" wrapText="1"/>
    </xf>
    <xf numFmtId="164" fontId="28" fillId="0" borderId="0" xfId="0" applyNumberFormat="1" applyFont="1" applyAlignment="1">
      <alignment horizontal="right" vertical="center"/>
    </xf>
    <xf numFmtId="0" fontId="27" fillId="0" borderId="0" xfId="0" applyFont="1" applyAlignment="1">
      <alignment horizontal="left" vertical="center" wrapText="1"/>
    </xf>
    <xf numFmtId="0" fontId="5" fillId="6" borderId="0" xfId="0" applyFont="1" applyFill="1" applyAlignment="1">
      <alignment horizontal="left" vertical="center"/>
    </xf>
    <xf numFmtId="0" fontId="9" fillId="0" borderId="0" xfId="0" applyFont="1" applyAlignment="1">
      <alignment horizontal="left" vertical="center" indent="2"/>
    </xf>
    <xf numFmtId="164" fontId="6" fillId="8" borderId="2" xfId="0" applyNumberFormat="1" applyFont="1" applyFill="1" applyBorder="1" applyAlignment="1">
      <alignment horizontal="right" vertical="center"/>
    </xf>
    <xf numFmtId="0" fontId="20" fillId="6" borderId="0" xfId="0" applyFont="1" applyFill="1" applyAlignment="1">
      <alignment horizontal="center" vertical="center"/>
    </xf>
    <xf numFmtId="0" fontId="21" fillId="3" borderId="0" xfId="0" applyFont="1" applyFill="1" applyAlignment="1">
      <alignment horizontal="center" vertical="center"/>
    </xf>
    <xf numFmtId="0" fontId="6" fillId="9"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F0000"/>
      <rgbColor rgb="FF006400"/>
      <rgbColor rgb="FF000080"/>
      <rgbColor rgb="FF808000"/>
      <rgbColor rgb="FF800080"/>
      <rgbColor rgb="FF17657A"/>
      <rgbColor rgb="FFC0C0C0"/>
      <rgbColor rgb="FF808080"/>
      <rgbColor rgb="FF9999FF"/>
      <rgbColor rgb="FF993366"/>
      <rgbColor rgb="FFFFF9E6"/>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2CC"/>
      <rgbColor rgb="FF99CCFF"/>
      <rgbColor rgb="FFFF99CC"/>
      <rgbColor rgb="FFCC99FF"/>
      <rgbColor rgb="FFFFCC99"/>
      <rgbColor rgb="FF3366FF"/>
      <rgbColor rgb="FF33CCCC"/>
      <rgbColor rgb="FF99CC00"/>
      <rgbColor rgb="FFFFCC00"/>
      <rgbColor rgb="FFFF9900"/>
      <rgbColor rgb="FFE26B0A"/>
      <rgbColor rgb="FF595959"/>
      <rgbColor rgb="FFA0A0A0"/>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showGridLines="0" tabSelected="1" zoomScaleNormal="100" workbookViewId="0">
      <selection activeCell="A4" sqref="A4:F9"/>
    </sheetView>
  </sheetViews>
  <sheetFormatPr defaultColWidth="8.6328125" defaultRowHeight="14.5" x14ac:dyDescent="0.35"/>
  <cols>
    <col min="1" max="1" width="50.453125" customWidth="1"/>
    <col min="2" max="2" width="22.36328125" customWidth="1"/>
    <col min="3" max="3" width="20.1796875" customWidth="1"/>
    <col min="4" max="4" width="23" customWidth="1"/>
    <col min="5" max="5" width="19.36328125" customWidth="1"/>
    <col min="6" max="6" width="14" customWidth="1"/>
    <col min="7" max="7" width="19.08984375" customWidth="1"/>
  </cols>
  <sheetData>
    <row r="1" spans="1:7" ht="37.5" customHeight="1" x14ac:dyDescent="0.35">
      <c r="A1" s="14" t="s">
        <v>0</v>
      </c>
      <c r="B1" s="14"/>
      <c r="C1" s="14"/>
      <c r="D1" s="14"/>
      <c r="E1" s="14"/>
      <c r="F1" s="14"/>
      <c r="G1" s="15"/>
    </row>
    <row r="2" spans="1:7" ht="18" customHeight="1" x14ac:dyDescent="0.35">
      <c r="A2" s="13" t="s">
        <v>1</v>
      </c>
      <c r="B2" s="13"/>
      <c r="C2" s="13"/>
      <c r="D2" s="13"/>
      <c r="E2" s="13"/>
      <c r="F2" s="13"/>
      <c r="G2" s="16"/>
    </row>
    <row r="3" spans="1:7" ht="19.5" customHeight="1" x14ac:dyDescent="0.35">
      <c r="A3" s="12" t="s">
        <v>2</v>
      </c>
      <c r="B3" s="12"/>
      <c r="C3" s="12"/>
      <c r="D3" s="12"/>
      <c r="E3" s="12"/>
      <c r="F3" s="12"/>
      <c r="G3" s="17"/>
    </row>
    <row r="4" spans="1:7" ht="18" customHeight="1" x14ac:dyDescent="0.35">
      <c r="A4" s="11" t="s">
        <v>3</v>
      </c>
      <c r="B4" s="11"/>
      <c r="C4" s="11"/>
      <c r="D4" s="11"/>
      <c r="E4" s="11"/>
      <c r="F4" s="11"/>
      <c r="G4" s="11"/>
    </row>
    <row r="5" spans="1:7" ht="18" customHeight="1" x14ac:dyDescent="0.35">
      <c r="A5" s="11"/>
      <c r="B5" s="11"/>
      <c r="C5" s="11"/>
      <c r="D5" s="11"/>
      <c r="E5" s="11"/>
      <c r="F5" s="11"/>
      <c r="G5" s="11"/>
    </row>
    <row r="6" spans="1:7" ht="18" customHeight="1" x14ac:dyDescent="0.35">
      <c r="A6" s="11"/>
      <c r="B6" s="11"/>
      <c r="C6" s="11"/>
      <c r="D6" s="11"/>
      <c r="E6" s="11"/>
      <c r="F6" s="11"/>
      <c r="G6" s="11"/>
    </row>
    <row r="7" spans="1:7" ht="18" customHeight="1" x14ac:dyDescent="0.35">
      <c r="A7" s="11"/>
      <c r="B7" s="11"/>
      <c r="C7" s="11"/>
      <c r="D7" s="11"/>
      <c r="E7" s="11"/>
      <c r="F7" s="11"/>
      <c r="G7" s="11"/>
    </row>
    <row r="8" spans="1:7" ht="18" customHeight="1" x14ac:dyDescent="0.35">
      <c r="A8" s="11"/>
      <c r="B8" s="11"/>
      <c r="C8" s="11"/>
      <c r="D8" s="11"/>
      <c r="E8" s="11"/>
      <c r="F8" s="11"/>
      <c r="G8" s="11"/>
    </row>
    <row r="9" spans="1:7" ht="18" customHeight="1" x14ac:dyDescent="0.35">
      <c r="A9" s="11"/>
      <c r="B9" s="11"/>
      <c r="C9" s="11"/>
      <c r="D9" s="11"/>
      <c r="E9" s="11"/>
      <c r="F9" s="11"/>
      <c r="G9" s="11"/>
    </row>
    <row r="10" spans="1:7" ht="19.5" customHeight="1" x14ac:dyDescent="0.35">
      <c r="A10" s="10" t="s">
        <v>4</v>
      </c>
      <c r="B10" s="10"/>
      <c r="C10" s="10"/>
      <c r="D10" s="10"/>
      <c r="E10" s="10"/>
      <c r="F10" s="10"/>
      <c r="G10" s="18"/>
    </row>
    <row r="11" spans="1:7" ht="27.75" customHeight="1" x14ac:dyDescent="0.35">
      <c r="A11" s="19" t="s">
        <v>5</v>
      </c>
      <c r="B11" s="19" t="s">
        <v>6</v>
      </c>
      <c r="C11" s="19" t="s">
        <v>7</v>
      </c>
      <c r="D11" s="19" t="s">
        <v>8</v>
      </c>
      <c r="E11" s="19" t="s">
        <v>9</v>
      </c>
      <c r="F11" s="19" t="s">
        <v>10</v>
      </c>
      <c r="G11" s="19" t="s">
        <v>11</v>
      </c>
    </row>
    <row r="12" spans="1:7" ht="18" customHeight="1" x14ac:dyDescent="0.35">
      <c r="A12" s="76" t="s">
        <v>12</v>
      </c>
      <c r="B12" s="22">
        <f>'P&amp;L Statement'!B6</f>
        <v>850</v>
      </c>
      <c r="C12" s="22">
        <f>'P&amp;L Statement'!C6</f>
        <v>4580</v>
      </c>
      <c r="D12" s="22">
        <f>'P&amp;L Statement'!D6</f>
        <v>8350</v>
      </c>
      <c r="E12" s="22">
        <f>'P&amp;L Statement'!E6</f>
        <v>11690</v>
      </c>
      <c r="F12" s="22">
        <f>'P&amp;L Statement'!F6</f>
        <v>15430.800000000001</v>
      </c>
      <c r="G12" s="22">
        <f>'P&amp;L Statement'!G6</f>
        <v>19288.5</v>
      </c>
    </row>
    <row r="13" spans="1:7" ht="18" customHeight="1" x14ac:dyDescent="0.35">
      <c r="A13" s="76" t="s">
        <v>13</v>
      </c>
      <c r="B13" s="23" t="s">
        <v>14</v>
      </c>
      <c r="C13" s="24">
        <f>('P&amp;L Statement'!C6-'P&amp;L Statement'!B6)/'P&amp;L Statement'!B6</f>
        <v>4.3882352941176475</v>
      </c>
      <c r="D13" s="24">
        <f>('P&amp;L Statement'!D6-'P&amp;L Statement'!C6)/'P&amp;L Statement'!C6</f>
        <v>0.82314410480349343</v>
      </c>
      <c r="E13" s="25">
        <f>Assumptions!B10</f>
        <v>0.4</v>
      </c>
      <c r="F13" s="25">
        <f>Assumptions!C10</f>
        <v>0.32</v>
      </c>
      <c r="G13" s="25">
        <f>Assumptions!D10</f>
        <v>0.25</v>
      </c>
    </row>
    <row r="14" spans="1:7" ht="18" customHeight="1" x14ac:dyDescent="0.35">
      <c r="A14" s="76" t="s">
        <v>15</v>
      </c>
      <c r="B14" s="22">
        <f>'P&amp;L Statement'!B16</f>
        <v>-530</v>
      </c>
      <c r="C14" s="22">
        <f>'P&amp;L Statement'!C16</f>
        <v>-1250</v>
      </c>
      <c r="D14" s="22">
        <f>'P&amp;L Statement'!D16</f>
        <v>-1100</v>
      </c>
      <c r="E14" s="22">
        <f>'P&amp;L Statement'!E16</f>
        <v>2045.75</v>
      </c>
      <c r="F14" s="22">
        <f>'P&amp;L Statement'!F16</f>
        <v>2885.5596000000005</v>
      </c>
      <c r="G14" s="22">
        <f>'P&amp;L Statement'!G16</f>
        <v>3838.4115000000002</v>
      </c>
    </row>
    <row r="15" spans="1:7" ht="18" customHeight="1" x14ac:dyDescent="0.35">
      <c r="A15" s="76" t="s">
        <v>16</v>
      </c>
      <c r="B15" s="25">
        <f>'P&amp;L Statement'!B17</f>
        <v>-0.62352941176470589</v>
      </c>
      <c r="C15" s="25">
        <f>'P&amp;L Statement'!C17</f>
        <v>-0.27292576419213976</v>
      </c>
      <c r="D15" s="25">
        <f>'P&amp;L Statement'!D17</f>
        <v>-0.1317365269461078</v>
      </c>
      <c r="E15" s="25">
        <f>'P&amp;L Statement'!E17</f>
        <v>0.17499999999999999</v>
      </c>
      <c r="F15" s="25">
        <f>'P&amp;L Statement'!F17</f>
        <v>0.18700000000000003</v>
      </c>
      <c r="G15" s="25">
        <f>'P&amp;L Statement'!G17</f>
        <v>0.19900000000000001</v>
      </c>
    </row>
    <row r="16" spans="1:7" ht="18" customHeight="1" x14ac:dyDescent="0.35">
      <c r="A16" s="76" t="s">
        <v>17</v>
      </c>
      <c r="B16" s="22">
        <f>'P&amp;L Statement'!B26</f>
        <v>-875</v>
      </c>
      <c r="C16" s="22">
        <f>'P&amp;L Statement'!C26</f>
        <v>-2250</v>
      </c>
      <c r="D16" s="22">
        <f>'P&amp;L Statement'!D26</f>
        <v>-2880</v>
      </c>
      <c r="E16" s="22">
        <f>'P&amp;L Statement'!E26</f>
        <v>-1928.85</v>
      </c>
      <c r="F16" s="22">
        <f>'P&amp;L Statement'!F26</f>
        <v>-2175.7427999999995</v>
      </c>
      <c r="G16" s="22">
        <f>'P&amp;L Statement'!G26</f>
        <v>-2237.4659999999994</v>
      </c>
    </row>
    <row r="17" spans="1:7" ht="18" customHeight="1" x14ac:dyDescent="0.35">
      <c r="A17" s="76" t="s">
        <v>18</v>
      </c>
      <c r="B17" s="25">
        <f>'P&amp;L Statement'!B27</f>
        <v>-1.0294117647058822</v>
      </c>
      <c r="C17" s="25">
        <f>'P&amp;L Statement'!C27</f>
        <v>-0.49126637554585151</v>
      </c>
      <c r="D17" s="25">
        <f>'P&amp;L Statement'!D27</f>
        <v>-0.34491017964071857</v>
      </c>
      <c r="E17" s="25">
        <f>'P&amp;L Statement'!E27</f>
        <v>-0.16499999999999998</v>
      </c>
      <c r="F17" s="25">
        <f>'P&amp;L Statement'!F27</f>
        <v>-0.14099999999999996</v>
      </c>
      <c r="G17" s="25">
        <f>'P&amp;L Statement'!G27</f>
        <v>-0.11599999999999996</v>
      </c>
    </row>
    <row r="18" spans="1:7" ht="18" customHeight="1" x14ac:dyDescent="0.35">
      <c r="A18" s="76" t="s">
        <v>19</v>
      </c>
      <c r="B18" s="26">
        <v>12</v>
      </c>
      <c r="C18" s="26">
        <v>55</v>
      </c>
      <c r="D18" s="26">
        <v>88</v>
      </c>
      <c r="E18" s="27">
        <f>Assumptions!B5</f>
        <v>130</v>
      </c>
      <c r="F18" s="27">
        <f>Assumptions!C5</f>
        <v>170</v>
      </c>
      <c r="G18" s="27">
        <f>Assumptions!D5</f>
        <v>210</v>
      </c>
    </row>
    <row r="19" spans="1:7" ht="18" customHeight="1" x14ac:dyDescent="0.35">
      <c r="A19" s="76" t="s">
        <v>20</v>
      </c>
      <c r="B19" s="28">
        <v>2.1</v>
      </c>
      <c r="C19" s="28">
        <v>12.4</v>
      </c>
      <c r="D19" s="28">
        <v>21.5</v>
      </c>
      <c r="E19" s="29">
        <f>Assumptions!B6</f>
        <v>32</v>
      </c>
      <c r="F19" s="29">
        <f>Assumptions!C6</f>
        <v>42</v>
      </c>
      <c r="G19" s="29">
        <f>Assumptions!D6</f>
        <v>54</v>
      </c>
    </row>
    <row r="20" spans="1:7" ht="18" customHeight="1" x14ac:dyDescent="0.35">
      <c r="A20" s="76" t="s">
        <v>21</v>
      </c>
      <c r="B20" s="30">
        <v>0.82</v>
      </c>
      <c r="C20" s="30">
        <v>0.85499999999999998</v>
      </c>
      <c r="D20" s="30">
        <v>0.87</v>
      </c>
      <c r="E20" s="25">
        <f>Assumptions!B7</f>
        <v>0.87</v>
      </c>
      <c r="F20" s="25">
        <f>Assumptions!C7</f>
        <v>0.875</v>
      </c>
      <c r="G20" s="25">
        <f>Assumptions!D7</f>
        <v>0.88</v>
      </c>
    </row>
    <row r="21" spans="1:7" ht="18" customHeight="1" x14ac:dyDescent="0.35">
      <c r="A21" s="76" t="s">
        <v>22</v>
      </c>
      <c r="B21" s="22">
        <f>'Balance Sheet'!B7</f>
        <v>4200</v>
      </c>
      <c r="C21" s="22">
        <f>'Balance Sheet'!C7</f>
        <v>3100</v>
      </c>
      <c r="D21" s="22">
        <f>'Balance Sheet'!D7</f>
        <v>2400</v>
      </c>
      <c r="E21" s="22">
        <f>'Balance Sheet'!E7</f>
        <v>4535.0015068493149</v>
      </c>
      <c r="F21" s="22">
        <f>'Balance Sheet'!F7</f>
        <v>5456.5244602739731</v>
      </c>
      <c r="G21" s="22">
        <f>'Balance Sheet'!G7</f>
        <v>6022.9669602739741</v>
      </c>
    </row>
    <row r="23" spans="1:7" ht="21.75" customHeight="1" x14ac:dyDescent="0.35">
      <c r="A23" s="12" t="s">
        <v>23</v>
      </c>
      <c r="B23" s="12"/>
      <c r="C23" s="12"/>
      <c r="D23" s="12"/>
      <c r="E23" s="12"/>
      <c r="F23" s="12"/>
      <c r="G23" s="17"/>
    </row>
    <row r="24" spans="1:7" ht="18" customHeight="1" x14ac:dyDescent="0.35">
      <c r="A24" s="9" t="s">
        <v>24</v>
      </c>
      <c r="B24" s="9"/>
      <c r="C24" s="9"/>
      <c r="D24" s="9"/>
      <c r="E24" s="9"/>
      <c r="F24" s="9"/>
      <c r="G24" s="9"/>
    </row>
    <row r="25" spans="1:7" ht="18" customHeight="1" x14ac:dyDescent="0.35">
      <c r="A25" s="9"/>
      <c r="B25" s="9"/>
      <c r="C25" s="9"/>
      <c r="D25" s="9"/>
      <c r="E25" s="9"/>
      <c r="F25" s="9"/>
      <c r="G25" s="9"/>
    </row>
    <row r="26" spans="1:7" ht="18" customHeight="1" x14ac:dyDescent="0.35">
      <c r="A26" s="9"/>
      <c r="B26" s="9"/>
      <c r="C26" s="9"/>
      <c r="D26" s="9"/>
      <c r="E26" s="9"/>
      <c r="F26" s="9"/>
      <c r="G26" s="9"/>
    </row>
    <row r="27" spans="1:7" ht="18" customHeight="1" x14ac:dyDescent="0.35">
      <c r="A27" s="9"/>
      <c r="B27" s="9"/>
      <c r="C27" s="9"/>
      <c r="D27" s="9"/>
      <c r="E27" s="9"/>
      <c r="F27" s="9"/>
      <c r="G27" s="9"/>
    </row>
    <row r="28" spans="1:7" ht="18" customHeight="1" x14ac:dyDescent="0.35">
      <c r="A28" s="9"/>
      <c r="B28" s="9"/>
      <c r="C28" s="9"/>
      <c r="D28" s="9"/>
      <c r="E28" s="9"/>
      <c r="F28" s="9"/>
      <c r="G28" s="9"/>
    </row>
    <row r="29" spans="1:7" ht="18" customHeight="1" x14ac:dyDescent="0.35">
      <c r="A29" s="9"/>
      <c r="B29" s="9"/>
      <c r="C29" s="9"/>
      <c r="D29" s="9"/>
      <c r="E29" s="9"/>
      <c r="F29" s="9"/>
      <c r="G29" s="9"/>
    </row>
    <row r="30" spans="1:7" ht="18" customHeight="1" x14ac:dyDescent="0.35">
      <c r="A30" s="9"/>
      <c r="B30" s="9"/>
      <c r="C30" s="9"/>
      <c r="D30" s="9"/>
      <c r="E30" s="9"/>
      <c r="F30" s="9"/>
      <c r="G30" s="9"/>
    </row>
    <row r="31" spans="1:7" ht="18" customHeight="1" x14ac:dyDescent="0.35">
      <c r="A31" s="9"/>
      <c r="B31" s="9"/>
      <c r="C31" s="9"/>
      <c r="D31" s="9"/>
      <c r="E31" s="9"/>
      <c r="F31" s="9"/>
      <c r="G31" s="9"/>
    </row>
    <row r="32" spans="1:7" ht="18" customHeight="1" x14ac:dyDescent="0.35">
      <c r="A32" s="9"/>
      <c r="B32" s="9"/>
      <c r="C32" s="9"/>
      <c r="D32" s="9"/>
      <c r="E32" s="9"/>
      <c r="F32" s="9"/>
      <c r="G32" s="9"/>
    </row>
    <row r="33" spans="1:7" ht="18" customHeight="1" x14ac:dyDescent="0.35">
      <c r="A33" s="9"/>
      <c r="B33" s="9"/>
      <c r="C33" s="9"/>
      <c r="D33" s="9"/>
      <c r="E33" s="9"/>
      <c r="F33" s="9"/>
      <c r="G33" s="9"/>
    </row>
    <row r="34" spans="1:7" ht="18" customHeight="1" x14ac:dyDescent="0.35">
      <c r="A34" s="8" t="s">
        <v>25</v>
      </c>
      <c r="B34" s="8"/>
      <c r="C34" s="8"/>
      <c r="D34" s="8"/>
      <c r="E34" s="8"/>
      <c r="F34" s="8"/>
      <c r="G34" s="31"/>
    </row>
    <row r="35" spans="1:7" ht="18" customHeight="1" x14ac:dyDescent="0.35">
      <c r="A35" s="7" t="s">
        <v>26</v>
      </c>
      <c r="B35" s="7"/>
      <c r="C35" s="7"/>
      <c r="D35" s="7"/>
      <c r="E35" s="7"/>
      <c r="F35" s="7"/>
      <c r="G35" s="7"/>
    </row>
    <row r="36" spans="1:7" ht="18" customHeight="1" x14ac:dyDescent="0.35">
      <c r="A36" s="7"/>
      <c r="B36" s="7"/>
      <c r="C36" s="7"/>
      <c r="D36" s="7"/>
      <c r="E36" s="7"/>
      <c r="F36" s="7"/>
      <c r="G36" s="7"/>
    </row>
    <row r="37" spans="1:7" ht="18" customHeight="1" x14ac:dyDescent="0.35">
      <c r="A37" s="7"/>
      <c r="B37" s="7"/>
      <c r="C37" s="7"/>
      <c r="D37" s="7"/>
      <c r="E37" s="7"/>
      <c r="F37" s="7"/>
      <c r="G37" s="7"/>
    </row>
    <row r="38" spans="1:7" ht="18" customHeight="1" x14ac:dyDescent="0.35">
      <c r="A38" s="7"/>
      <c r="B38" s="7"/>
      <c r="C38" s="7"/>
      <c r="D38" s="7"/>
      <c r="E38" s="7"/>
      <c r="F38" s="7"/>
      <c r="G38" s="7"/>
    </row>
    <row r="39" spans="1:7" ht="18" customHeight="1" x14ac:dyDescent="0.35">
      <c r="A39" s="7"/>
      <c r="B39" s="7"/>
      <c r="C39" s="7"/>
      <c r="D39" s="7"/>
      <c r="E39" s="7"/>
      <c r="F39" s="7"/>
      <c r="G39" s="7"/>
    </row>
    <row r="40" spans="1:7" ht="18" customHeight="1" x14ac:dyDescent="0.35">
      <c r="A40" s="7"/>
      <c r="B40" s="7"/>
      <c r="C40" s="7"/>
      <c r="D40" s="7"/>
      <c r="E40" s="7"/>
      <c r="F40" s="7"/>
      <c r="G40" s="7"/>
    </row>
    <row r="41" spans="1:7" ht="18" customHeight="1" x14ac:dyDescent="0.35">
      <c r="A41" s="7"/>
      <c r="B41" s="7"/>
      <c r="C41" s="7"/>
      <c r="D41" s="7"/>
      <c r="E41" s="7"/>
      <c r="F41" s="7"/>
      <c r="G41" s="7"/>
    </row>
    <row r="42" spans="1:7" ht="18" customHeight="1" x14ac:dyDescent="0.35">
      <c r="A42" s="6" t="s">
        <v>27</v>
      </c>
      <c r="B42" s="6"/>
      <c r="C42" s="6"/>
      <c r="D42" s="6"/>
      <c r="E42" s="6"/>
      <c r="F42" s="6"/>
      <c r="G42" s="32"/>
    </row>
    <row r="43" spans="1:7" ht="15.75" customHeight="1" x14ac:dyDescent="0.35">
      <c r="A43" s="33" t="s">
        <v>28</v>
      </c>
      <c r="B43" s="5"/>
      <c r="C43" s="5"/>
      <c r="D43" s="5"/>
      <c r="E43" s="5"/>
      <c r="F43" s="5"/>
    </row>
    <row r="44" spans="1:7" ht="15.75" customHeight="1" x14ac:dyDescent="0.35">
      <c r="A44" s="34" t="s">
        <v>29</v>
      </c>
      <c r="B44" s="5"/>
      <c r="C44" s="5"/>
      <c r="D44" s="5"/>
      <c r="E44" s="5"/>
      <c r="F44" s="5"/>
    </row>
    <row r="45" spans="1:7" ht="15.75" customHeight="1" x14ac:dyDescent="0.35">
      <c r="A45" s="35" t="s">
        <v>30</v>
      </c>
      <c r="B45" s="5"/>
      <c r="C45" s="5"/>
      <c r="D45" s="5"/>
      <c r="E45" s="5"/>
      <c r="F45" s="5"/>
    </row>
    <row r="46" spans="1:7" ht="15.75" customHeight="1" x14ac:dyDescent="0.35">
      <c r="A46" s="36" t="s">
        <v>31</v>
      </c>
      <c r="B46" s="5"/>
      <c r="C46" s="5"/>
      <c r="D46" s="5"/>
      <c r="E46" s="5"/>
      <c r="F46" s="5"/>
    </row>
    <row r="47" spans="1:7" ht="15.75" customHeight="1" x14ac:dyDescent="0.35">
      <c r="A47" s="37" t="s">
        <v>32</v>
      </c>
      <c r="B47" s="5"/>
      <c r="C47" s="5"/>
      <c r="D47" s="5"/>
      <c r="E47" s="5"/>
      <c r="F47" s="5"/>
    </row>
    <row r="48" spans="1:7" ht="15.75" customHeight="1" x14ac:dyDescent="0.35">
      <c r="A48" s="38" t="s">
        <v>33</v>
      </c>
      <c r="B48" s="5"/>
      <c r="C48" s="5"/>
      <c r="D48" s="5"/>
      <c r="E48" s="5"/>
      <c r="F48" s="5"/>
    </row>
    <row r="49" spans="1:6" ht="15.75" customHeight="1" x14ac:dyDescent="0.35">
      <c r="A49" s="39" t="s">
        <v>34</v>
      </c>
      <c r="B49" s="5"/>
      <c r="C49" s="5"/>
      <c r="D49" s="5"/>
      <c r="E49" s="5"/>
      <c r="F49" s="5"/>
    </row>
  </sheetData>
  <mergeCells count="20">
    <mergeCell ref="B48:F48"/>
    <mergeCell ref="B49:F49"/>
    <mergeCell ref="G4:G9"/>
    <mergeCell ref="G24:G33"/>
    <mergeCell ref="G35:G41"/>
    <mergeCell ref="B43:F43"/>
    <mergeCell ref="B44:F44"/>
    <mergeCell ref="B45:F45"/>
    <mergeCell ref="B46:F46"/>
    <mergeCell ref="B47:F47"/>
    <mergeCell ref="A23:F23"/>
    <mergeCell ref="A24:F33"/>
    <mergeCell ref="A34:F34"/>
    <mergeCell ref="A35:F41"/>
    <mergeCell ref="A42:F42"/>
    <mergeCell ref="A1:F1"/>
    <mergeCell ref="A2:F2"/>
    <mergeCell ref="A3:F3"/>
    <mergeCell ref="A4:F9"/>
    <mergeCell ref="A10:F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7"/>
  <sheetViews>
    <sheetView showGridLines="0" zoomScaleNormal="100" workbookViewId="0">
      <selection activeCell="B35" sqref="B35"/>
    </sheetView>
  </sheetViews>
  <sheetFormatPr defaultColWidth="8.6328125" defaultRowHeight="14.5" x14ac:dyDescent="0.35"/>
  <cols>
    <col min="1" max="1" width="36" customWidth="1"/>
    <col min="2" max="4" width="16" customWidth="1"/>
    <col min="5" max="5" width="84.1796875" customWidth="1"/>
  </cols>
  <sheetData>
    <row r="1" spans="1:5" ht="31.5" customHeight="1" x14ac:dyDescent="0.35">
      <c r="A1" s="4" t="s">
        <v>35</v>
      </c>
      <c r="B1" s="4"/>
      <c r="C1" s="4"/>
      <c r="D1" s="4"/>
      <c r="E1" s="4"/>
    </row>
    <row r="2" spans="1:5" ht="30" customHeight="1" x14ac:dyDescent="0.35">
      <c r="A2" s="3" t="s">
        <v>36</v>
      </c>
      <c r="B2" s="3"/>
      <c r="C2" s="3"/>
      <c r="D2" s="3"/>
      <c r="E2" s="3"/>
    </row>
    <row r="3" spans="1:5" ht="21.75" customHeight="1" x14ac:dyDescent="0.35">
      <c r="A3" s="40" t="s">
        <v>37</v>
      </c>
      <c r="B3" s="40" t="s">
        <v>38</v>
      </c>
      <c r="C3" s="40" t="s">
        <v>39</v>
      </c>
      <c r="D3" s="40" t="s">
        <v>40</v>
      </c>
      <c r="E3" s="40" t="s">
        <v>41</v>
      </c>
    </row>
    <row r="4" spans="1:5" ht="15.75" customHeight="1" x14ac:dyDescent="0.35">
      <c r="A4" s="41" t="s">
        <v>42</v>
      </c>
      <c r="B4" s="42"/>
      <c r="C4" s="42"/>
      <c r="D4" s="42"/>
      <c r="E4" s="42"/>
    </row>
    <row r="5" spans="1:5" ht="71" customHeight="1" x14ac:dyDescent="0.35">
      <c r="A5" s="43" t="s">
        <v>43</v>
      </c>
      <c r="B5" s="26">
        <v>130</v>
      </c>
      <c r="C5" s="26">
        <v>170</v>
      </c>
      <c r="D5" s="26">
        <v>210</v>
      </c>
      <c r="E5" s="44" t="s">
        <v>44</v>
      </c>
    </row>
    <row r="6" spans="1:5" ht="71" customHeight="1" x14ac:dyDescent="0.35">
      <c r="A6" s="43" t="s">
        <v>45</v>
      </c>
      <c r="B6" s="28">
        <v>32</v>
      </c>
      <c r="C6" s="28">
        <v>42</v>
      </c>
      <c r="D6" s="28">
        <v>54</v>
      </c>
      <c r="E6" s="44" t="s">
        <v>46</v>
      </c>
    </row>
    <row r="7" spans="1:5" ht="71" customHeight="1" x14ac:dyDescent="0.35">
      <c r="A7" s="43" t="s">
        <v>47</v>
      </c>
      <c r="B7" s="30">
        <v>0.87</v>
      </c>
      <c r="C7" s="30">
        <v>0.875</v>
      </c>
      <c r="D7" s="30">
        <v>0.88</v>
      </c>
      <c r="E7" s="44" t="s">
        <v>48</v>
      </c>
    </row>
    <row r="8" spans="1:5" ht="71" customHeight="1" x14ac:dyDescent="0.35">
      <c r="A8" s="43" t="s">
        <v>49</v>
      </c>
      <c r="B8" s="26">
        <v>3900</v>
      </c>
      <c r="C8" s="26">
        <v>4050</v>
      </c>
      <c r="D8" s="26">
        <v>4200</v>
      </c>
      <c r="E8" s="44" t="s">
        <v>50</v>
      </c>
    </row>
    <row r="9" spans="1:5" ht="15.75" customHeight="1" x14ac:dyDescent="0.35">
      <c r="A9" s="41" t="s">
        <v>51</v>
      </c>
      <c r="B9" s="42"/>
      <c r="C9" s="42"/>
      <c r="D9" s="42"/>
      <c r="E9" s="42"/>
    </row>
    <row r="10" spans="1:5" ht="73.5" customHeight="1" x14ac:dyDescent="0.35">
      <c r="A10" s="43" t="s">
        <v>52</v>
      </c>
      <c r="B10" s="30">
        <v>0.4</v>
      </c>
      <c r="C10" s="30">
        <v>0.32</v>
      </c>
      <c r="D10" s="30">
        <v>0.25</v>
      </c>
      <c r="E10" s="44" t="s">
        <v>53</v>
      </c>
    </row>
    <row r="11" spans="1:5" ht="73.5" customHeight="1" x14ac:dyDescent="0.35">
      <c r="A11" s="43" t="s">
        <v>54</v>
      </c>
      <c r="B11" s="30">
        <v>0.08</v>
      </c>
      <c r="C11" s="30">
        <v>0.09</v>
      </c>
      <c r="D11" s="30">
        <v>0.1</v>
      </c>
      <c r="E11" s="44" t="s">
        <v>55</v>
      </c>
    </row>
    <row r="12" spans="1:5" ht="15.75" customHeight="1" x14ac:dyDescent="0.35">
      <c r="A12" s="41" t="s">
        <v>56</v>
      </c>
      <c r="B12" s="42"/>
      <c r="C12" s="42"/>
      <c r="D12" s="42"/>
      <c r="E12" s="42"/>
    </row>
    <row r="13" spans="1:5" ht="71.5" customHeight="1" x14ac:dyDescent="0.35">
      <c r="A13" s="43" t="s">
        <v>57</v>
      </c>
      <c r="B13" s="30">
        <v>0.42499999999999999</v>
      </c>
      <c r="C13" s="30">
        <v>0.42</v>
      </c>
      <c r="D13" s="30">
        <v>0.41499999999999998</v>
      </c>
      <c r="E13" s="44" t="s">
        <v>58</v>
      </c>
    </row>
    <row r="14" spans="1:5" ht="71.5" customHeight="1" x14ac:dyDescent="0.35">
      <c r="A14" s="43" t="s">
        <v>59</v>
      </c>
      <c r="B14" s="30">
        <v>0.115</v>
      </c>
      <c r="C14" s="30">
        <v>0.11</v>
      </c>
      <c r="D14" s="30">
        <v>0.105</v>
      </c>
      <c r="E14" s="44" t="s">
        <v>60</v>
      </c>
    </row>
    <row r="15" spans="1:5" ht="71.5" customHeight="1" x14ac:dyDescent="0.35">
      <c r="A15" s="43" t="s">
        <v>61</v>
      </c>
      <c r="B15" s="30">
        <v>0.08</v>
      </c>
      <c r="C15" s="30">
        <v>8.2000000000000003E-2</v>
      </c>
      <c r="D15" s="30">
        <v>8.5000000000000006E-2</v>
      </c>
      <c r="E15" s="44" t="s">
        <v>62</v>
      </c>
    </row>
    <row r="16" spans="1:5" ht="71.5" customHeight="1" x14ac:dyDescent="0.35">
      <c r="A16" s="43" t="s">
        <v>63</v>
      </c>
      <c r="B16" s="30">
        <v>0.11</v>
      </c>
      <c r="C16" s="30">
        <v>0.108</v>
      </c>
      <c r="D16" s="30">
        <v>0.106</v>
      </c>
      <c r="E16" s="44" t="s">
        <v>64</v>
      </c>
    </row>
    <row r="17" spans="1:5" ht="71.5" customHeight="1" x14ac:dyDescent="0.35">
      <c r="A17" s="43" t="s">
        <v>65</v>
      </c>
      <c r="B17" s="30">
        <v>0.155</v>
      </c>
      <c r="C17" s="30">
        <v>0.15</v>
      </c>
      <c r="D17" s="30">
        <v>0.14499999999999999</v>
      </c>
      <c r="E17" s="44" t="s">
        <v>66</v>
      </c>
    </row>
    <row r="18" spans="1:5" ht="71.5" customHeight="1" x14ac:dyDescent="0.35">
      <c r="A18" s="43" t="s">
        <v>67</v>
      </c>
      <c r="B18" s="30">
        <v>9.5000000000000001E-2</v>
      </c>
      <c r="C18" s="30">
        <v>9.2999999999999999E-2</v>
      </c>
      <c r="D18" s="30">
        <v>0.09</v>
      </c>
      <c r="E18" s="44" t="s">
        <v>68</v>
      </c>
    </row>
    <row r="19" spans="1:5" ht="15.75" customHeight="1" x14ac:dyDescent="0.35">
      <c r="A19" s="41" t="s">
        <v>69</v>
      </c>
      <c r="B19" s="42"/>
      <c r="C19" s="42"/>
      <c r="D19" s="42"/>
      <c r="E19" s="42"/>
    </row>
    <row r="20" spans="1:5" ht="56" customHeight="1" x14ac:dyDescent="0.35">
      <c r="A20" s="43" t="s">
        <v>70</v>
      </c>
      <c r="B20" s="30">
        <v>9.5000000000000001E-2</v>
      </c>
      <c r="C20" s="30">
        <v>9.2999999999999999E-2</v>
      </c>
      <c r="D20" s="30">
        <v>0.09</v>
      </c>
      <c r="E20" s="44" t="s">
        <v>71</v>
      </c>
    </row>
    <row r="21" spans="1:5" ht="15.75" customHeight="1" x14ac:dyDescent="0.35">
      <c r="A21" s="41" t="s">
        <v>72</v>
      </c>
      <c r="B21" s="42"/>
      <c r="C21" s="42"/>
      <c r="D21" s="42"/>
      <c r="E21" s="42"/>
    </row>
    <row r="22" spans="1:5" ht="42" customHeight="1" x14ac:dyDescent="0.35">
      <c r="A22" s="43" t="s">
        <v>73</v>
      </c>
      <c r="B22" s="30">
        <v>0.09</v>
      </c>
      <c r="C22" s="30">
        <v>8.5000000000000006E-2</v>
      </c>
      <c r="D22" s="30">
        <v>0.08</v>
      </c>
      <c r="E22" s="44" t="s">
        <v>74</v>
      </c>
    </row>
    <row r="23" spans="1:5" ht="15.75" customHeight="1" x14ac:dyDescent="0.35">
      <c r="A23" s="41" t="s">
        <v>75</v>
      </c>
      <c r="B23" s="42"/>
      <c r="C23" s="42"/>
      <c r="D23" s="42"/>
      <c r="E23" s="42"/>
    </row>
    <row r="24" spans="1:5" ht="56.5" customHeight="1" x14ac:dyDescent="0.35">
      <c r="A24" s="43" t="s">
        <v>76</v>
      </c>
      <c r="B24" s="30">
        <v>0</v>
      </c>
      <c r="C24" s="30">
        <v>0</v>
      </c>
      <c r="D24" s="30">
        <v>0</v>
      </c>
      <c r="E24" s="44" t="s">
        <v>77</v>
      </c>
    </row>
    <row r="25" spans="1:5" ht="15.75" customHeight="1" x14ac:dyDescent="0.35">
      <c r="A25" s="41" t="s">
        <v>78</v>
      </c>
      <c r="B25" s="42"/>
      <c r="C25" s="42"/>
      <c r="D25" s="42"/>
      <c r="E25" s="42"/>
    </row>
    <row r="26" spans="1:5" ht="42" customHeight="1" x14ac:dyDescent="0.35">
      <c r="A26" s="43" t="s">
        <v>79</v>
      </c>
      <c r="B26" s="28">
        <v>15</v>
      </c>
      <c r="C26" s="28">
        <v>14</v>
      </c>
      <c r="D26" s="28">
        <v>13</v>
      </c>
      <c r="E26" s="44" t="s">
        <v>80</v>
      </c>
    </row>
    <row r="27" spans="1:5" ht="42" customHeight="1" x14ac:dyDescent="0.35">
      <c r="A27" s="43" t="s">
        <v>81</v>
      </c>
      <c r="B27" s="28">
        <v>38</v>
      </c>
      <c r="C27" s="28">
        <v>40</v>
      </c>
      <c r="D27" s="28">
        <v>42</v>
      </c>
      <c r="E27" s="44" t="s">
        <v>82</v>
      </c>
    </row>
    <row r="28" spans="1:5" ht="42" customHeight="1" x14ac:dyDescent="0.35">
      <c r="A28" s="43" t="s">
        <v>83</v>
      </c>
      <c r="B28" s="30">
        <v>7.4999999999999997E-2</v>
      </c>
      <c r="C28" s="30">
        <v>7.2999999999999995E-2</v>
      </c>
      <c r="D28" s="30">
        <v>7.0000000000000007E-2</v>
      </c>
      <c r="E28" s="44" t="s">
        <v>84</v>
      </c>
    </row>
    <row r="29" spans="1:5" ht="65.5" customHeight="1" x14ac:dyDescent="0.35">
      <c r="A29" s="43" t="s">
        <v>85</v>
      </c>
      <c r="B29" s="30">
        <v>0.12</v>
      </c>
      <c r="C29" s="30">
        <v>0.11799999999999999</v>
      </c>
      <c r="D29" s="30">
        <v>0.115</v>
      </c>
      <c r="E29" s="44" t="s">
        <v>86</v>
      </c>
    </row>
    <row r="30" spans="1:5" ht="15.75" customHeight="1" x14ac:dyDescent="0.35">
      <c r="A30" s="41" t="s">
        <v>87</v>
      </c>
      <c r="B30" s="42"/>
      <c r="C30" s="42"/>
      <c r="D30" s="42"/>
      <c r="E30" s="42"/>
    </row>
    <row r="31" spans="1:5" ht="61.5" customHeight="1" x14ac:dyDescent="0.35">
      <c r="A31" s="43" t="s">
        <v>88</v>
      </c>
      <c r="B31" s="45">
        <v>420</v>
      </c>
      <c r="C31" s="45">
        <v>550</v>
      </c>
      <c r="D31" s="45">
        <v>680</v>
      </c>
      <c r="E31" s="44" t="s">
        <v>89</v>
      </c>
    </row>
    <row r="32" spans="1:5" ht="61.5" customHeight="1" x14ac:dyDescent="0.35">
      <c r="A32" s="43" t="s">
        <v>90</v>
      </c>
      <c r="B32" s="45">
        <v>24</v>
      </c>
      <c r="C32" s="45">
        <v>25</v>
      </c>
      <c r="D32" s="45">
        <v>26</v>
      </c>
      <c r="E32" s="44" t="s">
        <v>91</v>
      </c>
    </row>
    <row r="33" spans="1:5" ht="61.5" customHeight="1" x14ac:dyDescent="0.35">
      <c r="A33" s="43" t="s">
        <v>92</v>
      </c>
      <c r="B33" s="26">
        <v>42</v>
      </c>
      <c r="C33" s="26">
        <v>40</v>
      </c>
      <c r="D33" s="26">
        <v>40</v>
      </c>
      <c r="E33" s="44" t="s">
        <v>93</v>
      </c>
    </row>
    <row r="34" spans="1:5" ht="61.5" customHeight="1" x14ac:dyDescent="0.35">
      <c r="A34" s="43" t="s">
        <v>94</v>
      </c>
      <c r="B34" s="45">
        <v>2500</v>
      </c>
      <c r="C34" s="45">
        <v>2000</v>
      </c>
      <c r="D34" s="45">
        <v>1500</v>
      </c>
      <c r="E34" s="44" t="s">
        <v>95</v>
      </c>
    </row>
    <row r="35" spans="1:5" ht="61.5" customHeight="1" x14ac:dyDescent="0.35">
      <c r="A35" s="43" t="s">
        <v>96</v>
      </c>
      <c r="B35" s="30">
        <v>8.5000000000000006E-2</v>
      </c>
      <c r="C35" s="30">
        <v>8.5000000000000006E-2</v>
      </c>
      <c r="D35" s="30">
        <v>8.5000000000000006E-2</v>
      </c>
      <c r="E35" s="44" t="s">
        <v>97</v>
      </c>
    </row>
    <row r="37" spans="1:5" ht="13.5" customHeight="1" x14ac:dyDescent="0.35">
      <c r="A37" s="2" t="s">
        <v>98</v>
      </c>
      <c r="B37" s="2"/>
      <c r="C37" s="2"/>
      <c r="D37" s="2"/>
      <c r="E37" s="2"/>
    </row>
  </sheetData>
  <mergeCells count="3">
    <mergeCell ref="A1:E1"/>
    <mergeCell ref="A2:E2"/>
    <mergeCell ref="A37:E3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7"/>
  <sheetViews>
    <sheetView showGridLines="0" topLeftCell="A14" zoomScaleNormal="100" workbookViewId="0">
      <selection activeCell="A10" sqref="A10"/>
    </sheetView>
  </sheetViews>
  <sheetFormatPr defaultColWidth="8.6328125" defaultRowHeight="14.5" x14ac:dyDescent="0.35"/>
  <cols>
    <col min="1" max="1" width="48.81640625" customWidth="1"/>
    <col min="2" max="4" width="13" customWidth="1"/>
    <col min="5" max="7" width="14" customWidth="1"/>
  </cols>
  <sheetData>
    <row r="1" spans="1:7" ht="27.75" customHeight="1" x14ac:dyDescent="0.35">
      <c r="A1" s="1" t="s">
        <v>99</v>
      </c>
      <c r="B1" s="1"/>
      <c r="C1" s="1"/>
      <c r="D1" s="1"/>
      <c r="E1" s="1"/>
      <c r="F1" s="1"/>
      <c r="G1" s="1"/>
    </row>
    <row r="2" spans="1:7" ht="24" customHeight="1" x14ac:dyDescent="0.35">
      <c r="A2" s="3" t="s">
        <v>100</v>
      </c>
      <c r="B2" s="3"/>
      <c r="C2" s="3"/>
      <c r="D2" s="3"/>
      <c r="E2" s="3"/>
      <c r="F2" s="3"/>
      <c r="G2" s="3"/>
    </row>
    <row r="3" spans="1:7" ht="30" customHeight="1" x14ac:dyDescent="0.35">
      <c r="A3" s="40" t="s">
        <v>101</v>
      </c>
      <c r="B3" s="40" t="s">
        <v>6</v>
      </c>
      <c r="C3" s="40" t="s">
        <v>7</v>
      </c>
      <c r="D3" s="40" t="s">
        <v>8</v>
      </c>
      <c r="E3" s="40" t="s">
        <v>9</v>
      </c>
      <c r="F3" s="40" t="s">
        <v>10</v>
      </c>
      <c r="G3" s="40" t="s">
        <v>11</v>
      </c>
    </row>
    <row r="4" spans="1:7" ht="13.5" customHeight="1" x14ac:dyDescent="0.35">
      <c r="B4" s="74" t="s">
        <v>102</v>
      </c>
      <c r="C4" s="74"/>
      <c r="D4" s="74"/>
      <c r="E4" s="75" t="s">
        <v>103</v>
      </c>
      <c r="F4" s="75"/>
      <c r="G4" s="75"/>
    </row>
    <row r="5" spans="1:7" ht="29.5" customHeight="1" x14ac:dyDescent="0.35">
      <c r="A5" s="46" t="s">
        <v>104</v>
      </c>
      <c r="B5" s="42"/>
      <c r="C5" s="42"/>
      <c r="D5" s="42"/>
      <c r="E5" s="42"/>
      <c r="F5" s="42"/>
      <c r="G5" s="42"/>
    </row>
    <row r="6" spans="1:7" ht="29.5" customHeight="1" x14ac:dyDescent="0.35">
      <c r="A6" s="20" t="s">
        <v>105</v>
      </c>
      <c r="B6" s="45">
        <v>850</v>
      </c>
      <c r="C6" s="45">
        <v>4580</v>
      </c>
      <c r="D6" s="45">
        <v>8350</v>
      </c>
      <c r="E6" s="47">
        <f>D6*(1+Assumptions!B10)</f>
        <v>11690</v>
      </c>
      <c r="F6" s="47">
        <f>E6*(1+Assumptions!C10)</f>
        <v>15430.800000000001</v>
      </c>
      <c r="G6" s="47">
        <f>F6*(1+Assumptions!D10)</f>
        <v>19288.5</v>
      </c>
    </row>
    <row r="7" spans="1:7" ht="29.5" customHeight="1" x14ac:dyDescent="0.35">
      <c r="A7" s="48" t="s">
        <v>106</v>
      </c>
      <c r="B7" s="49"/>
      <c r="C7" s="50">
        <f>(C6-B6)/B6</f>
        <v>4.3882352941176475</v>
      </c>
      <c r="D7" s="50">
        <f>(D6-C6)/C6</f>
        <v>0.82314410480349343</v>
      </c>
      <c r="E7" s="51">
        <f>Assumptions!B10</f>
        <v>0.4</v>
      </c>
      <c r="F7" s="51">
        <f>Assumptions!C10</f>
        <v>0.32</v>
      </c>
      <c r="G7" s="51">
        <f>Assumptions!D10</f>
        <v>0.25</v>
      </c>
    </row>
    <row r="8" spans="1:7" ht="29.5" customHeight="1" x14ac:dyDescent="0.35">
      <c r="A8" s="46" t="s">
        <v>107</v>
      </c>
      <c r="B8" s="42"/>
      <c r="C8" s="42"/>
      <c r="D8" s="42"/>
      <c r="E8" s="42"/>
      <c r="F8" s="42"/>
      <c r="G8" s="42"/>
    </row>
    <row r="9" spans="1:7" ht="29.5" customHeight="1" x14ac:dyDescent="0.35">
      <c r="A9" s="43" t="s">
        <v>108</v>
      </c>
      <c r="B9" s="45">
        <v>580</v>
      </c>
      <c r="C9" s="45">
        <v>2750</v>
      </c>
      <c r="D9" s="45">
        <v>4720</v>
      </c>
      <c r="E9" s="52">
        <f>E6*Assumptions!B13</f>
        <v>4968.25</v>
      </c>
      <c r="F9" s="52">
        <f>F6*Assumptions!C13</f>
        <v>6480.9360000000006</v>
      </c>
      <c r="G9" s="52">
        <f>G6*Assumptions!D13</f>
        <v>8004.7275</v>
      </c>
    </row>
    <row r="10" spans="1:7" ht="29.5" customHeight="1" x14ac:dyDescent="0.35">
      <c r="A10" s="43" t="s">
        <v>109</v>
      </c>
      <c r="B10" s="45">
        <v>190</v>
      </c>
      <c r="C10" s="45">
        <v>680</v>
      </c>
      <c r="D10" s="45">
        <v>1240</v>
      </c>
      <c r="E10" s="52">
        <f>E6*Assumptions!B14</f>
        <v>1344.3500000000001</v>
      </c>
      <c r="F10" s="52">
        <f>F6*Assumptions!C14</f>
        <v>1697.3880000000001</v>
      </c>
      <c r="G10" s="52">
        <f>G6*Assumptions!D14</f>
        <v>2025.2925</v>
      </c>
    </row>
    <row r="11" spans="1:7" ht="29.5" customHeight="1" x14ac:dyDescent="0.35">
      <c r="A11" s="43" t="s">
        <v>110</v>
      </c>
      <c r="B11" s="45">
        <v>95</v>
      </c>
      <c r="C11" s="45">
        <v>410</v>
      </c>
      <c r="D11" s="45">
        <v>780</v>
      </c>
      <c r="E11" s="52">
        <f>E6*Assumptions!B15</f>
        <v>935.2</v>
      </c>
      <c r="F11" s="52">
        <f>F6*Assumptions!C15</f>
        <v>1265.3256000000001</v>
      </c>
      <c r="G11" s="52">
        <f>G6*Assumptions!D15</f>
        <v>1639.5225</v>
      </c>
    </row>
    <row r="12" spans="1:7" ht="29.5" customHeight="1" x14ac:dyDescent="0.35">
      <c r="A12" s="43" t="s">
        <v>111</v>
      </c>
      <c r="B12" s="45">
        <v>120</v>
      </c>
      <c r="C12" s="45">
        <v>540</v>
      </c>
      <c r="D12" s="45">
        <v>1050</v>
      </c>
      <c r="E12" s="52">
        <f>E6*Assumptions!B16</f>
        <v>1285.9000000000001</v>
      </c>
      <c r="F12" s="52">
        <f>F6*Assumptions!C16</f>
        <v>1666.5264000000002</v>
      </c>
      <c r="G12" s="52">
        <f>G6*Assumptions!D16</f>
        <v>2044.5809999999999</v>
      </c>
    </row>
    <row r="13" spans="1:7" ht="29.5" customHeight="1" x14ac:dyDescent="0.35">
      <c r="A13" s="43" t="s">
        <v>112</v>
      </c>
      <c r="B13" s="45">
        <v>185</v>
      </c>
      <c r="C13" s="45">
        <v>630</v>
      </c>
      <c r="D13" s="45">
        <v>1180</v>
      </c>
      <c r="E13" s="52">
        <f>E6*Assumptions!B18</f>
        <v>1110.55</v>
      </c>
      <c r="F13" s="52">
        <f>F6*Assumptions!C18</f>
        <v>1435.0644</v>
      </c>
      <c r="G13" s="52">
        <f>G6*Assumptions!D18</f>
        <v>1735.9649999999999</v>
      </c>
    </row>
    <row r="14" spans="1:7" ht="29.5" customHeight="1" thickBot="1" x14ac:dyDescent="0.4">
      <c r="A14" s="20" t="s">
        <v>113</v>
      </c>
      <c r="B14" s="53">
        <f>SUM(B9:B13)</f>
        <v>1170</v>
      </c>
      <c r="C14" s="53">
        <f>SUM(C9:C13)</f>
        <v>5010</v>
      </c>
      <c r="D14" s="53">
        <f>SUM(D9:D13)</f>
        <v>8970</v>
      </c>
      <c r="E14" s="53">
        <f>SUM(E9:E13)</f>
        <v>9644.25</v>
      </c>
      <c r="F14" s="53">
        <f>SUM(F9:F13)</f>
        <v>12545.240400000001</v>
      </c>
      <c r="G14" s="53">
        <f>SUM(G9:G13)</f>
        <v>15450.0885</v>
      </c>
    </row>
    <row r="15" spans="1:7" ht="29.5" customHeight="1" x14ac:dyDescent="0.35">
      <c r="A15" s="54" t="s">
        <v>114</v>
      </c>
      <c r="B15" s="45">
        <v>210</v>
      </c>
      <c r="C15" s="45">
        <v>820</v>
      </c>
      <c r="D15" s="45">
        <v>1480</v>
      </c>
      <c r="E15" s="52">
        <f>E6*Assumptions!B17</f>
        <v>1811.95</v>
      </c>
      <c r="F15" s="52">
        <f>F6*Assumptions!C17</f>
        <v>2314.62</v>
      </c>
      <c r="G15" s="52">
        <f>G6*Assumptions!D17</f>
        <v>2796.8325</v>
      </c>
    </row>
    <row r="16" spans="1:7" ht="29.5" customHeight="1" thickBot="1" x14ac:dyDescent="0.4">
      <c r="A16" s="55" t="s">
        <v>115</v>
      </c>
      <c r="B16" s="56">
        <v>-530</v>
      </c>
      <c r="C16" s="56">
        <v>-1250</v>
      </c>
      <c r="D16" s="56">
        <v>-1100</v>
      </c>
      <c r="E16" s="56">
        <f>E6-E14</f>
        <v>2045.75</v>
      </c>
      <c r="F16" s="56">
        <f>F6-F14</f>
        <v>2885.5596000000005</v>
      </c>
      <c r="G16" s="56">
        <f>G6-G14</f>
        <v>3838.4115000000002</v>
      </c>
    </row>
    <row r="17" spans="1:7" ht="29.5" customHeight="1" x14ac:dyDescent="0.35">
      <c r="A17" s="48" t="s">
        <v>116</v>
      </c>
      <c r="B17" s="50">
        <f>B16/B6</f>
        <v>-0.62352941176470589</v>
      </c>
      <c r="C17" s="50">
        <f>C16/C6</f>
        <v>-0.27292576419213976</v>
      </c>
      <c r="D17" s="50">
        <f>D16/D6</f>
        <v>-0.1317365269461078</v>
      </c>
      <c r="E17" s="50">
        <f>E16/E6</f>
        <v>0.17499999999999999</v>
      </c>
      <c r="F17" s="50">
        <f>F16/F6</f>
        <v>0.18700000000000003</v>
      </c>
      <c r="G17" s="50">
        <f>G16/G6</f>
        <v>0.19900000000000001</v>
      </c>
    </row>
    <row r="18" spans="1:7" ht="29.5" customHeight="1" x14ac:dyDescent="0.35">
      <c r="A18" s="46" t="s">
        <v>117</v>
      </c>
      <c r="B18" s="42"/>
      <c r="C18" s="42"/>
      <c r="D18" s="42"/>
      <c r="E18" s="42"/>
      <c r="F18" s="42"/>
      <c r="G18" s="42"/>
    </row>
    <row r="19" spans="1:7" ht="29.5" customHeight="1" x14ac:dyDescent="0.35">
      <c r="A19" s="43" t="s">
        <v>118</v>
      </c>
      <c r="B19" s="45">
        <v>180</v>
      </c>
      <c r="C19" s="45">
        <v>520</v>
      </c>
      <c r="D19" s="45">
        <v>920</v>
      </c>
      <c r="E19" s="52">
        <f>E6*Assumptions!B20</f>
        <v>1110.55</v>
      </c>
      <c r="F19" s="52">
        <f>F6*Assumptions!C20</f>
        <v>1435.0644</v>
      </c>
      <c r="G19" s="52">
        <f>G6*Assumptions!D20</f>
        <v>1735.9649999999999</v>
      </c>
    </row>
    <row r="20" spans="1:7" ht="29.5" customHeight="1" thickBot="1" x14ac:dyDescent="0.4">
      <c r="A20" s="57" t="s">
        <v>119</v>
      </c>
      <c r="B20" s="53">
        <v>-710</v>
      </c>
      <c r="C20" s="53">
        <v>-1770</v>
      </c>
      <c r="D20" s="53">
        <v>-2020</v>
      </c>
      <c r="E20" s="53">
        <f>E16-E15-E19</f>
        <v>-876.75</v>
      </c>
      <c r="F20" s="53">
        <f>F16-F15-F19</f>
        <v>-864.12479999999937</v>
      </c>
      <c r="G20" s="53">
        <f>G16-G15-G19</f>
        <v>-694.38599999999974</v>
      </c>
    </row>
    <row r="21" spans="1:7" ht="29.5" customHeight="1" x14ac:dyDescent="0.35">
      <c r="A21" s="46" t="s">
        <v>120</v>
      </c>
      <c r="B21" s="42"/>
      <c r="C21" s="42"/>
      <c r="D21" s="42"/>
      <c r="E21" s="42"/>
      <c r="F21" s="42"/>
      <c r="G21" s="42"/>
    </row>
    <row r="22" spans="1:7" ht="29.5" customHeight="1" x14ac:dyDescent="0.35">
      <c r="A22" s="43" t="s">
        <v>121</v>
      </c>
      <c r="B22" s="45">
        <v>165</v>
      </c>
      <c r="C22" s="45">
        <v>480</v>
      </c>
      <c r="D22" s="45">
        <v>860</v>
      </c>
      <c r="E22" s="52">
        <f>E6*Assumptions!B22</f>
        <v>1052.0999999999999</v>
      </c>
      <c r="F22" s="52">
        <f>F6*Assumptions!C22</f>
        <v>1311.6180000000002</v>
      </c>
      <c r="G22" s="52">
        <f>G6*Assumptions!D22</f>
        <v>1543.08</v>
      </c>
    </row>
    <row r="23" spans="1:7" ht="29.5" customHeight="1" thickBot="1" x14ac:dyDescent="0.4">
      <c r="A23" s="55" t="s">
        <v>122</v>
      </c>
      <c r="B23" s="56">
        <v>-875</v>
      </c>
      <c r="C23" s="56">
        <v>-2250</v>
      </c>
      <c r="D23" s="56">
        <v>-2880</v>
      </c>
      <c r="E23" s="56">
        <f>E20-E22</f>
        <v>-1928.85</v>
      </c>
      <c r="F23" s="56">
        <f>F20-F22</f>
        <v>-2175.7427999999995</v>
      </c>
      <c r="G23" s="56">
        <f>G20-G22</f>
        <v>-2237.4659999999994</v>
      </c>
    </row>
    <row r="24" spans="1:7" ht="29.5" customHeight="1" x14ac:dyDescent="0.35">
      <c r="A24" s="46" t="s">
        <v>123</v>
      </c>
      <c r="B24" s="42"/>
      <c r="C24" s="42"/>
      <c r="D24" s="42"/>
      <c r="E24" s="42"/>
      <c r="F24" s="42"/>
      <c r="G24" s="42"/>
    </row>
    <row r="25" spans="1:7" ht="29.5" customHeight="1" x14ac:dyDescent="0.35">
      <c r="A25" s="43" t="s">
        <v>124</v>
      </c>
      <c r="B25" s="52">
        <v>0</v>
      </c>
      <c r="C25" s="52">
        <v>0</v>
      </c>
      <c r="D25" s="52">
        <v>0</v>
      </c>
      <c r="E25" s="52">
        <f>MAX(0,E23)*Assumptions!B24</f>
        <v>0</v>
      </c>
      <c r="F25" s="52">
        <f>MAX(0,F23)*Assumptions!C24</f>
        <v>0</v>
      </c>
      <c r="G25" s="52">
        <f>MAX(0,G23)*Assumptions!D24</f>
        <v>0</v>
      </c>
    </row>
    <row r="26" spans="1:7" ht="29.5" customHeight="1" thickBot="1" x14ac:dyDescent="0.4">
      <c r="A26" s="58" t="s">
        <v>125</v>
      </c>
      <c r="B26" s="59">
        <v>-875</v>
      </c>
      <c r="C26" s="59">
        <v>-2250</v>
      </c>
      <c r="D26" s="59">
        <v>-2880</v>
      </c>
      <c r="E26" s="59">
        <f>E23-E25</f>
        <v>-1928.85</v>
      </c>
      <c r="F26" s="59">
        <f>F23-F25</f>
        <v>-2175.7427999999995</v>
      </c>
      <c r="G26" s="59">
        <f>G23-G25</f>
        <v>-2237.4659999999994</v>
      </c>
    </row>
    <row r="27" spans="1:7" ht="29.5" customHeight="1" thickTop="1" x14ac:dyDescent="0.35">
      <c r="A27" s="48" t="s">
        <v>126</v>
      </c>
      <c r="B27" s="50">
        <f>B26/B6</f>
        <v>-1.0294117647058822</v>
      </c>
      <c r="C27" s="50">
        <f>C26/C6</f>
        <v>-0.49126637554585151</v>
      </c>
      <c r="D27" s="50">
        <f>D26/D6</f>
        <v>-0.34491017964071857</v>
      </c>
      <c r="E27" s="50">
        <f>E26/E6</f>
        <v>-0.16499999999999998</v>
      </c>
      <c r="F27" s="50">
        <f>F26/F6</f>
        <v>-0.14099999999999996</v>
      </c>
      <c r="G27" s="50">
        <f>G26/G6</f>
        <v>-0.11599999999999996</v>
      </c>
    </row>
  </sheetData>
  <mergeCells count="4">
    <mergeCell ref="A1:G1"/>
    <mergeCell ref="A2:G2"/>
    <mergeCell ref="B4:D4"/>
    <mergeCell ref="E4:G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4"/>
  <sheetViews>
    <sheetView showGridLines="0" zoomScaleNormal="100" workbookViewId="0">
      <selection activeCell="E6" sqref="E6"/>
    </sheetView>
  </sheetViews>
  <sheetFormatPr defaultColWidth="8.6328125" defaultRowHeight="14.5" x14ac:dyDescent="0.35"/>
  <cols>
    <col min="1" max="1" width="38" customWidth="1"/>
    <col min="2" max="4" width="13" customWidth="1"/>
    <col min="5" max="7" width="14" customWidth="1"/>
  </cols>
  <sheetData>
    <row r="1" spans="1:7" ht="27.75" customHeight="1" x14ac:dyDescent="0.35">
      <c r="A1" s="1" t="s">
        <v>127</v>
      </c>
      <c r="B1" s="1"/>
      <c r="C1" s="1"/>
      <c r="D1" s="1"/>
      <c r="E1" s="1"/>
      <c r="F1" s="1"/>
      <c r="G1" s="1"/>
    </row>
    <row r="2" spans="1:7" ht="24" customHeight="1" x14ac:dyDescent="0.35">
      <c r="A2" s="3" t="s">
        <v>128</v>
      </c>
      <c r="B2" s="3"/>
      <c r="C2" s="3"/>
      <c r="D2" s="3"/>
      <c r="E2" s="3"/>
      <c r="F2" s="3"/>
      <c r="G2" s="3"/>
    </row>
    <row r="3" spans="1:7" ht="30" customHeight="1" x14ac:dyDescent="0.35">
      <c r="A3" s="40" t="s">
        <v>101</v>
      </c>
      <c r="B3" s="40" t="s">
        <v>6</v>
      </c>
      <c r="C3" s="40" t="s">
        <v>7</v>
      </c>
      <c r="D3" s="40" t="s">
        <v>8</v>
      </c>
      <c r="E3" s="40" t="s">
        <v>9</v>
      </c>
      <c r="F3" s="40" t="s">
        <v>10</v>
      </c>
      <c r="G3" s="40" t="s">
        <v>11</v>
      </c>
    </row>
    <row r="4" spans="1:7" ht="30.5" customHeight="1" x14ac:dyDescent="0.35">
      <c r="B4" s="74" t="s">
        <v>102</v>
      </c>
      <c r="C4" s="74"/>
      <c r="D4" s="74"/>
      <c r="E4" s="75" t="s">
        <v>103</v>
      </c>
      <c r="F4" s="75"/>
      <c r="G4" s="75"/>
    </row>
    <row r="5" spans="1:7" ht="30.5" customHeight="1" x14ac:dyDescent="0.35">
      <c r="A5" s="60" t="s">
        <v>129</v>
      </c>
      <c r="B5" s="61"/>
      <c r="C5" s="61"/>
      <c r="D5" s="61"/>
      <c r="E5" s="61"/>
      <c r="F5" s="61"/>
      <c r="G5" s="61"/>
    </row>
    <row r="6" spans="1:7" ht="30.5" customHeight="1" x14ac:dyDescent="0.35">
      <c r="A6" s="46" t="s">
        <v>130</v>
      </c>
      <c r="B6" s="42"/>
      <c r="C6" s="42"/>
      <c r="D6" s="42"/>
      <c r="E6" s="42"/>
      <c r="F6" s="42"/>
      <c r="G6" s="42"/>
    </row>
    <row r="7" spans="1:7" ht="30.5" customHeight="1" x14ac:dyDescent="0.35">
      <c r="A7" s="62" t="s">
        <v>131</v>
      </c>
      <c r="B7" s="52">
        <v>4200</v>
      </c>
      <c r="C7" s="52">
        <v>3100</v>
      </c>
      <c r="D7" s="52">
        <v>2400</v>
      </c>
      <c r="E7" s="63">
        <f>'Cash Flow'!E27</f>
        <v>4535.0015068493149</v>
      </c>
      <c r="F7" s="63">
        <f>'Cash Flow'!F27</f>
        <v>5456.5244602739731</v>
      </c>
      <c r="G7" s="63">
        <f>'Cash Flow'!G27</f>
        <v>6022.9669602739741</v>
      </c>
    </row>
    <row r="8" spans="1:7" ht="30.5" customHeight="1" x14ac:dyDescent="0.35">
      <c r="A8" s="62" t="s">
        <v>132</v>
      </c>
      <c r="B8" s="52">
        <v>35</v>
      </c>
      <c r="C8" s="52">
        <v>188</v>
      </c>
      <c r="D8" s="52">
        <v>343</v>
      </c>
      <c r="E8" s="52">
        <f>'P&amp;L Statement'!E6*Assumptions!B26/365</f>
        <v>480.41095890410958</v>
      </c>
      <c r="F8" s="52">
        <f>'P&amp;L Statement'!F6*Assumptions!C26/365</f>
        <v>591.86630136986309</v>
      </c>
      <c r="G8" s="52">
        <f>'P&amp;L Statement'!G6*Assumptions!D26/365</f>
        <v>686.98767123287666</v>
      </c>
    </row>
    <row r="9" spans="1:7" ht="30.5" customHeight="1" x14ac:dyDescent="0.35">
      <c r="A9" s="62" t="s">
        <v>133</v>
      </c>
      <c r="B9" s="52">
        <v>380</v>
      </c>
      <c r="C9" s="52">
        <v>1100</v>
      </c>
      <c r="D9" s="52">
        <v>1850</v>
      </c>
      <c r="E9" s="52">
        <f>'P&amp;L Statement'!E6*Assumptions!B28</f>
        <v>876.75</v>
      </c>
      <c r="F9" s="52">
        <f>'P&amp;L Statement'!F6*Assumptions!C28</f>
        <v>1126.4484</v>
      </c>
      <c r="G9" s="52">
        <f>'P&amp;L Statement'!G6*Assumptions!D28</f>
        <v>1350.1950000000002</v>
      </c>
    </row>
    <row r="10" spans="1:7" ht="30.5" customHeight="1" thickBot="1" x14ac:dyDescent="0.4">
      <c r="A10" s="20" t="s">
        <v>134</v>
      </c>
      <c r="B10" s="64">
        <v>4615</v>
      </c>
      <c r="C10" s="64">
        <v>4388</v>
      </c>
      <c r="D10" s="64">
        <v>4593</v>
      </c>
      <c r="E10" s="53">
        <f>SUM(E7:E9)</f>
        <v>5892.1624657534248</v>
      </c>
      <c r="F10" s="53">
        <f>SUM(F7:F9)</f>
        <v>7174.8391616438366</v>
      </c>
      <c r="G10" s="53">
        <f>SUM(G7:G9)</f>
        <v>8060.1496315068507</v>
      </c>
    </row>
    <row r="11" spans="1:7" ht="30.5" customHeight="1" x14ac:dyDescent="0.35">
      <c r="A11" s="46" t="s">
        <v>135</v>
      </c>
      <c r="B11" s="42"/>
      <c r="C11" s="42"/>
      <c r="D11" s="42"/>
      <c r="E11" s="42"/>
      <c r="F11" s="42"/>
      <c r="G11" s="42"/>
    </row>
    <row r="12" spans="1:7" ht="30.5" customHeight="1" x14ac:dyDescent="0.35">
      <c r="A12" s="65" t="s">
        <v>136</v>
      </c>
      <c r="B12" s="52">
        <v>1200</v>
      </c>
      <c r="C12" s="52">
        <v>4800</v>
      </c>
      <c r="D12" s="52">
        <v>8500</v>
      </c>
      <c r="E12" s="52">
        <f>D12+Assumptions!B33*Assumptions!B32-'P&amp;L Statement'!E19</f>
        <v>8397.4500000000007</v>
      </c>
      <c r="F12" s="52">
        <f>E12+Assumptions!C33*Assumptions!C32-'P&amp;L Statement'!F19</f>
        <v>7962.3856000000005</v>
      </c>
      <c r="G12" s="52">
        <f>F12+Assumptions!D33*Assumptions!D32-'P&amp;L Statement'!G19</f>
        <v>7266.4206000000013</v>
      </c>
    </row>
    <row r="13" spans="1:7" ht="30.5" customHeight="1" x14ac:dyDescent="0.35">
      <c r="A13" s="62" t="s">
        <v>137</v>
      </c>
      <c r="B13" s="52">
        <v>220</v>
      </c>
      <c r="C13" s="52">
        <v>610</v>
      </c>
      <c r="D13" s="52">
        <v>1020</v>
      </c>
      <c r="E13" s="52">
        <f>D13+Assumptions!B31-D13*0.1</f>
        <v>1338</v>
      </c>
      <c r="F13" s="52">
        <f>E13+Assumptions!C31-E13*0.1</f>
        <v>1754.2</v>
      </c>
      <c r="G13" s="52">
        <f>F13+Assumptions!D31-F13*0.1</f>
        <v>2258.7799999999997</v>
      </c>
    </row>
    <row r="14" spans="1:7" ht="30.5" customHeight="1" x14ac:dyDescent="0.35">
      <c r="A14" s="62" t="s">
        <v>138</v>
      </c>
      <c r="B14" s="52">
        <v>180</v>
      </c>
      <c r="C14" s="52">
        <v>320</v>
      </c>
      <c r="D14" s="52">
        <v>450</v>
      </c>
      <c r="E14" s="52">
        <f>D14*1.08</f>
        <v>486.00000000000006</v>
      </c>
      <c r="F14" s="52">
        <f>E14*1.08</f>
        <v>524.88000000000011</v>
      </c>
      <c r="G14" s="52">
        <f>F14*1.08</f>
        <v>566.87040000000013</v>
      </c>
    </row>
    <row r="15" spans="1:7" ht="30.5" customHeight="1" thickBot="1" x14ac:dyDescent="0.4">
      <c r="A15" s="20" t="s">
        <v>139</v>
      </c>
      <c r="B15" s="64">
        <v>1600</v>
      </c>
      <c r="C15" s="64">
        <v>5730</v>
      </c>
      <c r="D15" s="64">
        <v>9970</v>
      </c>
      <c r="E15" s="53">
        <f>SUM(E12:E14)</f>
        <v>10221.450000000001</v>
      </c>
      <c r="F15" s="53">
        <f>SUM(F12:F14)</f>
        <v>10241.4656</v>
      </c>
      <c r="G15" s="53">
        <f>SUM(G12:G14)</f>
        <v>10092.071</v>
      </c>
    </row>
    <row r="16" spans="1:7" ht="30.5" customHeight="1" thickBot="1" x14ac:dyDescent="0.4">
      <c r="A16" s="58" t="s">
        <v>140</v>
      </c>
      <c r="B16" s="66">
        <v>6215</v>
      </c>
      <c r="C16" s="66">
        <v>10118</v>
      </c>
      <c r="D16" s="66">
        <v>14563</v>
      </c>
      <c r="E16" s="59">
        <f>E10+E15</f>
        <v>16113.612465753426</v>
      </c>
      <c r="F16" s="59">
        <f>F10+F15</f>
        <v>17416.304761643834</v>
      </c>
      <c r="G16" s="59">
        <f>G10+G15</f>
        <v>18152.220631506851</v>
      </c>
    </row>
    <row r="17" spans="1:7" ht="30.5" customHeight="1" thickTop="1" x14ac:dyDescent="0.35"/>
    <row r="18" spans="1:7" ht="30.5" customHeight="1" x14ac:dyDescent="0.35">
      <c r="A18" s="60" t="s">
        <v>141</v>
      </c>
      <c r="B18" s="61"/>
      <c r="C18" s="61"/>
      <c r="D18" s="61"/>
      <c r="E18" s="61"/>
      <c r="F18" s="61"/>
      <c r="G18" s="61"/>
    </row>
    <row r="19" spans="1:7" ht="30.5" customHeight="1" x14ac:dyDescent="0.35">
      <c r="A19" s="46" t="s">
        <v>142</v>
      </c>
      <c r="B19" s="42"/>
      <c r="C19" s="42"/>
      <c r="D19" s="42"/>
      <c r="E19" s="42"/>
      <c r="F19" s="42"/>
      <c r="G19" s="42"/>
    </row>
    <row r="20" spans="1:7" ht="30.5" customHeight="1" x14ac:dyDescent="0.35">
      <c r="A20" s="62" t="s">
        <v>143</v>
      </c>
      <c r="B20" s="52">
        <v>220</v>
      </c>
      <c r="C20" s="52">
        <v>680</v>
      </c>
      <c r="D20" s="52">
        <v>1150</v>
      </c>
      <c r="E20" s="52">
        <f>D20*1.15</f>
        <v>1322.5</v>
      </c>
      <c r="F20" s="52">
        <f>E20*1.1</f>
        <v>1454.7500000000002</v>
      </c>
      <c r="G20" s="52">
        <f>F20*1.08</f>
        <v>1571.1300000000003</v>
      </c>
    </row>
    <row r="21" spans="1:7" ht="30.5" customHeight="1" x14ac:dyDescent="0.35">
      <c r="A21" s="62" t="s">
        <v>144</v>
      </c>
      <c r="B21" s="52">
        <v>56</v>
      </c>
      <c r="C21" s="52">
        <v>264</v>
      </c>
      <c r="D21" s="52">
        <v>453</v>
      </c>
      <c r="E21" s="52">
        <f>'P&amp;L Statement'!E9*Assumptions!B27/365</f>
        <v>517.24246575342465</v>
      </c>
      <c r="F21" s="52">
        <f>'P&amp;L Statement'!F9*Assumptions!C27/365</f>
        <v>710.23956164383571</v>
      </c>
      <c r="G21" s="52">
        <f>'P&amp;L Statement'!G9*Assumptions!D27/365</f>
        <v>921.09193150684928</v>
      </c>
    </row>
    <row r="22" spans="1:7" ht="30.5" customHeight="1" x14ac:dyDescent="0.35">
      <c r="A22" s="62" t="s">
        <v>145</v>
      </c>
      <c r="B22" s="52">
        <v>290</v>
      </c>
      <c r="C22" s="52">
        <v>820</v>
      </c>
      <c r="D22" s="52">
        <v>1440</v>
      </c>
      <c r="E22" s="52">
        <f>'P&amp;L Statement'!E6*Assumptions!B29</f>
        <v>1402.8</v>
      </c>
      <c r="F22" s="52">
        <f>'P&amp;L Statement'!F6*Assumptions!C29</f>
        <v>1820.8344</v>
      </c>
      <c r="G22" s="52">
        <f>'P&amp;L Statement'!G6*Assumptions!D29</f>
        <v>2218.1775000000002</v>
      </c>
    </row>
    <row r="23" spans="1:7" ht="30.5" customHeight="1" thickBot="1" x14ac:dyDescent="0.4">
      <c r="A23" s="20" t="s">
        <v>146</v>
      </c>
      <c r="B23" s="64">
        <v>566</v>
      </c>
      <c r="C23" s="64">
        <v>1304</v>
      </c>
      <c r="D23" s="64">
        <v>2113</v>
      </c>
      <c r="E23" s="53">
        <f>SUM(E20:E22)</f>
        <v>3242.5424657534249</v>
      </c>
      <c r="F23" s="53">
        <f>SUM(F20:F22)</f>
        <v>3985.8239616438359</v>
      </c>
      <c r="G23" s="53">
        <f>SUM(G20:G22)</f>
        <v>4710.3994315068503</v>
      </c>
    </row>
    <row r="24" spans="1:7" ht="30.5" customHeight="1" x14ac:dyDescent="0.35">
      <c r="A24" s="46" t="s">
        <v>147</v>
      </c>
      <c r="B24" s="42"/>
      <c r="C24" s="42"/>
      <c r="D24" s="42"/>
      <c r="E24" s="42"/>
      <c r="F24" s="42"/>
      <c r="G24" s="42"/>
    </row>
    <row r="25" spans="1:7" ht="30.5" customHeight="1" x14ac:dyDescent="0.35">
      <c r="A25" s="62" t="s">
        <v>148</v>
      </c>
      <c r="B25" s="52">
        <v>1130</v>
      </c>
      <c r="C25" s="52">
        <v>4720</v>
      </c>
      <c r="D25" s="52">
        <v>8050</v>
      </c>
      <c r="E25" s="52">
        <f>D25+Assumptions!B33*Assumptions!B32-'P&amp;L Statement'!E22</f>
        <v>8005.9</v>
      </c>
      <c r="F25" s="52">
        <f>E25+Assumptions!C33*Assumptions!C32-'P&amp;L Statement'!F22</f>
        <v>7694.2819999999992</v>
      </c>
      <c r="G25" s="52">
        <f>F25+Assumptions!D33*Assumptions!D32-'P&amp;L Statement'!G22</f>
        <v>7191.2019999999993</v>
      </c>
    </row>
    <row r="26" spans="1:7" ht="30.5" customHeight="1" x14ac:dyDescent="0.35">
      <c r="A26" s="62" t="s">
        <v>149</v>
      </c>
      <c r="B26" s="52">
        <v>420</v>
      </c>
      <c r="C26" s="52">
        <v>980</v>
      </c>
      <c r="D26" s="52">
        <v>1650</v>
      </c>
      <c r="E26" s="52">
        <f>D26*1.06</f>
        <v>1749</v>
      </c>
      <c r="F26" s="52">
        <f>E26*1.06</f>
        <v>1853.94</v>
      </c>
      <c r="G26" s="52">
        <f>F26*1.06</f>
        <v>1965.1764000000001</v>
      </c>
    </row>
    <row r="27" spans="1:7" ht="30.5" customHeight="1" thickBot="1" x14ac:dyDescent="0.4">
      <c r="A27" s="20" t="s">
        <v>150</v>
      </c>
      <c r="B27" s="64">
        <v>1550</v>
      </c>
      <c r="C27" s="64">
        <v>5700</v>
      </c>
      <c r="D27" s="64">
        <v>9700</v>
      </c>
      <c r="E27" s="53">
        <f>SUM(E25:E26)</f>
        <v>9754.9</v>
      </c>
      <c r="F27" s="53">
        <f>SUM(F25:F26)</f>
        <v>9548.2219999999998</v>
      </c>
      <c r="G27" s="53">
        <f>SUM(G25:G26)</f>
        <v>9156.3783999999996</v>
      </c>
    </row>
    <row r="28" spans="1:7" ht="30.5" customHeight="1" x14ac:dyDescent="0.35">
      <c r="A28" s="46" t="s">
        <v>151</v>
      </c>
      <c r="B28" s="42"/>
      <c r="C28" s="42"/>
      <c r="D28" s="42"/>
      <c r="E28" s="42"/>
      <c r="F28" s="42"/>
      <c r="G28" s="42"/>
    </row>
    <row r="29" spans="1:7" ht="30.5" customHeight="1" x14ac:dyDescent="0.35">
      <c r="A29" s="62" t="s">
        <v>152</v>
      </c>
      <c r="B29" s="52">
        <v>5100</v>
      </c>
      <c r="C29" s="52">
        <v>4200</v>
      </c>
      <c r="D29" s="52">
        <v>2800</v>
      </c>
      <c r="E29" s="52">
        <f>D29+Assumptions!B34</f>
        <v>5300</v>
      </c>
      <c r="F29" s="52">
        <f>E29+Assumptions!C34</f>
        <v>7300</v>
      </c>
      <c r="G29" s="52">
        <f>F29+Assumptions!D34</f>
        <v>8800</v>
      </c>
    </row>
    <row r="30" spans="1:7" ht="30.5" customHeight="1" x14ac:dyDescent="0.35">
      <c r="A30" s="62" t="s">
        <v>153</v>
      </c>
      <c r="B30" s="52">
        <v>-875</v>
      </c>
      <c r="C30" s="52">
        <v>-3125</v>
      </c>
      <c r="D30" s="52">
        <v>-6005</v>
      </c>
      <c r="E30" s="52">
        <f>D30+'P&amp;L Statement'!E26</f>
        <v>-7933.85</v>
      </c>
      <c r="F30" s="52">
        <f>E30+'P&amp;L Statement'!F26</f>
        <v>-10109.5928</v>
      </c>
      <c r="G30" s="52">
        <f>F30+'P&amp;L Statement'!G26</f>
        <v>-12347.058799999999</v>
      </c>
    </row>
    <row r="31" spans="1:7" ht="30.5" customHeight="1" thickBot="1" x14ac:dyDescent="0.4">
      <c r="A31" s="20" t="s">
        <v>154</v>
      </c>
      <c r="B31" s="64">
        <v>4225</v>
      </c>
      <c r="C31" s="64">
        <v>1075</v>
      </c>
      <c r="D31" s="64">
        <v>-3205</v>
      </c>
      <c r="E31" s="53">
        <f>E29+E30</f>
        <v>-2633.8500000000004</v>
      </c>
      <c r="F31" s="53">
        <f>F29+F30</f>
        <v>-2809.5928000000004</v>
      </c>
      <c r="G31" s="53">
        <f>G29+G30</f>
        <v>-3547.0587999999989</v>
      </c>
    </row>
    <row r="32" spans="1:7" ht="30.5" customHeight="1" thickBot="1" x14ac:dyDescent="0.4">
      <c r="A32" s="58" t="s">
        <v>155</v>
      </c>
      <c r="B32" s="66">
        <v>6341</v>
      </c>
      <c r="C32" s="66">
        <v>8079</v>
      </c>
      <c r="D32" s="66">
        <v>8608</v>
      </c>
      <c r="E32" s="59">
        <f>E23+E27+E31</f>
        <v>10363.592465753425</v>
      </c>
      <c r="F32" s="59">
        <f>F23+F27+F31</f>
        <v>10724.453161643834</v>
      </c>
      <c r="G32" s="59">
        <f>G23+G27+G31</f>
        <v>10319.719031506851</v>
      </c>
    </row>
    <row r="33" spans="1:7" ht="15.75" customHeight="1" thickTop="1" x14ac:dyDescent="0.35">
      <c r="A33" s="67" t="s">
        <v>156</v>
      </c>
      <c r="B33" s="68" t="s">
        <v>157</v>
      </c>
      <c r="E33" s="69">
        <f>E16-E32</f>
        <v>5750.02</v>
      </c>
      <c r="F33" s="69">
        <f>F16-F32</f>
        <v>6691.8516</v>
      </c>
      <c r="G33" s="69">
        <f>G16-G32</f>
        <v>7832.5015999999996</v>
      </c>
    </row>
    <row r="34" spans="1:7" ht="27.75" customHeight="1" x14ac:dyDescent="0.35">
      <c r="A34" s="70" t="s">
        <v>158</v>
      </c>
    </row>
  </sheetData>
  <mergeCells count="4">
    <mergeCell ref="A1:G1"/>
    <mergeCell ref="A2:G2"/>
    <mergeCell ref="B4:D4"/>
    <mergeCell ref="E4:G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7"/>
  <sheetViews>
    <sheetView showGridLines="0" zoomScaleNormal="100" workbookViewId="0">
      <selection activeCell="A5" sqref="A5"/>
    </sheetView>
  </sheetViews>
  <sheetFormatPr defaultColWidth="8.6328125" defaultRowHeight="14.5" x14ac:dyDescent="0.35"/>
  <cols>
    <col min="1" max="1" width="40" customWidth="1"/>
    <col min="2" max="4" width="13" customWidth="1"/>
    <col min="5" max="7" width="14" customWidth="1"/>
  </cols>
  <sheetData>
    <row r="1" spans="1:7" ht="27.75" customHeight="1" x14ac:dyDescent="0.35">
      <c r="A1" s="1" t="s">
        <v>159</v>
      </c>
      <c r="B1" s="1"/>
      <c r="C1" s="1"/>
      <c r="D1" s="1"/>
      <c r="E1" s="1"/>
      <c r="F1" s="1"/>
      <c r="G1" s="1"/>
    </row>
    <row r="2" spans="1:7" ht="24" customHeight="1" x14ac:dyDescent="0.35">
      <c r="A2" s="3" t="s">
        <v>160</v>
      </c>
      <c r="B2" s="3"/>
      <c r="C2" s="3"/>
      <c r="D2" s="3"/>
      <c r="E2" s="3"/>
      <c r="F2" s="3"/>
      <c r="G2" s="3"/>
    </row>
    <row r="3" spans="1:7" ht="30" customHeight="1" x14ac:dyDescent="0.35">
      <c r="A3" s="40" t="s">
        <v>101</v>
      </c>
      <c r="B3" s="40" t="s">
        <v>6</v>
      </c>
      <c r="C3" s="40" t="s">
        <v>7</v>
      </c>
      <c r="D3" s="40" t="s">
        <v>8</v>
      </c>
      <c r="E3" s="40" t="s">
        <v>9</v>
      </c>
      <c r="F3" s="40" t="s">
        <v>10</v>
      </c>
      <c r="G3" s="40" t="s">
        <v>11</v>
      </c>
    </row>
    <row r="4" spans="1:7" ht="22" customHeight="1" x14ac:dyDescent="0.35">
      <c r="B4" s="74" t="s">
        <v>102</v>
      </c>
      <c r="C4" s="74"/>
      <c r="D4" s="74"/>
      <c r="E4" s="75" t="s">
        <v>103</v>
      </c>
      <c r="F4" s="75"/>
      <c r="G4" s="75"/>
    </row>
    <row r="5" spans="1:7" ht="22" customHeight="1" x14ac:dyDescent="0.35">
      <c r="A5" s="46" t="s">
        <v>161</v>
      </c>
      <c r="B5" s="42"/>
      <c r="C5" s="42"/>
      <c r="D5" s="42"/>
      <c r="E5" s="42"/>
      <c r="F5" s="42"/>
      <c r="G5" s="42"/>
    </row>
    <row r="6" spans="1:7" ht="22" customHeight="1" x14ac:dyDescent="0.35">
      <c r="A6" s="20" t="s">
        <v>162</v>
      </c>
      <c r="B6" s="47">
        <v>-875</v>
      </c>
      <c r="C6" s="47">
        <v>-2250</v>
      </c>
      <c r="D6" s="47">
        <v>-2880</v>
      </c>
      <c r="E6" s="47">
        <f>'P&amp;L Statement'!E26</f>
        <v>-1928.85</v>
      </c>
      <c r="F6" s="47">
        <f>'P&amp;L Statement'!F26</f>
        <v>-2175.7427999999995</v>
      </c>
      <c r="G6" s="47">
        <f>'P&amp;L Statement'!G26</f>
        <v>-2237.4659999999994</v>
      </c>
    </row>
    <row r="7" spans="1:7" ht="22" customHeight="1" x14ac:dyDescent="0.35">
      <c r="A7" s="43" t="s">
        <v>163</v>
      </c>
      <c r="B7" s="52">
        <v>180</v>
      </c>
      <c r="C7" s="52">
        <v>520</v>
      </c>
      <c r="D7" s="52">
        <v>920</v>
      </c>
      <c r="E7" s="52">
        <f>'P&amp;L Statement'!E19</f>
        <v>1110.55</v>
      </c>
      <c r="F7" s="52">
        <f>'P&amp;L Statement'!F19</f>
        <v>1435.0644</v>
      </c>
      <c r="G7" s="52">
        <f>'P&amp;L Statement'!G19</f>
        <v>1735.9649999999999</v>
      </c>
    </row>
    <row r="8" spans="1:7" ht="22" customHeight="1" x14ac:dyDescent="0.35">
      <c r="A8" s="43" t="s">
        <v>164</v>
      </c>
      <c r="B8" s="52">
        <v>99</v>
      </c>
      <c r="C8" s="52">
        <v>288</v>
      </c>
      <c r="D8" s="52">
        <v>516</v>
      </c>
      <c r="E8" s="52">
        <f>'P&amp;L Statement'!E22*0.6</f>
        <v>631.25999999999988</v>
      </c>
      <c r="F8" s="52">
        <f>'P&amp;L Statement'!F22*0.6</f>
        <v>786.97080000000005</v>
      </c>
      <c r="G8" s="52">
        <f>'P&amp;L Statement'!G22*0.6</f>
        <v>925.84799999999996</v>
      </c>
    </row>
    <row r="9" spans="1:7" ht="22" customHeight="1" x14ac:dyDescent="0.35">
      <c r="A9" s="71" t="s">
        <v>165</v>
      </c>
      <c r="B9" s="21"/>
      <c r="C9" s="21"/>
      <c r="D9" s="21"/>
      <c r="E9" s="21"/>
      <c r="F9" s="21"/>
      <c r="G9" s="21"/>
    </row>
    <row r="10" spans="1:7" ht="22" customHeight="1" x14ac:dyDescent="0.35">
      <c r="A10" s="72" t="s">
        <v>166</v>
      </c>
      <c r="B10" s="52">
        <v>0</v>
      </c>
      <c r="C10" s="52">
        <v>-153</v>
      </c>
      <c r="D10" s="52">
        <v>-155</v>
      </c>
      <c r="E10" s="52">
        <f>-('Balance Sheet'!E8-'Balance Sheet'!D8)</f>
        <v>-137.41095890410958</v>
      </c>
      <c r="F10" s="52">
        <f>-('Balance Sheet'!F8-'Balance Sheet'!E8)</f>
        <v>-111.45534246575352</v>
      </c>
      <c r="G10" s="52">
        <f>-('Balance Sheet'!G8-'Balance Sheet'!F8)</f>
        <v>-95.12136986301357</v>
      </c>
    </row>
    <row r="11" spans="1:7" ht="22" customHeight="1" x14ac:dyDescent="0.35">
      <c r="A11" s="72" t="s">
        <v>167</v>
      </c>
      <c r="B11" s="52">
        <v>0</v>
      </c>
      <c r="C11" s="52">
        <v>-720</v>
      </c>
      <c r="D11" s="52">
        <v>-750</v>
      </c>
      <c r="E11" s="52">
        <f>-('Balance Sheet'!E9-'Balance Sheet'!D9)</f>
        <v>973.25</v>
      </c>
      <c r="F11" s="52">
        <f>-('Balance Sheet'!F9-'Balance Sheet'!E9)</f>
        <v>-249.69839999999999</v>
      </c>
      <c r="G11" s="52">
        <f>-('Balance Sheet'!G9-'Balance Sheet'!F9)</f>
        <v>-223.74660000000017</v>
      </c>
    </row>
    <row r="12" spans="1:7" ht="22" customHeight="1" x14ac:dyDescent="0.35">
      <c r="A12" s="72" t="s">
        <v>168</v>
      </c>
      <c r="B12" s="52">
        <v>0</v>
      </c>
      <c r="C12" s="52">
        <v>208</v>
      </c>
      <c r="D12" s="52">
        <v>189</v>
      </c>
      <c r="E12" s="52">
        <f>'Balance Sheet'!E21-'Balance Sheet'!D21</f>
        <v>64.242465753424653</v>
      </c>
      <c r="F12" s="52">
        <f>'Balance Sheet'!F21-'Balance Sheet'!E21</f>
        <v>192.99709589041106</v>
      </c>
      <c r="G12" s="52">
        <f>'Balance Sheet'!G21-'Balance Sheet'!F21</f>
        <v>210.85236986301356</v>
      </c>
    </row>
    <row r="13" spans="1:7" ht="22" customHeight="1" x14ac:dyDescent="0.35">
      <c r="A13" s="72" t="s">
        <v>169</v>
      </c>
      <c r="B13" s="52">
        <v>0</v>
      </c>
      <c r="C13" s="52">
        <v>530</v>
      </c>
      <c r="D13" s="52">
        <v>620</v>
      </c>
      <c r="E13" s="52">
        <f>'Balance Sheet'!E22-'Balance Sheet'!D22</f>
        <v>-37.200000000000045</v>
      </c>
      <c r="F13" s="52">
        <f>'Balance Sheet'!F22-'Balance Sheet'!E22</f>
        <v>418.03440000000001</v>
      </c>
      <c r="G13" s="52">
        <f>'Balance Sheet'!G22-'Balance Sheet'!F22</f>
        <v>397.34310000000028</v>
      </c>
    </row>
    <row r="14" spans="1:7" ht="22" customHeight="1" thickBot="1" x14ac:dyDescent="0.4">
      <c r="A14" s="55" t="s">
        <v>170</v>
      </c>
      <c r="B14" s="73">
        <v>-1300</v>
      </c>
      <c r="C14" s="73">
        <v>-1800</v>
      </c>
      <c r="D14" s="73">
        <v>-2200</v>
      </c>
      <c r="E14" s="56">
        <f>SUM(E6:E13)</f>
        <v>675.8415068493149</v>
      </c>
      <c r="F14" s="56">
        <f>SUM(F6:F13)</f>
        <v>296.17015342465805</v>
      </c>
      <c r="G14" s="56">
        <f>SUM(G6:G13)</f>
        <v>713.67450000000053</v>
      </c>
    </row>
    <row r="15" spans="1:7" ht="22" customHeight="1" x14ac:dyDescent="0.35">
      <c r="A15" s="46" t="s">
        <v>171</v>
      </c>
      <c r="B15" s="42"/>
      <c r="C15" s="42"/>
      <c r="D15" s="42"/>
      <c r="E15" s="42"/>
      <c r="F15" s="42"/>
      <c r="G15" s="42"/>
    </row>
    <row r="16" spans="1:7" ht="22" customHeight="1" x14ac:dyDescent="0.35">
      <c r="A16" s="43" t="s">
        <v>172</v>
      </c>
      <c r="B16" s="52">
        <v>-180</v>
      </c>
      <c r="C16" s="52">
        <v>-420</v>
      </c>
      <c r="D16" s="52">
        <v>-720</v>
      </c>
      <c r="E16" s="52">
        <f>-Assumptions!B31</f>
        <v>-420</v>
      </c>
      <c r="F16" s="52">
        <f>-Assumptions!C31</f>
        <v>-550</v>
      </c>
      <c r="G16" s="52">
        <f>-Assumptions!D31</f>
        <v>-680</v>
      </c>
    </row>
    <row r="17" spans="1:7" ht="22" customHeight="1" x14ac:dyDescent="0.35">
      <c r="A17" s="43" t="s">
        <v>173</v>
      </c>
      <c r="B17" s="52">
        <v>-80</v>
      </c>
      <c r="C17" s="52">
        <v>-120</v>
      </c>
      <c r="D17" s="52">
        <v>-150</v>
      </c>
      <c r="E17" s="45">
        <v>-80</v>
      </c>
      <c r="F17" s="45">
        <v>-120</v>
      </c>
      <c r="G17" s="45">
        <v>-150</v>
      </c>
    </row>
    <row r="18" spans="1:7" ht="22" customHeight="1" thickBot="1" x14ac:dyDescent="0.4">
      <c r="A18" s="55" t="s">
        <v>174</v>
      </c>
      <c r="B18" s="73">
        <v>-260</v>
      </c>
      <c r="C18" s="73">
        <v>-540</v>
      </c>
      <c r="D18" s="73">
        <v>-870</v>
      </c>
      <c r="E18" s="56">
        <f>SUM(E16:E17)</f>
        <v>-500</v>
      </c>
      <c r="F18" s="56">
        <f>SUM(F16:F17)</f>
        <v>-670</v>
      </c>
      <c r="G18" s="56">
        <f>SUM(G16:G17)</f>
        <v>-830</v>
      </c>
    </row>
    <row r="19" spans="1:7" ht="22" customHeight="1" x14ac:dyDescent="0.35">
      <c r="A19" s="46" t="s">
        <v>175</v>
      </c>
      <c r="B19" s="42"/>
      <c r="C19" s="42"/>
      <c r="D19" s="42"/>
      <c r="E19" s="42"/>
      <c r="F19" s="42"/>
      <c r="G19" s="42"/>
    </row>
    <row r="20" spans="1:7" ht="22" customHeight="1" x14ac:dyDescent="0.35">
      <c r="A20" s="43" t="s">
        <v>176</v>
      </c>
      <c r="B20" s="52">
        <v>3500</v>
      </c>
      <c r="C20" s="52">
        <v>1800</v>
      </c>
      <c r="D20" s="52">
        <v>800</v>
      </c>
      <c r="E20" s="52">
        <f>Assumptions!B34</f>
        <v>2500</v>
      </c>
      <c r="F20" s="52">
        <f>Assumptions!C34</f>
        <v>2000</v>
      </c>
      <c r="G20" s="52">
        <f>Assumptions!D34</f>
        <v>1500</v>
      </c>
    </row>
    <row r="21" spans="1:7" ht="22" customHeight="1" x14ac:dyDescent="0.35">
      <c r="A21" s="43" t="s">
        <v>177</v>
      </c>
      <c r="B21" s="52">
        <v>-280</v>
      </c>
      <c r="C21" s="52">
        <v>-650</v>
      </c>
      <c r="D21" s="52">
        <v>-1020</v>
      </c>
      <c r="E21" s="52">
        <f>-'P&amp;L Statement'!E22*0.4</f>
        <v>-420.84</v>
      </c>
      <c r="F21" s="52">
        <f>-'P&amp;L Statement'!F22*0.4</f>
        <v>-524.64720000000011</v>
      </c>
      <c r="G21" s="52">
        <f>-'P&amp;L Statement'!G22*0.4</f>
        <v>-617.23199999999997</v>
      </c>
    </row>
    <row r="22" spans="1:7" ht="22" customHeight="1" x14ac:dyDescent="0.35">
      <c r="A22" s="43" t="s">
        <v>178</v>
      </c>
      <c r="B22" s="52">
        <v>-120</v>
      </c>
      <c r="C22" s="52">
        <v>-180</v>
      </c>
      <c r="D22" s="52">
        <v>-200</v>
      </c>
      <c r="E22" s="45">
        <v>-120</v>
      </c>
      <c r="F22" s="45">
        <v>-180</v>
      </c>
      <c r="G22" s="45">
        <v>-200</v>
      </c>
    </row>
    <row r="23" spans="1:7" ht="22" customHeight="1" thickBot="1" x14ac:dyDescent="0.4">
      <c r="A23" s="55" t="s">
        <v>179</v>
      </c>
      <c r="B23" s="73">
        <v>3100</v>
      </c>
      <c r="C23" s="73">
        <v>-1030</v>
      </c>
      <c r="D23" s="73">
        <v>-420</v>
      </c>
      <c r="E23" s="56">
        <f>SUM(E20:E22)</f>
        <v>1959.1599999999999</v>
      </c>
      <c r="F23" s="56">
        <f>SUM(F20:F22)</f>
        <v>1295.3527999999999</v>
      </c>
      <c r="G23" s="56">
        <f>SUM(G20:G22)</f>
        <v>682.76800000000003</v>
      </c>
    </row>
    <row r="24" spans="1:7" ht="22" customHeight="1" x14ac:dyDescent="0.35">
      <c r="A24" s="60" t="s">
        <v>180</v>
      </c>
      <c r="B24" s="61"/>
      <c r="C24" s="61"/>
      <c r="D24" s="61"/>
      <c r="E24" s="61"/>
      <c r="F24" s="61"/>
      <c r="G24" s="61"/>
    </row>
    <row r="25" spans="1:7" ht="22" customHeight="1" x14ac:dyDescent="0.35">
      <c r="A25" s="20" t="s">
        <v>181</v>
      </c>
      <c r="B25" s="47">
        <v>1540</v>
      </c>
      <c r="C25" s="47">
        <v>-3370</v>
      </c>
      <c r="D25" s="47">
        <v>-3490</v>
      </c>
      <c r="E25" s="47">
        <f>E14+E18+E23</f>
        <v>2135.0015068493149</v>
      </c>
      <c r="F25" s="47">
        <f>F14+F18+F23</f>
        <v>921.522953424658</v>
      </c>
      <c r="G25" s="47">
        <f>G14+G18+G23</f>
        <v>566.44250000000056</v>
      </c>
    </row>
    <row r="26" spans="1:7" ht="22" customHeight="1" x14ac:dyDescent="0.35">
      <c r="A26" s="62" t="s">
        <v>182</v>
      </c>
      <c r="B26" s="52">
        <v>2660</v>
      </c>
      <c r="C26" s="52">
        <v>4200</v>
      </c>
      <c r="D26" s="52">
        <v>830</v>
      </c>
      <c r="E26" s="45">
        <v>2400</v>
      </c>
      <c r="F26" s="22">
        <f>E27</f>
        <v>4535.0015068493149</v>
      </c>
      <c r="G26" s="22">
        <f>F27</f>
        <v>5456.5244602739731</v>
      </c>
    </row>
    <row r="27" spans="1:7" ht="22" customHeight="1" thickBot="1" x14ac:dyDescent="0.4">
      <c r="A27" s="60" t="s">
        <v>183</v>
      </c>
      <c r="B27" s="66">
        <v>4200</v>
      </c>
      <c r="C27" s="66">
        <v>830</v>
      </c>
      <c r="D27" s="66">
        <v>-2660</v>
      </c>
      <c r="E27" s="59">
        <f>E26+E25</f>
        <v>4535.0015068493149</v>
      </c>
      <c r="F27" s="59">
        <f>F26+F25</f>
        <v>5456.5244602739731</v>
      </c>
      <c r="G27" s="59">
        <f>G26+G25</f>
        <v>6022.9669602739741</v>
      </c>
    </row>
  </sheetData>
  <mergeCells count="4">
    <mergeCell ref="A1:G1"/>
    <mergeCell ref="A2:G2"/>
    <mergeCell ref="B4:D4"/>
    <mergeCell ref="E4:G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Assumptions</vt:lpstr>
      <vt:lpstr>P&amp;L Statement</vt:lpstr>
      <vt:lpstr>Balance Sheet</vt:lpstr>
      <vt:lpstr>Cash Flow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Naman Jain</cp:lastModifiedBy>
  <cp:revision>0</cp:revision>
  <dcterms:created xsi:type="dcterms:W3CDTF">2026-06-28T10:23:06Z</dcterms:created>
  <dcterms:modified xsi:type="dcterms:W3CDTF">2026-06-28T10:35:51Z</dcterms:modified>
  <dc:language>en-US</dc:language>
</cp:coreProperties>
</file>